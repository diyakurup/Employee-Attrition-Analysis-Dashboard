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Raw Data" sheetId="1" r:id="rId1"/>
    <sheet name="Cleaned Data" sheetId="2" r:id="rId2"/>
    <sheet name="Pivot Table" sheetId="4" r:id="rId3"/>
  </sheets>
  <definedNames>
    <definedName name="Slicer_Department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<sst xmlns="http://schemas.openxmlformats.org/spreadsheetml/2006/main" count="28010" uniqueCount="91">
  <si>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</si>
  <si>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</si>
  <si>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</si>
  <si>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</si>
  <si>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</si>
  <si>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</si>
  <si>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</si>
  <si>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</si>
  <si>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</si>
  <si>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</si>
  <si>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</si>
  <si>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</si>
  <si>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</si>
  <si>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</si>
  <si>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</si>
  <si>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</si>
  <si>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</si>
  <si>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</si>
  <si>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</si>
  <si>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</si>
  <si>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</si>
  <si>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</si>
  <si>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</si>
  <si>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</si>
  <si>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</si>
  <si>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</si>
  <si>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</si>
  <si>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</si>
  <si>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</si>
  <si>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</si>
  <si>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</si>
  <si>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</si>
  <si>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</si>
  <si>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</si>
  <si>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</si>
  <si>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</si>
  <si>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</si>
  <si>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</si>
  <si>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</si>
  <si>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</si>
  <si>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</si>
  <si>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</si>
  <si>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</si>
  <si>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</si>
  <si>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</si>
  <si>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</si>
  <si>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</si>
  <si>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</si>
  <si>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</si>
  <si>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</si>
  <si>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</si>
  <si>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</si>
  <si>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</si>
  <si>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</si>
  <si>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</si>
  <si>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</si>
  <si>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</si>
  <si>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</si>
  <si>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</si>
  <si>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</si>
  <si>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</si>
  <si>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</si>
  <si>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Employee Age</t>
  </si>
  <si>
    <t>Age Group</t>
  </si>
  <si>
    <t>Distance(Miles)</t>
  </si>
  <si>
    <t>Commute</t>
  </si>
  <si>
    <t>Monthly Salary($)</t>
  </si>
  <si>
    <t>Salary Range</t>
  </si>
  <si>
    <t>Experience (No.of Companies)</t>
  </si>
  <si>
    <t>Work life balance</t>
  </si>
  <si>
    <t>Years at Company</t>
  </si>
  <si>
    <t>Tenure Group</t>
  </si>
  <si>
    <t>Bachelor</t>
  </si>
  <si>
    <t>High</t>
  </si>
  <si>
    <t>Better</t>
  </si>
  <si>
    <t>Medium</t>
  </si>
  <si>
    <t>College</t>
  </si>
  <si>
    <t>Very High</t>
  </si>
  <si>
    <t>Below College</t>
  </si>
  <si>
    <t>Best</t>
  </si>
  <si>
    <t>Bad</t>
  </si>
  <si>
    <t>Good</t>
  </si>
  <si>
    <t>Low</t>
  </si>
  <si>
    <t>Master</t>
  </si>
  <si>
    <t>Doctor</t>
  </si>
  <si>
    <t>Average Attrition</t>
  </si>
  <si>
    <t>Overtime</t>
  </si>
  <si>
    <t>Grand Total</t>
  </si>
  <si>
    <t>Established (3-10y)</t>
  </si>
  <si>
    <t>New Hire (&lt;3y)</t>
  </si>
  <si>
    <t>Veteran (10y+)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</si>
</sst>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586740</xdr:colOff>
      <xdr:row>1</xdr:row>
      <xdr:rowOff>152401</xdr:rowOff>
    </xdr:from>
    <xdr:to>
      <xdr:col>7</xdr:col>
      <xdr:colOff>586740</xdr:colOff>
      <xdr:row>9</xdr:row>
      <xdr:rowOff>129541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74720" y="335280"/>
              <a:ext cx="1851660" cy="1440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35.7814789352" refreshedBy="DIYA SAHADEVAN KURUP" recordCount="1470">
  <cacheSource type="worksheet">
    <worksheetSource ref="A1:AI1471" sheet="Cleaned Data"/>
  </cacheSource>
  <cacheFields count="35">
    <cacheField name="Employee Age" numFmtId="0"/>
    <cacheField name="Age Group" numFmtId="0"/>
    <cacheField name="Attrition" numFmtId="0"/>
    <cacheField name="BusinessTravel" numFmtId="0"/>
    <cacheField name="DailyRate" numFmtId="0"/>
    <cacheField name="Department" numFmtId="0">
      <sharedItems count="3">
        <s v="Research &amp; Development"/>
        <s v="Sales"/>
        <s v="Human Resources"/>
      </sharedItems>
    </cacheField>
    <cacheField name="Distance(Miles)" numFmtId="0"/>
    <cacheField name="Commute" numFmtId="0"/>
    <cacheField name="Education" numFmtId="0"/>
    <cacheField name="EducationField" numFmtId="0"/>
    <cacheField name="EnvironmentSatisfaction" numFmtId="0"/>
    <cacheField name="Gender" numFmtId="0"/>
    <cacheField name="HourlyRate" numFmtId="0"/>
    <cacheField name="JobInvolvement" numFmtId="0"/>
    <cacheField name="JobLevel" numFmtId="0"/>
    <cacheField name="JobRole" numFmtId="0"/>
    <cacheField name="JobSatisfaction" numFmtId="0"/>
    <cacheField name="MaritalStatus" numFmtId="0"/>
    <cacheField name="Monthly Salary($)" numFmtId="0"/>
    <cacheField name="Salary Range" numFmtId="0"/>
    <cacheField name="MonthlyRate" numFmtId="0"/>
    <cacheField name="Experience (No.of Companies)" numFmtId="0"/>
    <cacheField name="OverTime" numFmtId="0">
      <sharedItems count="2">
        <s v="No"/>
        <s v="Yes"/>
      </sharedItems>
    </cacheField>
    <cacheField name="PercentSalaryHike" numFmtId="0"/>
    <cacheField name="PerformanceRating" numFmtId="0"/>
    <cacheField name="RelationshipSatisfaction" numFmtId="0"/>
    <cacheField name="StockOptionLevel" numFmtId="0"/>
    <cacheField name="TotalWorkingYears" numFmtId="0"/>
    <cacheField name="TrainingTimesLastYear" numFmtId="0"/>
    <cacheField name="Work life balance" numFmtId="0"/>
    <cacheField name="Years at Company" numFmtId="0"/>
    <cacheField name="Tenure Group" numFmtId="0">
      <sharedItems count="3">
        <s v="New Hire (&lt;3y)"/>
        <s v="Established (3-10y)"/>
        <s v="Veteran (10y+)"/>
      </sharedItems>
    </cacheField>
    <cacheField name="YearsInCurrentRole" numFmtId="0"/>
    <cacheField name="YearsSinceLastPromotion" numFmtId="0"/>
    <cacheField name="YearsWithCurrManager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18"/>
    <s v="Young Adults"/>
    <n v="1"/>
    <s v="Travel_Rarely"/>
    <n v="230"/>
    <x v="0"/>
    <n v="3"/>
    <s v="Near Office"/>
    <s v="Bachelor"/>
    <s v="Life Sciences"/>
    <n v="3"/>
    <s v="Male"/>
    <n v="54"/>
    <n v="3"/>
    <n v="1"/>
    <s v="Laboratory Technician"/>
    <s v="High"/>
    <s v="Single"/>
    <n v="1420"/>
    <s v="Low (&lt;5k)"/>
    <n v="25233"/>
    <n v="1"/>
    <x v="0"/>
    <n v="13"/>
    <n v="3"/>
    <n v="3"/>
    <n v="0"/>
    <n v="0"/>
    <n v="2"/>
    <s v="Better"/>
    <n v="0"/>
    <x v="0"/>
    <n v="0"/>
    <n v="0"/>
    <n v="0"/>
  </r>
  <r>
    <n v="18"/>
    <s v="Young Adults"/>
    <n v="0"/>
    <s v="Travel_Rarely"/>
    <n v="812"/>
    <x v="1"/>
    <n v="10"/>
    <s v="Moderate"/>
    <s v="Bachelor"/>
    <s v="Medical"/>
    <n v="4"/>
    <s v="Female"/>
    <n v="69"/>
    <n v="2"/>
    <n v="1"/>
    <s v="Sales Representative"/>
    <s v="High"/>
    <s v="Single"/>
    <n v="1200"/>
    <s v="Low (&lt;5k)"/>
    <n v="9724"/>
    <n v="1"/>
    <x v="0"/>
    <n v="12"/>
    <n v="3"/>
    <n v="1"/>
    <n v="0"/>
    <n v="0"/>
    <n v="2"/>
    <s v="Better"/>
    <n v="0"/>
    <x v="0"/>
    <n v="0"/>
    <n v="0"/>
    <n v="0"/>
  </r>
  <r>
    <n v="18"/>
    <s v="Young Adults"/>
    <n v="1"/>
    <s v="Travel_Frequently"/>
    <n v="1306"/>
    <x v="1"/>
    <n v="5"/>
    <s v="Near Office"/>
    <s v="Bachelor"/>
    <s v="Marketing"/>
    <n v="2"/>
    <s v="Male"/>
    <n v="69"/>
    <n v="3"/>
    <n v="1"/>
    <s v="Sales Representative"/>
    <s v="Medium"/>
    <s v="Single"/>
    <n v="1878"/>
    <s v="Low (&lt;5k)"/>
    <n v="8059"/>
    <n v="1"/>
    <x v="1"/>
    <n v="14"/>
    <n v="3"/>
    <n v="4"/>
    <n v="0"/>
    <n v="0"/>
    <n v="3"/>
    <s v="Better"/>
    <n v="0"/>
    <x v="0"/>
    <n v="0"/>
    <n v="0"/>
    <n v="0"/>
  </r>
  <r>
    <n v="18"/>
    <s v="Young Adults"/>
    <n v="0"/>
    <s v="Non-Travel"/>
    <n v="287"/>
    <x v="0"/>
    <n v="5"/>
    <s v="Near Office"/>
    <s v="College"/>
    <s v="Life Sciences"/>
    <n v="2"/>
    <s v="Male"/>
    <n v="73"/>
    <n v="3"/>
    <n v="1"/>
    <s v="Research Scientist"/>
    <s v="Very High"/>
    <s v="Single"/>
    <n v="1051"/>
    <s v="Low (&lt;5k)"/>
    <n v="13493"/>
    <n v="1"/>
    <x v="0"/>
    <n v="15"/>
    <n v="3"/>
    <n v="4"/>
    <n v="0"/>
    <n v="0"/>
    <n v="2"/>
    <s v="Better"/>
    <n v="0"/>
    <x v="0"/>
    <n v="0"/>
    <n v="0"/>
    <n v="0"/>
  </r>
  <r>
    <n v="18"/>
    <s v="Young Adults"/>
    <n v="1"/>
    <s v="Non-Travel"/>
    <n v="247"/>
    <x v="0"/>
    <n v="8"/>
    <s v="Moderate"/>
    <s v="Below College"/>
    <s v="Medical"/>
    <n v="3"/>
    <s v="Male"/>
    <n v="80"/>
    <n v="3"/>
    <n v="1"/>
    <s v="Laboratory Technician"/>
    <s v="High"/>
    <s v="Single"/>
    <n v="1904"/>
    <s v="Low (&lt;5k)"/>
    <n v="13556"/>
    <n v="1"/>
    <x v="0"/>
    <n v="12"/>
    <n v="3"/>
    <n v="4"/>
    <n v="0"/>
    <n v="0"/>
    <n v="0"/>
    <s v="Better"/>
    <n v="0"/>
    <x v="0"/>
    <n v="0"/>
    <n v="0"/>
    <n v="0"/>
  </r>
  <r>
    <n v="18"/>
    <s v="Young Adults"/>
    <n v="0"/>
    <s v="Non-Travel"/>
    <n v="1124"/>
    <x v="0"/>
    <n v="1"/>
    <s v="Near Office"/>
    <s v="Bachelor"/>
    <s v="Life Sciences"/>
    <n v="4"/>
    <s v="Female"/>
    <n v="97"/>
    <n v="3"/>
    <n v="1"/>
    <s v="Laboratory Technician"/>
    <s v="Very High"/>
    <s v="Single"/>
    <n v="1611"/>
    <s v="Low (&lt;5k)"/>
    <n v="19305"/>
    <n v="1"/>
    <x v="0"/>
    <n v="15"/>
    <n v="3"/>
    <n v="3"/>
    <n v="0"/>
    <n v="0"/>
    <n v="5"/>
    <s v="Best"/>
    <n v="0"/>
    <x v="0"/>
    <n v="0"/>
    <n v="0"/>
    <n v="0"/>
  </r>
  <r>
    <n v="18"/>
    <s v="Young Adults"/>
    <n v="1"/>
    <s v="Travel_Frequently"/>
    <n v="544"/>
    <x v="1"/>
    <n v="3"/>
    <s v="Near Office"/>
    <s v="College"/>
    <s v="Medical"/>
    <n v="2"/>
    <s v="Female"/>
    <n v="70"/>
    <n v="3"/>
    <n v="1"/>
    <s v="Sales Representative"/>
    <s v="Very High"/>
    <s v="Single"/>
    <n v="1569"/>
    <s v="Low (&lt;5k)"/>
    <n v="18420"/>
    <n v="1"/>
    <x v="1"/>
    <n v="12"/>
    <n v="3"/>
    <n v="3"/>
    <n v="0"/>
    <n v="0"/>
    <n v="2"/>
    <s v="Best"/>
    <n v="0"/>
    <x v="0"/>
    <n v="0"/>
    <n v="0"/>
    <n v="0"/>
  </r>
  <r>
    <n v="18"/>
    <s v="Young Adults"/>
    <n v="0"/>
    <s v="Non-Travel"/>
    <n v="1431"/>
    <x v="0"/>
    <n v="14"/>
    <s v="Moderate"/>
    <s v="Bachelor"/>
    <s v="Medical"/>
    <n v="2"/>
    <s v="Female"/>
    <n v="33"/>
    <n v="3"/>
    <n v="1"/>
    <s v="Research Scientist"/>
    <s v="High"/>
    <s v="Single"/>
    <n v="1514"/>
    <s v="Low (&lt;5k)"/>
    <n v="8018"/>
    <n v="1"/>
    <x v="0"/>
    <n v="16"/>
    <n v="3"/>
    <n v="3"/>
    <n v="0"/>
    <n v="0"/>
    <n v="4"/>
    <s v="Bad"/>
    <n v="0"/>
    <x v="0"/>
    <n v="0"/>
    <n v="0"/>
    <n v="0"/>
  </r>
  <r>
    <n v="19"/>
    <s v="Young Adults"/>
    <n v="1"/>
    <s v="Travel_Rarely"/>
    <n v="528"/>
    <x v="1"/>
    <n v="22"/>
    <s v="Long Commute"/>
    <s v="Below College"/>
    <s v="Marketing"/>
    <n v="4"/>
    <s v="Male"/>
    <n v="50"/>
    <n v="3"/>
    <n v="1"/>
    <s v="Sales Representative"/>
    <s v="High"/>
    <s v="Single"/>
    <n v="1675"/>
    <s v="Low (&lt;5k)"/>
    <n v="26820"/>
    <n v="1"/>
    <x v="1"/>
    <n v="19"/>
    <n v="3"/>
    <n v="4"/>
    <n v="0"/>
    <n v="0"/>
    <n v="2"/>
    <s v="Good"/>
    <n v="0"/>
    <x v="0"/>
    <n v="0"/>
    <n v="0"/>
    <n v="0"/>
  </r>
  <r>
    <n v="19"/>
    <s v="Young Adults"/>
    <n v="0"/>
    <s v="Travel_Rarely"/>
    <n v="1181"/>
    <x v="0"/>
    <n v="3"/>
    <s v="Near Office"/>
    <s v="Below College"/>
    <s v="Medical"/>
    <n v="2"/>
    <s v="Female"/>
    <n v="79"/>
    <n v="3"/>
    <n v="1"/>
    <s v="Laboratory Technician"/>
    <s v="Medium"/>
    <s v="Single"/>
    <n v="1483"/>
    <s v="Low (&lt;5k)"/>
    <n v="16102"/>
    <n v="1"/>
    <x v="0"/>
    <n v="14"/>
    <n v="3"/>
    <n v="4"/>
    <n v="0"/>
    <n v="1"/>
    <n v="3"/>
    <s v="Better"/>
    <n v="1"/>
    <x v="0"/>
    <n v="0"/>
    <n v="0"/>
    <n v="0"/>
  </r>
  <r>
    <n v="19"/>
    <s v="Young Adults"/>
    <n v="1"/>
    <s v="Travel_Frequently"/>
    <n v="602"/>
    <x v="1"/>
    <n v="1"/>
    <s v="Near Office"/>
    <s v="Below College"/>
    <s v="Technical Degree"/>
    <n v="3"/>
    <s v="Female"/>
    <n v="100"/>
    <n v="1"/>
    <n v="1"/>
    <s v="Sales Representative"/>
    <s v="Low"/>
    <s v="Single"/>
    <n v="2325"/>
    <s v="Low (&lt;5k)"/>
    <n v="20989"/>
    <n v="0"/>
    <x v="0"/>
    <n v="21"/>
    <n v="4"/>
    <n v="1"/>
    <n v="0"/>
    <n v="1"/>
    <n v="5"/>
    <s v="Best"/>
    <n v="0"/>
    <x v="0"/>
    <n v="0"/>
    <n v="0"/>
    <n v="0"/>
  </r>
  <r>
    <n v="19"/>
    <s v="Young Adults"/>
    <n v="1"/>
    <s v="Travel_Rarely"/>
    <n v="303"/>
    <x v="0"/>
    <n v="2"/>
    <s v="Near Office"/>
    <s v="Bachelor"/>
    <s v="Life Sciences"/>
    <n v="2"/>
    <s v="Male"/>
    <n v="47"/>
    <n v="2"/>
    <n v="1"/>
    <s v="Laboratory Technician"/>
    <s v="Very High"/>
    <s v="Single"/>
    <n v="1102"/>
    <s v="Low (&lt;5k)"/>
    <n v="9241"/>
    <n v="1"/>
    <x v="0"/>
    <n v="22"/>
    <n v="4"/>
    <n v="3"/>
    <n v="0"/>
    <n v="1"/>
    <n v="3"/>
    <s v="Good"/>
    <n v="1"/>
    <x v="0"/>
    <n v="0"/>
    <n v="1"/>
    <n v="0"/>
  </r>
  <r>
    <n v="19"/>
    <s v="Young Adults"/>
    <n v="1"/>
    <s v="Travel_Rarely"/>
    <n v="489"/>
    <x v="2"/>
    <n v="2"/>
    <s v="Near Office"/>
    <s v="College"/>
    <s v="Technical Degree"/>
    <n v="1"/>
    <s v="Male"/>
    <n v="52"/>
    <n v="2"/>
    <n v="1"/>
    <s v="Human Resources"/>
    <s v="Very High"/>
    <s v="Single"/>
    <n v="2564"/>
    <s v="Low (&lt;5k)"/>
    <n v="18437"/>
    <n v="1"/>
    <x v="0"/>
    <n v="12"/>
    <n v="3"/>
    <n v="3"/>
    <n v="0"/>
    <n v="1"/>
    <n v="3"/>
    <s v="Best"/>
    <n v="1"/>
    <x v="0"/>
    <n v="0"/>
    <n v="0"/>
    <n v="0"/>
  </r>
  <r>
    <n v="19"/>
    <s v="Young Adults"/>
    <n v="1"/>
    <s v="Travel_Rarely"/>
    <n v="419"/>
    <x v="1"/>
    <n v="21"/>
    <s v="Long Commute"/>
    <s v="Bachelor"/>
    <s v="Other"/>
    <n v="4"/>
    <s v="Male"/>
    <n v="37"/>
    <n v="2"/>
    <n v="1"/>
    <s v="Sales Representative"/>
    <s v="Medium"/>
    <s v="Single"/>
    <n v="2121"/>
    <s v="Low (&lt;5k)"/>
    <n v="9947"/>
    <n v="1"/>
    <x v="1"/>
    <n v="13"/>
    <n v="3"/>
    <n v="2"/>
    <n v="0"/>
    <n v="1"/>
    <n v="3"/>
    <s v="Best"/>
    <n v="1"/>
    <x v="0"/>
    <n v="0"/>
    <n v="0"/>
    <n v="0"/>
  </r>
  <r>
    <n v="19"/>
    <s v="Young Adults"/>
    <n v="0"/>
    <s v="Travel_Rarely"/>
    <n v="645"/>
    <x v="0"/>
    <n v="9"/>
    <s v="Moderate"/>
    <s v="College"/>
    <s v="Life Sciences"/>
    <n v="3"/>
    <s v="Male"/>
    <n v="54"/>
    <n v="3"/>
    <n v="1"/>
    <s v="Research Scientist"/>
    <s v="Low"/>
    <s v="Single"/>
    <n v="2552"/>
    <s v="Low (&lt;5k)"/>
    <n v="7172"/>
    <n v="1"/>
    <x v="0"/>
    <n v="25"/>
    <n v="4"/>
    <n v="3"/>
    <n v="0"/>
    <n v="1"/>
    <n v="4"/>
    <s v="Better"/>
    <n v="1"/>
    <x v="0"/>
    <n v="1"/>
    <n v="0"/>
    <n v="0"/>
  </r>
  <r>
    <n v="19"/>
    <s v="Young Adults"/>
    <n v="1"/>
    <s v="Non-Travel"/>
    <n v="504"/>
    <x v="0"/>
    <n v="10"/>
    <s v="Moderate"/>
    <s v="Bachelor"/>
    <s v="Medical"/>
    <n v="1"/>
    <s v="Female"/>
    <n v="96"/>
    <n v="2"/>
    <n v="1"/>
    <s v="Research Scientist"/>
    <s v="Medium"/>
    <s v="Single"/>
    <n v="1859"/>
    <s v="Low (&lt;5k)"/>
    <n v="6148"/>
    <n v="1"/>
    <x v="1"/>
    <n v="25"/>
    <n v="4"/>
    <n v="2"/>
    <n v="0"/>
    <n v="1"/>
    <n v="2"/>
    <s v="Best"/>
    <n v="1"/>
    <x v="0"/>
    <n v="1"/>
    <n v="0"/>
    <n v="0"/>
  </r>
  <r>
    <n v="19"/>
    <s v="Young Adults"/>
    <n v="0"/>
    <s v="Travel_Rarely"/>
    <n v="265"/>
    <x v="0"/>
    <n v="25"/>
    <s v="Long Commute"/>
    <s v="Bachelor"/>
    <s v="Life Sciences"/>
    <n v="2"/>
    <s v="Female"/>
    <n v="57"/>
    <n v="4"/>
    <n v="1"/>
    <s v="Research Scientist"/>
    <s v="Very High"/>
    <s v="Single"/>
    <n v="2994"/>
    <s v="Low (&lt;5k)"/>
    <n v="21221"/>
    <n v="1"/>
    <x v="1"/>
    <n v="12"/>
    <n v="3"/>
    <n v="4"/>
    <n v="0"/>
    <n v="1"/>
    <n v="2"/>
    <s v="Better"/>
    <n v="1"/>
    <x v="0"/>
    <n v="0"/>
    <n v="0"/>
    <n v="1"/>
  </r>
  <r>
    <n v="20"/>
    <s v="Young Adults"/>
    <n v="1"/>
    <s v="Travel_Frequently"/>
    <n v="871"/>
    <x v="0"/>
    <n v="6"/>
    <s v="Moderate"/>
    <s v="Bachelor"/>
    <s v="Life Sciences"/>
    <n v="4"/>
    <s v="Female"/>
    <n v="66"/>
    <n v="2"/>
    <n v="1"/>
    <s v="Laboratory Technician"/>
    <s v="Very High"/>
    <s v="Single"/>
    <n v="2926"/>
    <s v="Low (&lt;5k)"/>
    <n v="19783"/>
    <n v="1"/>
    <x v="1"/>
    <n v="18"/>
    <n v="3"/>
    <n v="2"/>
    <n v="0"/>
    <n v="1"/>
    <n v="5"/>
    <s v="Better"/>
    <n v="1"/>
    <x v="0"/>
    <n v="0"/>
    <n v="1"/>
    <n v="0"/>
  </r>
  <r>
    <n v="20"/>
    <s v="Young Adults"/>
    <n v="0"/>
    <s v="Travel_Rarely"/>
    <n v="959"/>
    <x v="0"/>
    <n v="1"/>
    <s v="Near Office"/>
    <s v="Bachelor"/>
    <s v="Life Sciences"/>
    <n v="4"/>
    <s v="Female"/>
    <n v="83"/>
    <n v="2"/>
    <n v="1"/>
    <s v="Research Scientist"/>
    <s v="Medium"/>
    <s v="Single"/>
    <n v="2836"/>
    <s v="Low (&lt;5k)"/>
    <n v="11757"/>
    <n v="1"/>
    <x v="0"/>
    <n v="13"/>
    <n v="3"/>
    <n v="4"/>
    <n v="0"/>
    <n v="1"/>
    <n v="0"/>
    <s v="Best"/>
    <n v="1"/>
    <x v="0"/>
    <n v="0"/>
    <n v="0"/>
    <n v="0"/>
  </r>
  <r>
    <n v="20"/>
    <s v="Young Adults"/>
    <n v="1"/>
    <s v="Travel_Rarely"/>
    <n v="1362"/>
    <x v="0"/>
    <n v="10"/>
    <s v="Moderate"/>
    <s v="Below College"/>
    <s v="Medical"/>
    <n v="4"/>
    <s v="Male"/>
    <n v="32"/>
    <n v="3"/>
    <n v="1"/>
    <s v="Research Scientist"/>
    <s v="High"/>
    <s v="Single"/>
    <n v="1009"/>
    <s v="Low (&lt;5k)"/>
    <n v="26999"/>
    <n v="1"/>
    <x v="1"/>
    <n v="11"/>
    <n v="3"/>
    <n v="4"/>
    <n v="0"/>
    <n v="1"/>
    <n v="5"/>
    <s v="Better"/>
    <n v="1"/>
    <x v="0"/>
    <n v="0"/>
    <n v="1"/>
    <n v="1"/>
  </r>
  <r>
    <n v="20"/>
    <s v="Young Adults"/>
    <n v="1"/>
    <s v="Travel_Rarely"/>
    <n v="500"/>
    <x v="1"/>
    <n v="2"/>
    <s v="Near Office"/>
    <s v="Bachelor"/>
    <s v="Medical"/>
    <n v="3"/>
    <s v="Female"/>
    <n v="49"/>
    <n v="2"/>
    <n v="1"/>
    <s v="Sales Representative"/>
    <s v="High"/>
    <s v="Single"/>
    <n v="2044"/>
    <s v="Low (&lt;5k)"/>
    <n v="22052"/>
    <n v="1"/>
    <x v="0"/>
    <n v="13"/>
    <n v="3"/>
    <n v="4"/>
    <n v="0"/>
    <n v="2"/>
    <n v="3"/>
    <s v="Good"/>
    <n v="2"/>
    <x v="0"/>
    <n v="2"/>
    <n v="0"/>
    <n v="2"/>
  </r>
  <r>
    <n v="20"/>
    <s v="Young Adults"/>
    <n v="1"/>
    <s v="Travel_Rarely"/>
    <n v="129"/>
    <x v="0"/>
    <n v="4"/>
    <s v="Near Office"/>
    <s v="Bachelor"/>
    <s v="Technical Degree"/>
    <n v="1"/>
    <s v="Male"/>
    <n v="84"/>
    <n v="3"/>
    <n v="1"/>
    <s v="Laboratory Technician"/>
    <s v="Low"/>
    <s v="Single"/>
    <n v="2973"/>
    <s v="Low (&lt;5k)"/>
    <n v="13008"/>
    <n v="1"/>
    <x v="0"/>
    <n v="19"/>
    <n v="3"/>
    <n v="2"/>
    <n v="0"/>
    <n v="1"/>
    <n v="2"/>
    <s v="Better"/>
    <n v="1"/>
    <x v="0"/>
    <n v="0"/>
    <n v="0"/>
    <n v="0"/>
  </r>
  <r>
    <n v="20"/>
    <s v="Young Adults"/>
    <n v="1"/>
    <s v="Travel_Rarely"/>
    <n v="1097"/>
    <x v="0"/>
    <n v="11"/>
    <s v="Moderate"/>
    <s v="Bachelor"/>
    <s v="Medical"/>
    <n v="4"/>
    <s v="Female"/>
    <n v="98"/>
    <n v="2"/>
    <n v="1"/>
    <s v="Research Scientist"/>
    <s v="Low"/>
    <s v="Single"/>
    <n v="2600"/>
    <s v="Low (&lt;5k)"/>
    <n v="18275"/>
    <n v="1"/>
    <x v="1"/>
    <n v="15"/>
    <n v="3"/>
    <n v="1"/>
    <n v="0"/>
    <n v="1"/>
    <n v="2"/>
    <s v="Better"/>
    <n v="1"/>
    <x v="0"/>
    <n v="0"/>
    <n v="0"/>
    <n v="0"/>
  </r>
  <r>
    <n v="20"/>
    <s v="Young Adults"/>
    <n v="1"/>
    <s v="Travel_Frequently"/>
    <n v="769"/>
    <x v="1"/>
    <n v="9"/>
    <s v="Moderate"/>
    <s v="Bachelor"/>
    <s v="Marketing"/>
    <n v="4"/>
    <s v="Female"/>
    <n v="54"/>
    <n v="3"/>
    <n v="1"/>
    <s v="Sales Representative"/>
    <s v="Very High"/>
    <s v="Single"/>
    <n v="2323"/>
    <s v="Low (&lt;5k)"/>
    <n v="17205"/>
    <n v="1"/>
    <x v="1"/>
    <n v="14"/>
    <n v="3"/>
    <n v="2"/>
    <n v="0"/>
    <n v="2"/>
    <n v="3"/>
    <s v="Better"/>
    <n v="2"/>
    <x v="0"/>
    <n v="2"/>
    <n v="0"/>
    <n v="2"/>
  </r>
  <r>
    <n v="20"/>
    <s v="Young Adults"/>
    <n v="0"/>
    <s v="Travel_Rarely"/>
    <n v="805"/>
    <x v="0"/>
    <n v="3"/>
    <s v="Near Office"/>
    <s v="Bachelor"/>
    <s v="Life Sciences"/>
    <n v="1"/>
    <s v="Male"/>
    <n v="87"/>
    <n v="2"/>
    <n v="1"/>
    <s v="Laboratory Technician"/>
    <s v="High"/>
    <s v="Single"/>
    <n v="3033"/>
    <s v="Low (&lt;5k)"/>
    <n v="12828"/>
    <n v="1"/>
    <x v="0"/>
    <n v="12"/>
    <n v="3"/>
    <n v="1"/>
    <n v="0"/>
    <n v="2"/>
    <n v="2"/>
    <s v="Good"/>
    <n v="2"/>
    <x v="0"/>
    <n v="2"/>
    <n v="1"/>
    <n v="2"/>
  </r>
  <r>
    <n v="20"/>
    <s v="Young Adults"/>
    <n v="0"/>
    <s v="Travel_Rarely"/>
    <n v="654"/>
    <x v="1"/>
    <n v="21"/>
    <s v="Long Commute"/>
    <s v="Bachelor"/>
    <s v="Marketing"/>
    <n v="3"/>
    <s v="Male"/>
    <n v="43"/>
    <n v="4"/>
    <n v="1"/>
    <s v="Sales Representative"/>
    <s v="Very High"/>
    <s v="Single"/>
    <n v="2678"/>
    <s v="Low (&lt;5k)"/>
    <n v="5050"/>
    <n v="1"/>
    <x v="0"/>
    <n v="17"/>
    <n v="3"/>
    <n v="4"/>
    <n v="0"/>
    <n v="2"/>
    <n v="2"/>
    <s v="Better"/>
    <n v="2"/>
    <x v="0"/>
    <n v="1"/>
    <n v="2"/>
    <n v="2"/>
  </r>
  <r>
    <n v="20"/>
    <s v="Young Adults"/>
    <n v="0"/>
    <s v="Travel_Rarely"/>
    <n v="1141"/>
    <x v="1"/>
    <n v="2"/>
    <s v="Near Office"/>
    <s v="Bachelor"/>
    <s v="Medical"/>
    <n v="3"/>
    <s v="Female"/>
    <n v="31"/>
    <n v="3"/>
    <n v="1"/>
    <s v="Sales Representative"/>
    <s v="High"/>
    <s v="Single"/>
    <n v="2783"/>
    <s v="Low (&lt;5k)"/>
    <n v="13251"/>
    <n v="1"/>
    <x v="0"/>
    <n v="19"/>
    <n v="3"/>
    <n v="1"/>
    <n v="0"/>
    <n v="2"/>
    <n v="3"/>
    <s v="Better"/>
    <n v="2"/>
    <x v="0"/>
    <n v="2"/>
    <n v="2"/>
    <n v="2"/>
  </r>
  <r>
    <n v="20"/>
    <s v="Young Adults"/>
    <n v="0"/>
    <s v="Travel_Rarely"/>
    <n v="727"/>
    <x v="1"/>
    <n v="9"/>
    <s v="Moderate"/>
    <s v="Below College"/>
    <s v="Life Sciences"/>
    <n v="4"/>
    <s v="Male"/>
    <n v="54"/>
    <n v="3"/>
    <n v="1"/>
    <s v="Sales Representative"/>
    <s v="Low"/>
    <s v="Single"/>
    <n v="2728"/>
    <s v="Low (&lt;5k)"/>
    <n v="21082"/>
    <n v="1"/>
    <x v="0"/>
    <n v="11"/>
    <n v="3"/>
    <n v="1"/>
    <n v="0"/>
    <n v="2"/>
    <n v="3"/>
    <s v="Better"/>
    <n v="2"/>
    <x v="0"/>
    <n v="2"/>
    <n v="0"/>
    <n v="2"/>
  </r>
  <r>
    <n v="21"/>
    <s v="Young Adults"/>
    <n v="0"/>
    <s v="Travel_Rarely"/>
    <n v="391"/>
    <x v="0"/>
    <n v="15"/>
    <s v="Moderate"/>
    <s v="College"/>
    <s v="Life Sciences"/>
    <n v="3"/>
    <s v="Male"/>
    <n v="96"/>
    <n v="3"/>
    <n v="1"/>
    <s v="Research Scientist"/>
    <s v="Very High"/>
    <s v="Single"/>
    <n v="1232"/>
    <s v="Low (&lt;5k)"/>
    <n v="19281"/>
    <n v="1"/>
    <x v="0"/>
    <n v="14"/>
    <n v="3"/>
    <n v="4"/>
    <n v="0"/>
    <n v="0"/>
    <n v="6"/>
    <s v="Better"/>
    <n v="0"/>
    <x v="0"/>
    <n v="0"/>
    <n v="0"/>
    <n v="0"/>
  </r>
  <r>
    <n v="21"/>
    <s v="Young Adults"/>
    <n v="0"/>
    <s v="Travel_Rarely"/>
    <n v="996"/>
    <x v="0"/>
    <n v="3"/>
    <s v="Near Office"/>
    <s v="College"/>
    <s v="Medical"/>
    <n v="4"/>
    <s v="Male"/>
    <n v="100"/>
    <n v="2"/>
    <n v="1"/>
    <s v="Research Scientist"/>
    <s v="High"/>
    <s v="Single"/>
    <n v="3230"/>
    <s v="Low (&lt;5k)"/>
    <n v="10531"/>
    <n v="1"/>
    <x v="0"/>
    <n v="17"/>
    <n v="3"/>
    <n v="1"/>
    <n v="0"/>
    <n v="3"/>
    <n v="4"/>
    <s v="Best"/>
    <n v="3"/>
    <x v="1"/>
    <n v="2"/>
    <n v="1"/>
    <n v="0"/>
  </r>
  <r>
    <n v="21"/>
    <s v="Young Adults"/>
    <n v="1"/>
    <s v="Travel_Frequently"/>
    <n v="756"/>
    <x v="1"/>
    <n v="1"/>
    <s v="Near Office"/>
    <s v="Below College"/>
    <s v="Technical Degree"/>
    <n v="1"/>
    <s v="Female"/>
    <n v="99"/>
    <n v="2"/>
    <n v="1"/>
    <s v="Sales Representative"/>
    <s v="Medium"/>
    <s v="Single"/>
    <n v="2174"/>
    <s v="Low (&lt;5k)"/>
    <n v="9150"/>
    <n v="1"/>
    <x v="1"/>
    <n v="11"/>
    <n v="3"/>
    <n v="3"/>
    <n v="0"/>
    <n v="3"/>
    <n v="3"/>
    <s v="Better"/>
    <n v="3"/>
    <x v="1"/>
    <n v="2"/>
    <n v="1"/>
    <n v="2"/>
  </r>
  <r>
    <n v="21"/>
    <s v="Young Adults"/>
    <n v="0"/>
    <s v="Non-Travel"/>
    <n v="895"/>
    <x v="1"/>
    <n v="9"/>
    <s v="Moderate"/>
    <s v="College"/>
    <s v="Medical"/>
    <n v="1"/>
    <s v="Male"/>
    <n v="39"/>
    <n v="3"/>
    <n v="1"/>
    <s v="Sales Representative"/>
    <s v="Very High"/>
    <s v="Single"/>
    <n v="2610"/>
    <s v="Low (&lt;5k)"/>
    <n v="2851"/>
    <n v="1"/>
    <x v="0"/>
    <n v="24"/>
    <n v="4"/>
    <n v="3"/>
    <n v="0"/>
    <n v="3"/>
    <n v="3"/>
    <s v="Good"/>
    <n v="3"/>
    <x v="1"/>
    <n v="2"/>
    <n v="2"/>
    <n v="2"/>
  </r>
  <r>
    <n v="21"/>
    <s v="Young Adults"/>
    <n v="1"/>
    <s v="Travel_Rarely"/>
    <n v="156"/>
    <x v="1"/>
    <n v="12"/>
    <s v="Moderate"/>
    <s v="Bachelor"/>
    <s v="Life Sciences"/>
    <n v="3"/>
    <s v="Female"/>
    <n v="90"/>
    <n v="4"/>
    <n v="1"/>
    <s v="Sales Representative"/>
    <s v="Medium"/>
    <s v="Single"/>
    <n v="2716"/>
    <s v="Low (&lt;5k)"/>
    <n v="25422"/>
    <n v="1"/>
    <x v="0"/>
    <n v="15"/>
    <n v="3"/>
    <n v="4"/>
    <n v="0"/>
    <n v="1"/>
    <n v="0"/>
    <s v="Better"/>
    <n v="1"/>
    <x v="0"/>
    <n v="0"/>
    <n v="0"/>
    <n v="0"/>
  </r>
  <r>
    <n v="21"/>
    <s v="Young Adults"/>
    <n v="0"/>
    <s v="Travel_Rarely"/>
    <n v="1343"/>
    <x v="1"/>
    <n v="22"/>
    <s v="Long Commute"/>
    <s v="Below College"/>
    <s v="Technical Degree"/>
    <n v="3"/>
    <s v="Male"/>
    <n v="49"/>
    <n v="3"/>
    <n v="1"/>
    <s v="Sales Representative"/>
    <s v="High"/>
    <s v="Single"/>
    <n v="3447"/>
    <s v="Low (&lt;5k)"/>
    <n v="24444"/>
    <n v="1"/>
    <x v="0"/>
    <n v="11"/>
    <n v="3"/>
    <n v="3"/>
    <n v="0"/>
    <n v="3"/>
    <n v="2"/>
    <s v="Better"/>
    <n v="3"/>
    <x v="1"/>
    <n v="2"/>
    <n v="1"/>
    <n v="2"/>
  </r>
  <r>
    <n v="21"/>
    <s v="Young Adults"/>
    <n v="1"/>
    <s v="Travel_Rarely"/>
    <n v="1427"/>
    <x v="0"/>
    <n v="18"/>
    <s v="Long Commute"/>
    <s v="Below College"/>
    <s v="Other"/>
    <n v="4"/>
    <s v="Female"/>
    <n v="65"/>
    <n v="3"/>
    <n v="1"/>
    <s v="Research Scientist"/>
    <s v="Very High"/>
    <s v="Single"/>
    <n v="2693"/>
    <s v="Low (&lt;5k)"/>
    <n v="8870"/>
    <n v="1"/>
    <x v="0"/>
    <n v="19"/>
    <n v="3"/>
    <n v="1"/>
    <n v="0"/>
    <n v="1"/>
    <n v="3"/>
    <s v="Good"/>
    <n v="1"/>
    <x v="0"/>
    <n v="0"/>
    <n v="0"/>
    <n v="0"/>
  </r>
  <r>
    <n v="21"/>
    <s v="Young Adults"/>
    <n v="1"/>
    <s v="Travel_Rarely"/>
    <n v="1334"/>
    <x v="0"/>
    <n v="10"/>
    <s v="Moderate"/>
    <s v="Bachelor"/>
    <s v="Life Sciences"/>
    <n v="3"/>
    <s v="Female"/>
    <n v="36"/>
    <n v="2"/>
    <n v="1"/>
    <s v="Laboratory Technician"/>
    <s v="Low"/>
    <s v="Single"/>
    <n v="1416"/>
    <s v="Low (&lt;5k)"/>
    <n v="17258"/>
    <n v="1"/>
    <x v="0"/>
    <n v="13"/>
    <n v="3"/>
    <n v="1"/>
    <n v="0"/>
    <n v="1"/>
    <n v="6"/>
    <s v="Good"/>
    <n v="1"/>
    <x v="0"/>
    <n v="0"/>
    <n v="1"/>
    <n v="0"/>
  </r>
  <r>
    <n v="21"/>
    <s v="Young Adults"/>
    <n v="0"/>
    <s v="Travel_Rarely"/>
    <n v="984"/>
    <x v="0"/>
    <n v="1"/>
    <s v="Near Office"/>
    <s v="Below College"/>
    <s v="Technical Degree"/>
    <n v="4"/>
    <s v="Female"/>
    <n v="70"/>
    <n v="2"/>
    <n v="1"/>
    <s v="Research Scientist"/>
    <s v="Medium"/>
    <s v="Single"/>
    <n v="2070"/>
    <s v="Low (&lt;5k)"/>
    <n v="25326"/>
    <n v="1"/>
    <x v="1"/>
    <n v="11"/>
    <n v="3"/>
    <n v="3"/>
    <n v="0"/>
    <n v="2"/>
    <n v="6"/>
    <s v="Best"/>
    <n v="2"/>
    <x v="0"/>
    <n v="2"/>
    <n v="2"/>
    <n v="2"/>
  </r>
  <r>
    <n v="21"/>
    <s v="Young Adults"/>
    <n v="1"/>
    <s v="Travel_Frequently"/>
    <n v="251"/>
    <x v="0"/>
    <n v="10"/>
    <s v="Moderate"/>
    <s v="College"/>
    <s v="Life Sciences"/>
    <n v="1"/>
    <s v="Female"/>
    <n v="45"/>
    <n v="2"/>
    <n v="1"/>
    <s v="Laboratory Technician"/>
    <s v="High"/>
    <s v="Single"/>
    <n v="2625"/>
    <s v="Low (&lt;5k)"/>
    <n v="25308"/>
    <n v="1"/>
    <x v="0"/>
    <n v="20"/>
    <n v="4"/>
    <n v="3"/>
    <n v="0"/>
    <n v="2"/>
    <n v="2"/>
    <s v="Bad"/>
    <n v="2"/>
    <x v="0"/>
    <n v="2"/>
    <n v="2"/>
    <n v="2"/>
  </r>
  <r>
    <n v="21"/>
    <s v="Young Adults"/>
    <n v="0"/>
    <s v="Travel_Rarely"/>
    <n v="546"/>
    <x v="0"/>
    <n v="5"/>
    <s v="Near Office"/>
    <s v="Below College"/>
    <s v="Medical"/>
    <n v="3"/>
    <s v="Male"/>
    <n v="97"/>
    <n v="3"/>
    <n v="1"/>
    <s v="Research Scientist"/>
    <s v="Very High"/>
    <s v="Single"/>
    <n v="3117"/>
    <s v="Low (&lt;5k)"/>
    <n v="26009"/>
    <n v="1"/>
    <x v="0"/>
    <n v="18"/>
    <n v="3"/>
    <n v="3"/>
    <n v="0"/>
    <n v="3"/>
    <n v="2"/>
    <s v="Better"/>
    <n v="2"/>
    <x v="0"/>
    <n v="2"/>
    <n v="2"/>
    <n v="2"/>
  </r>
  <r>
    <n v="21"/>
    <s v="Young Adults"/>
    <n v="1"/>
    <s v="Travel_Rarely"/>
    <n v="337"/>
    <x v="1"/>
    <n v="7"/>
    <s v="Moderate"/>
    <s v="Below College"/>
    <s v="Marketing"/>
    <n v="2"/>
    <s v="Male"/>
    <n v="31"/>
    <n v="3"/>
    <n v="1"/>
    <s v="Sales Representative"/>
    <s v="Medium"/>
    <s v="Single"/>
    <n v="2679"/>
    <s v="Low (&lt;5k)"/>
    <n v="4567"/>
    <n v="1"/>
    <x v="0"/>
    <n v="13"/>
    <n v="3"/>
    <n v="2"/>
    <n v="0"/>
    <n v="1"/>
    <n v="3"/>
    <s v="Better"/>
    <n v="1"/>
    <x v="0"/>
    <n v="0"/>
    <n v="1"/>
    <n v="0"/>
  </r>
  <r>
    <n v="21"/>
    <s v="Young Adults"/>
    <n v="0"/>
    <s v="Travel_Rarely"/>
    <n v="501"/>
    <x v="1"/>
    <n v="5"/>
    <s v="Near Office"/>
    <s v="Below College"/>
    <s v="Medical"/>
    <n v="3"/>
    <s v="Male"/>
    <n v="58"/>
    <n v="3"/>
    <n v="1"/>
    <s v="Sales Representative"/>
    <s v="Low"/>
    <s v="Single"/>
    <n v="2380"/>
    <s v="Low (&lt;5k)"/>
    <n v="25479"/>
    <n v="1"/>
    <x v="1"/>
    <n v="11"/>
    <n v="3"/>
    <n v="4"/>
    <n v="0"/>
    <n v="2"/>
    <n v="6"/>
    <s v="Better"/>
    <n v="2"/>
    <x v="0"/>
    <n v="2"/>
    <n v="1"/>
    <n v="2"/>
  </r>
  <r>
    <n v="22"/>
    <s v="Young Adults"/>
    <n v="0"/>
    <s v="Non-Travel"/>
    <n v="1123"/>
    <x v="0"/>
    <n v="16"/>
    <s v="Long Commute"/>
    <s v="College"/>
    <s v="Medical"/>
    <n v="4"/>
    <s v="Male"/>
    <n v="96"/>
    <n v="4"/>
    <n v="1"/>
    <s v="Laboratory Technician"/>
    <s v="Very High"/>
    <s v="Divorced"/>
    <n v="2935"/>
    <s v="Low (&lt;5k)"/>
    <n v="7324"/>
    <n v="1"/>
    <x v="1"/>
    <n v="13"/>
    <n v="3"/>
    <n v="2"/>
    <n v="2"/>
    <n v="1"/>
    <n v="2"/>
    <s v="Good"/>
    <n v="1"/>
    <x v="0"/>
    <n v="0"/>
    <n v="0"/>
    <n v="0"/>
  </r>
  <r>
    <n v="22"/>
    <s v="Young Adults"/>
    <n v="0"/>
    <s v="Travel_Rarely"/>
    <n v="534"/>
    <x v="0"/>
    <n v="15"/>
    <s v="Moderate"/>
    <s v="Bachelor"/>
    <s v="Medical"/>
    <n v="2"/>
    <s v="Female"/>
    <n v="59"/>
    <n v="3"/>
    <n v="1"/>
    <s v="Laboratory Technician"/>
    <s v="Very High"/>
    <s v="Single"/>
    <n v="2871"/>
    <s v="Low (&lt;5k)"/>
    <n v="23785"/>
    <n v="1"/>
    <x v="0"/>
    <n v="15"/>
    <n v="3"/>
    <n v="3"/>
    <n v="0"/>
    <n v="1"/>
    <n v="5"/>
    <s v="Better"/>
    <n v="0"/>
    <x v="0"/>
    <n v="0"/>
    <n v="0"/>
    <n v="0"/>
  </r>
  <r>
    <n v="22"/>
    <s v="Young Adults"/>
    <n v="0"/>
    <s v="Travel_Rarely"/>
    <n v="594"/>
    <x v="0"/>
    <n v="2"/>
    <s v="Near Office"/>
    <s v="Below College"/>
    <s v="Technical Degree"/>
    <n v="3"/>
    <s v="Male"/>
    <n v="100"/>
    <n v="3"/>
    <n v="1"/>
    <s v="Laboratory Technician"/>
    <s v="Very High"/>
    <s v="Married"/>
    <n v="2523"/>
    <s v="Low (&lt;5k)"/>
    <n v="19299"/>
    <n v="0"/>
    <x v="0"/>
    <n v="14"/>
    <n v="3"/>
    <n v="3"/>
    <n v="1"/>
    <n v="3"/>
    <n v="2"/>
    <s v="Better"/>
    <n v="2"/>
    <x v="0"/>
    <n v="1"/>
    <n v="2"/>
    <n v="1"/>
  </r>
  <r>
    <n v="22"/>
    <s v="Young Adults"/>
    <n v="0"/>
    <s v="Travel_Rarely"/>
    <n v="1256"/>
    <x v="0"/>
    <n v="19"/>
    <s v="Long Commute"/>
    <s v="Below College"/>
    <s v="Medical"/>
    <n v="3"/>
    <s v="Male"/>
    <n v="80"/>
    <n v="3"/>
    <n v="1"/>
    <s v="Research Scientist"/>
    <s v="Very High"/>
    <s v="Married"/>
    <n v="2323"/>
    <s v="Low (&lt;5k)"/>
    <n v="11992"/>
    <n v="1"/>
    <x v="0"/>
    <n v="24"/>
    <n v="4"/>
    <n v="1"/>
    <n v="2"/>
    <n v="2"/>
    <n v="6"/>
    <s v="Better"/>
    <n v="2"/>
    <x v="0"/>
    <n v="2"/>
    <n v="2"/>
    <n v="2"/>
  </r>
  <r>
    <n v="22"/>
    <s v="Young Adults"/>
    <n v="0"/>
    <s v="Travel_Rarely"/>
    <n v="1136"/>
    <x v="0"/>
    <n v="5"/>
    <s v="Near Office"/>
    <s v="Bachelor"/>
    <s v="Life Sciences"/>
    <n v="4"/>
    <s v="Male"/>
    <n v="60"/>
    <n v="4"/>
    <n v="1"/>
    <s v="Research Scientist"/>
    <s v="Medium"/>
    <s v="Divorced"/>
    <n v="2328"/>
    <s v="Low (&lt;5k)"/>
    <n v="12392"/>
    <n v="1"/>
    <x v="1"/>
    <n v="16"/>
    <n v="3"/>
    <n v="1"/>
    <n v="1"/>
    <n v="4"/>
    <n v="2"/>
    <s v="Good"/>
    <n v="4"/>
    <x v="1"/>
    <n v="2"/>
    <n v="2"/>
    <n v="2"/>
  </r>
  <r>
    <n v="22"/>
    <s v="Young Adults"/>
    <n v="0"/>
    <s v="Travel_Rarely"/>
    <n v="253"/>
    <x v="0"/>
    <n v="11"/>
    <s v="Moderate"/>
    <s v="Bachelor"/>
    <s v="Medical"/>
    <n v="1"/>
    <s v="Female"/>
    <n v="43"/>
    <n v="3"/>
    <n v="1"/>
    <s v="Research Scientist"/>
    <s v="Medium"/>
    <s v="Married"/>
    <n v="2244"/>
    <s v="Low (&lt;5k)"/>
    <n v="24440"/>
    <n v="1"/>
    <x v="0"/>
    <n v="13"/>
    <n v="3"/>
    <n v="4"/>
    <n v="1"/>
    <n v="2"/>
    <n v="1"/>
    <s v="Better"/>
    <n v="2"/>
    <x v="0"/>
    <n v="1"/>
    <n v="1"/>
    <n v="2"/>
  </r>
  <r>
    <n v="22"/>
    <s v="Young Adults"/>
    <n v="1"/>
    <s v="Travel_Frequently"/>
    <n v="1368"/>
    <x v="0"/>
    <n v="4"/>
    <s v="Near Office"/>
    <s v="Below College"/>
    <s v="Technical Degree"/>
    <n v="3"/>
    <s v="Male"/>
    <n v="99"/>
    <n v="2"/>
    <n v="1"/>
    <s v="Laboratory Technician"/>
    <s v="High"/>
    <s v="Single"/>
    <n v="3894"/>
    <s v="Low (&lt;5k)"/>
    <n v="9129"/>
    <n v="5"/>
    <x v="0"/>
    <n v="16"/>
    <n v="3"/>
    <n v="3"/>
    <n v="0"/>
    <n v="4"/>
    <n v="3"/>
    <s v="Better"/>
    <n v="2"/>
    <x v="0"/>
    <n v="2"/>
    <n v="1"/>
    <n v="2"/>
  </r>
  <r>
    <n v="22"/>
    <s v="Young Adults"/>
    <n v="0"/>
    <s v="Travel_Rarely"/>
    <n v="604"/>
    <x v="0"/>
    <n v="6"/>
    <s v="Moderate"/>
    <s v="Below College"/>
    <s v="Medical"/>
    <n v="1"/>
    <s v="Male"/>
    <n v="69"/>
    <n v="3"/>
    <n v="1"/>
    <s v="Research Scientist"/>
    <s v="High"/>
    <s v="Married"/>
    <n v="2773"/>
    <s v="Low (&lt;5k)"/>
    <n v="12145"/>
    <n v="0"/>
    <x v="0"/>
    <n v="20"/>
    <n v="4"/>
    <n v="4"/>
    <n v="0"/>
    <n v="3"/>
    <n v="3"/>
    <s v="Better"/>
    <n v="2"/>
    <x v="0"/>
    <n v="2"/>
    <n v="2"/>
    <n v="2"/>
  </r>
  <r>
    <n v="22"/>
    <s v="Young Adults"/>
    <n v="0"/>
    <s v="Travel_Rarely"/>
    <n v="1230"/>
    <x v="0"/>
    <n v="1"/>
    <s v="Near Office"/>
    <s v="College"/>
    <s v="Life Sciences"/>
    <n v="4"/>
    <s v="Male"/>
    <n v="33"/>
    <n v="2"/>
    <n v="2"/>
    <s v="Manufacturing Director"/>
    <s v="Very High"/>
    <s v="Married"/>
    <n v="4775"/>
    <s v="Low (&lt;5k)"/>
    <n v="19146"/>
    <n v="6"/>
    <x v="0"/>
    <n v="22"/>
    <n v="4"/>
    <n v="1"/>
    <n v="2"/>
    <n v="4"/>
    <n v="2"/>
    <s v="Bad"/>
    <n v="2"/>
    <x v="0"/>
    <n v="2"/>
    <n v="2"/>
    <n v="2"/>
  </r>
  <r>
    <n v="22"/>
    <s v="Young Adults"/>
    <n v="1"/>
    <s v="Travel_Rarely"/>
    <n v="617"/>
    <x v="0"/>
    <n v="3"/>
    <s v="Near Office"/>
    <s v="Below College"/>
    <s v="Life Sciences"/>
    <n v="2"/>
    <s v="Female"/>
    <n v="34"/>
    <n v="3"/>
    <n v="2"/>
    <s v="Manufacturing Director"/>
    <s v="High"/>
    <s v="Married"/>
    <n v="4171"/>
    <s v="Low (&lt;5k)"/>
    <n v="10022"/>
    <n v="0"/>
    <x v="1"/>
    <n v="19"/>
    <n v="3"/>
    <n v="1"/>
    <n v="1"/>
    <n v="4"/>
    <n v="3"/>
    <s v="Best"/>
    <n v="3"/>
    <x v="1"/>
    <n v="2"/>
    <n v="0"/>
    <n v="2"/>
  </r>
  <r>
    <n v="22"/>
    <s v="Young Adults"/>
    <n v="0"/>
    <s v="Travel_Rarely"/>
    <n v="217"/>
    <x v="0"/>
    <n v="8"/>
    <s v="Moderate"/>
    <s v="Below College"/>
    <s v="Life Sciences"/>
    <n v="2"/>
    <s v="Male"/>
    <n v="94"/>
    <n v="1"/>
    <n v="1"/>
    <s v="Laboratory Technician"/>
    <s v="Low"/>
    <s v="Married"/>
    <n v="2451"/>
    <s v="Low (&lt;5k)"/>
    <n v="6881"/>
    <n v="1"/>
    <x v="0"/>
    <n v="15"/>
    <n v="3"/>
    <n v="1"/>
    <n v="1"/>
    <n v="4"/>
    <n v="3"/>
    <s v="Good"/>
    <n v="4"/>
    <x v="1"/>
    <n v="3"/>
    <n v="1"/>
    <n v="1"/>
  </r>
  <r>
    <n v="22"/>
    <s v="Young Adults"/>
    <n v="1"/>
    <s v="Travel_Frequently"/>
    <n v="1256"/>
    <x v="0"/>
    <n v="3"/>
    <s v="Near Office"/>
    <s v="Master"/>
    <s v="Life Sciences"/>
    <n v="3"/>
    <s v="Male"/>
    <n v="48"/>
    <n v="2"/>
    <n v="1"/>
    <s v="Research Scientist"/>
    <s v="Very High"/>
    <s v="Married"/>
    <n v="2853"/>
    <s v="Low (&lt;5k)"/>
    <n v="4223"/>
    <n v="0"/>
    <x v="1"/>
    <n v="11"/>
    <n v="3"/>
    <n v="2"/>
    <n v="1"/>
    <n v="1"/>
    <n v="5"/>
    <s v="Better"/>
    <n v="0"/>
    <x v="0"/>
    <n v="0"/>
    <n v="0"/>
    <n v="0"/>
  </r>
  <r>
    <n v="22"/>
    <s v="Young Adults"/>
    <n v="0"/>
    <s v="Non-Travel"/>
    <n v="457"/>
    <x v="0"/>
    <n v="26"/>
    <s v="Long Commute"/>
    <s v="College"/>
    <s v="Other"/>
    <n v="2"/>
    <s v="Female"/>
    <n v="85"/>
    <n v="2"/>
    <n v="1"/>
    <s v="Research Scientist"/>
    <s v="High"/>
    <s v="Married"/>
    <n v="2814"/>
    <s v="Low (&lt;5k)"/>
    <n v="10293"/>
    <n v="1"/>
    <x v="1"/>
    <n v="14"/>
    <n v="3"/>
    <n v="2"/>
    <n v="0"/>
    <n v="4"/>
    <n v="2"/>
    <s v="Good"/>
    <n v="4"/>
    <x v="1"/>
    <n v="2"/>
    <n v="1"/>
    <n v="3"/>
  </r>
  <r>
    <n v="22"/>
    <s v="Young Adults"/>
    <n v="1"/>
    <s v="Travel_Rarely"/>
    <n v="1294"/>
    <x v="0"/>
    <n v="8"/>
    <s v="Moderate"/>
    <s v="Below College"/>
    <s v="Medical"/>
    <n v="3"/>
    <s v="Female"/>
    <n v="79"/>
    <n v="3"/>
    <n v="1"/>
    <s v="Laboratory Technician"/>
    <s v="Low"/>
    <s v="Married"/>
    <n v="2398"/>
    <s v="Low (&lt;5k)"/>
    <n v="15999"/>
    <n v="1"/>
    <x v="1"/>
    <n v="17"/>
    <n v="3"/>
    <n v="3"/>
    <n v="0"/>
    <n v="1"/>
    <n v="6"/>
    <s v="Better"/>
    <n v="1"/>
    <x v="0"/>
    <n v="0"/>
    <n v="0"/>
    <n v="0"/>
  </r>
  <r>
    <n v="22"/>
    <s v="Young Adults"/>
    <n v="1"/>
    <s v="Travel_Rarely"/>
    <n v="391"/>
    <x v="0"/>
    <n v="7"/>
    <s v="Moderate"/>
    <s v="Below College"/>
    <s v="Life Sciences"/>
    <n v="4"/>
    <s v="Male"/>
    <n v="75"/>
    <n v="3"/>
    <n v="1"/>
    <s v="Research Scientist"/>
    <s v="Medium"/>
    <s v="Single"/>
    <n v="2472"/>
    <s v="Low (&lt;5k)"/>
    <n v="26092"/>
    <n v="1"/>
    <x v="1"/>
    <n v="23"/>
    <n v="4"/>
    <n v="1"/>
    <n v="0"/>
    <n v="1"/>
    <n v="2"/>
    <s v="Better"/>
    <n v="1"/>
    <x v="0"/>
    <n v="0"/>
    <n v="0"/>
    <n v="0"/>
  </r>
  <r>
    <n v="22"/>
    <s v="Young Adults"/>
    <n v="0"/>
    <s v="Travel_Rarely"/>
    <n v="581"/>
    <x v="0"/>
    <n v="1"/>
    <s v="Near Office"/>
    <s v="College"/>
    <s v="Life Sciences"/>
    <n v="4"/>
    <s v="Male"/>
    <n v="63"/>
    <n v="3"/>
    <n v="1"/>
    <s v="Research Scientist"/>
    <s v="High"/>
    <s v="Single"/>
    <n v="3375"/>
    <s v="Low (&lt;5k)"/>
    <n v="17624"/>
    <n v="0"/>
    <x v="0"/>
    <n v="12"/>
    <n v="3"/>
    <n v="4"/>
    <n v="0"/>
    <n v="4"/>
    <n v="2"/>
    <s v="Best"/>
    <n v="3"/>
    <x v="1"/>
    <n v="2"/>
    <n v="1"/>
    <n v="2"/>
  </r>
  <r>
    <n v="23"/>
    <s v="Young Adults"/>
    <n v="0"/>
    <s v="Travel_Rarely"/>
    <n v="541"/>
    <x v="1"/>
    <n v="2"/>
    <s v="Near Office"/>
    <s v="Below College"/>
    <s v="Technical Degree"/>
    <n v="3"/>
    <s v="Male"/>
    <n v="62"/>
    <n v="3"/>
    <n v="1"/>
    <s v="Sales Representative"/>
    <s v="Low"/>
    <s v="Divorced"/>
    <n v="2322"/>
    <s v="Low (&lt;5k)"/>
    <n v="9518"/>
    <n v="3"/>
    <x v="0"/>
    <n v="13"/>
    <n v="3"/>
    <n v="3"/>
    <n v="1"/>
    <n v="3"/>
    <n v="3"/>
    <s v="Better"/>
    <n v="0"/>
    <x v="0"/>
    <n v="0"/>
    <n v="0"/>
    <n v="0"/>
  </r>
  <r>
    <n v="23"/>
    <s v="Young Adults"/>
    <n v="0"/>
    <s v="Travel_Rarely"/>
    <n v="1309"/>
    <x v="0"/>
    <n v="26"/>
    <s v="Long Commute"/>
    <s v="Below College"/>
    <s v="Life Sciences"/>
    <n v="3"/>
    <s v="Male"/>
    <n v="83"/>
    <n v="3"/>
    <n v="1"/>
    <s v="Research Scientist"/>
    <s v="Very High"/>
    <s v="Divorced"/>
    <n v="2904"/>
    <s v="Low (&lt;5k)"/>
    <n v="16092"/>
    <n v="1"/>
    <x v="0"/>
    <n v="12"/>
    <n v="3"/>
    <n v="3"/>
    <n v="2"/>
    <n v="4"/>
    <n v="2"/>
    <s v="Good"/>
    <n v="4"/>
    <x v="1"/>
    <n v="2"/>
    <n v="0"/>
    <n v="2"/>
  </r>
  <r>
    <n v="23"/>
    <s v="Young Adults"/>
    <n v="0"/>
    <s v="Travel_Rarely"/>
    <n v="885"/>
    <x v="0"/>
    <n v="4"/>
    <s v="Near Office"/>
    <s v="Bachelor"/>
    <s v="Medical"/>
    <n v="1"/>
    <s v="Male"/>
    <n v="58"/>
    <n v="4"/>
    <n v="1"/>
    <s v="Research Scientist"/>
    <s v="Low"/>
    <s v="Married"/>
    <n v="2819"/>
    <s v="Low (&lt;5k)"/>
    <n v="8544"/>
    <n v="2"/>
    <x v="0"/>
    <n v="16"/>
    <n v="3"/>
    <n v="1"/>
    <n v="1"/>
    <n v="5"/>
    <n v="3"/>
    <s v="Best"/>
    <n v="3"/>
    <x v="1"/>
    <n v="2"/>
    <n v="0"/>
    <n v="2"/>
  </r>
  <r>
    <n v="23"/>
    <s v="Young Adults"/>
    <n v="0"/>
    <s v="Travel_Rarely"/>
    <n v="650"/>
    <x v="0"/>
    <n v="9"/>
    <s v="Moderate"/>
    <s v="Below College"/>
    <s v="Medical"/>
    <n v="2"/>
    <s v="Male"/>
    <n v="37"/>
    <n v="3"/>
    <n v="1"/>
    <s v="Laboratory Technician"/>
    <s v="Low"/>
    <s v="Married"/>
    <n v="2500"/>
    <s v="Low (&lt;5k)"/>
    <n v="4344"/>
    <n v="1"/>
    <x v="0"/>
    <n v="14"/>
    <n v="3"/>
    <n v="4"/>
    <n v="1"/>
    <n v="5"/>
    <n v="2"/>
    <s v="Best"/>
    <n v="4"/>
    <x v="1"/>
    <n v="3"/>
    <n v="0"/>
    <n v="2"/>
  </r>
  <r>
    <n v="23"/>
    <s v="Young Adults"/>
    <n v="0"/>
    <s v="Travel_Rarely"/>
    <n v="310"/>
    <x v="0"/>
    <n v="10"/>
    <s v="Moderate"/>
    <s v="Below College"/>
    <s v="Medical"/>
    <n v="1"/>
    <s v="Male"/>
    <n v="79"/>
    <n v="4"/>
    <n v="1"/>
    <s v="Research Scientist"/>
    <s v="High"/>
    <s v="Single"/>
    <n v="3505"/>
    <s v="Low (&lt;5k)"/>
    <n v="19630"/>
    <n v="1"/>
    <x v="0"/>
    <n v="18"/>
    <n v="3"/>
    <n v="4"/>
    <n v="0"/>
    <n v="2"/>
    <n v="3"/>
    <s v="Better"/>
    <n v="2"/>
    <x v="0"/>
    <n v="2"/>
    <n v="0"/>
    <n v="2"/>
  </r>
  <r>
    <n v="23"/>
    <s v="Young Adults"/>
    <n v="1"/>
    <s v="Travel_Rarely"/>
    <n v="1243"/>
    <x v="0"/>
    <n v="6"/>
    <s v="Moderate"/>
    <s v="Bachelor"/>
    <s v="Life Sciences"/>
    <n v="3"/>
    <s v="Male"/>
    <n v="63"/>
    <n v="4"/>
    <n v="1"/>
    <s v="Laboratory Technician"/>
    <s v="Low"/>
    <s v="Married"/>
    <n v="1601"/>
    <s v="Low (&lt;5k)"/>
    <n v="3445"/>
    <n v="1"/>
    <x v="1"/>
    <n v="21"/>
    <n v="4"/>
    <n v="3"/>
    <n v="2"/>
    <n v="1"/>
    <n v="2"/>
    <s v="Better"/>
    <n v="0"/>
    <x v="0"/>
    <n v="0"/>
    <n v="0"/>
    <n v="0"/>
  </r>
  <r>
    <n v="23"/>
    <s v="Young Adults"/>
    <n v="0"/>
    <s v="Travel_Rarely"/>
    <n v="373"/>
    <x v="0"/>
    <n v="1"/>
    <s v="Near Office"/>
    <s v="College"/>
    <s v="Life Sciences"/>
    <n v="4"/>
    <s v="Male"/>
    <n v="47"/>
    <n v="3"/>
    <n v="1"/>
    <s v="Research Scientist"/>
    <s v="High"/>
    <s v="Married"/>
    <n v="1223"/>
    <s v="Low (&lt;5k)"/>
    <n v="16901"/>
    <n v="1"/>
    <x v="0"/>
    <n v="22"/>
    <n v="4"/>
    <n v="4"/>
    <n v="1"/>
    <n v="1"/>
    <n v="2"/>
    <s v="Better"/>
    <n v="1"/>
    <x v="0"/>
    <n v="0"/>
    <n v="0"/>
    <n v="1"/>
  </r>
  <r>
    <n v="23"/>
    <s v="Young Adults"/>
    <n v="0"/>
    <s v="Travel_Rarely"/>
    <n v="507"/>
    <x v="0"/>
    <n v="20"/>
    <s v="Long Commute"/>
    <s v="Below College"/>
    <s v="Life Sciences"/>
    <n v="1"/>
    <s v="Male"/>
    <n v="97"/>
    <n v="3"/>
    <n v="2"/>
    <s v="Laboratory Technician"/>
    <s v="High"/>
    <s v="Single"/>
    <n v="2272"/>
    <s v="Low (&lt;5k)"/>
    <n v="24812"/>
    <n v="0"/>
    <x v="0"/>
    <n v="14"/>
    <n v="3"/>
    <n v="2"/>
    <n v="0"/>
    <n v="5"/>
    <n v="2"/>
    <s v="Better"/>
    <n v="4"/>
    <x v="1"/>
    <n v="3"/>
    <n v="1"/>
    <n v="2"/>
  </r>
  <r>
    <n v="23"/>
    <s v="Young Adults"/>
    <n v="0"/>
    <s v="Travel_Rarely"/>
    <n v="977"/>
    <x v="0"/>
    <n v="10"/>
    <s v="Moderate"/>
    <s v="Bachelor"/>
    <s v="Technical Degree"/>
    <n v="4"/>
    <s v="Male"/>
    <n v="45"/>
    <n v="4"/>
    <n v="1"/>
    <s v="Research Scientist"/>
    <s v="High"/>
    <s v="Married"/>
    <n v="2073"/>
    <s v="Low (&lt;5k)"/>
    <n v="12826"/>
    <n v="2"/>
    <x v="0"/>
    <n v="16"/>
    <n v="3"/>
    <n v="4"/>
    <n v="1"/>
    <n v="4"/>
    <n v="2"/>
    <s v="Better"/>
    <n v="2"/>
    <x v="0"/>
    <n v="2"/>
    <n v="2"/>
    <n v="2"/>
  </r>
  <r>
    <n v="23"/>
    <s v="Young Adults"/>
    <n v="1"/>
    <s v="Travel_Rarely"/>
    <n v="1320"/>
    <x v="0"/>
    <n v="8"/>
    <s v="Moderate"/>
    <s v="Below College"/>
    <s v="Medical"/>
    <n v="4"/>
    <s v="Male"/>
    <n v="93"/>
    <n v="2"/>
    <n v="1"/>
    <s v="Laboratory Technician"/>
    <s v="High"/>
    <s v="Single"/>
    <n v="3989"/>
    <s v="Low (&lt;5k)"/>
    <n v="20586"/>
    <n v="1"/>
    <x v="1"/>
    <n v="11"/>
    <n v="3"/>
    <n v="1"/>
    <n v="0"/>
    <n v="5"/>
    <n v="2"/>
    <s v="Better"/>
    <n v="5"/>
    <x v="1"/>
    <n v="4"/>
    <n v="1"/>
    <n v="2"/>
  </r>
  <r>
    <n v="23"/>
    <s v="Young Adults"/>
    <n v="1"/>
    <s v="Travel_Rarely"/>
    <n v="427"/>
    <x v="1"/>
    <n v="7"/>
    <s v="Moderate"/>
    <s v="Bachelor"/>
    <s v="Life Sciences"/>
    <n v="3"/>
    <s v="Male"/>
    <n v="99"/>
    <n v="3"/>
    <n v="1"/>
    <s v="Sales Representative"/>
    <s v="Very High"/>
    <s v="Divorced"/>
    <n v="2275"/>
    <s v="Low (&lt;5k)"/>
    <n v="25103"/>
    <n v="1"/>
    <x v="1"/>
    <n v="21"/>
    <n v="4"/>
    <n v="2"/>
    <n v="1"/>
    <n v="3"/>
    <n v="2"/>
    <s v="Better"/>
    <n v="3"/>
    <x v="1"/>
    <n v="2"/>
    <n v="0"/>
    <n v="2"/>
  </r>
  <r>
    <n v="23"/>
    <s v="Young Adults"/>
    <n v="0"/>
    <s v="Travel_Rarely"/>
    <n v="160"/>
    <x v="0"/>
    <n v="4"/>
    <s v="Near Office"/>
    <s v="Below College"/>
    <s v="Medical"/>
    <n v="3"/>
    <s v="Female"/>
    <n v="51"/>
    <n v="3"/>
    <n v="1"/>
    <s v="Laboratory Technician"/>
    <s v="Medium"/>
    <s v="Single"/>
    <n v="3295"/>
    <s v="Low (&lt;5k)"/>
    <n v="12862"/>
    <n v="1"/>
    <x v="0"/>
    <n v="13"/>
    <n v="3"/>
    <n v="3"/>
    <n v="0"/>
    <n v="3"/>
    <n v="3"/>
    <s v="Bad"/>
    <n v="3"/>
    <x v="1"/>
    <n v="2"/>
    <n v="1"/>
    <n v="2"/>
  </r>
  <r>
    <n v="23"/>
    <s v="Young Adults"/>
    <n v="0"/>
    <s v="Travel_Rarely"/>
    <n v="571"/>
    <x v="0"/>
    <n v="12"/>
    <s v="Moderate"/>
    <s v="College"/>
    <s v="Other"/>
    <n v="4"/>
    <s v="Male"/>
    <n v="78"/>
    <n v="3"/>
    <n v="1"/>
    <s v="Laboratory Technician"/>
    <s v="Very High"/>
    <s v="Single"/>
    <n v="2647"/>
    <s v="Low (&lt;5k)"/>
    <n v="13672"/>
    <n v="1"/>
    <x v="0"/>
    <n v="13"/>
    <n v="3"/>
    <n v="3"/>
    <n v="0"/>
    <n v="5"/>
    <n v="6"/>
    <s v="Best"/>
    <n v="5"/>
    <x v="1"/>
    <n v="2"/>
    <n v="1"/>
    <n v="4"/>
  </r>
  <r>
    <n v="23"/>
    <s v="Young Adults"/>
    <n v="1"/>
    <s v="Travel_Frequently"/>
    <n v="638"/>
    <x v="1"/>
    <n v="9"/>
    <s v="Moderate"/>
    <s v="Bachelor"/>
    <s v="Marketing"/>
    <n v="4"/>
    <s v="Male"/>
    <n v="33"/>
    <n v="3"/>
    <n v="1"/>
    <s v="Sales Representative"/>
    <s v="Low"/>
    <s v="Married"/>
    <n v="1790"/>
    <s v="Low (&lt;5k)"/>
    <n v="26956"/>
    <n v="1"/>
    <x v="0"/>
    <n v="19"/>
    <n v="3"/>
    <n v="1"/>
    <n v="1"/>
    <n v="1"/>
    <n v="3"/>
    <s v="Good"/>
    <n v="1"/>
    <x v="0"/>
    <n v="0"/>
    <n v="1"/>
    <n v="0"/>
  </r>
  <r>
    <n v="24"/>
    <s v="Young Adults"/>
    <n v="0"/>
    <s v="Non-Travel"/>
    <n v="673"/>
    <x v="0"/>
    <n v="11"/>
    <s v="Moderate"/>
    <s v="College"/>
    <s v="Other"/>
    <n v="1"/>
    <s v="Female"/>
    <n v="96"/>
    <n v="4"/>
    <n v="2"/>
    <s v="Manufacturing Director"/>
    <s v="High"/>
    <s v="Divorced"/>
    <n v="4011"/>
    <s v="Low (&lt;5k)"/>
    <n v="8232"/>
    <n v="0"/>
    <x v="0"/>
    <n v="18"/>
    <n v="3"/>
    <n v="4"/>
    <n v="1"/>
    <n v="5"/>
    <n v="5"/>
    <s v="Good"/>
    <n v="4"/>
    <x v="1"/>
    <n v="2"/>
    <n v="1"/>
    <n v="3"/>
  </r>
  <r>
    <n v="24"/>
    <s v="Young Adults"/>
    <n v="1"/>
    <s v="Travel_Rarely"/>
    <n v="813"/>
    <x v="0"/>
    <n v="1"/>
    <s v="Near Office"/>
    <s v="Bachelor"/>
    <s v="Medical"/>
    <n v="2"/>
    <s v="Male"/>
    <n v="61"/>
    <n v="3"/>
    <n v="1"/>
    <s v="Research Scientist"/>
    <s v="Very High"/>
    <s v="Married"/>
    <n v="2293"/>
    <s v="Low (&lt;5k)"/>
    <n v="3020"/>
    <n v="2"/>
    <x v="1"/>
    <n v="16"/>
    <n v="3"/>
    <n v="1"/>
    <n v="1"/>
    <n v="6"/>
    <n v="2"/>
    <s v="Good"/>
    <n v="2"/>
    <x v="0"/>
    <n v="0"/>
    <n v="2"/>
    <n v="0"/>
  </r>
  <r>
    <n v="24"/>
    <s v="Young Adults"/>
    <n v="0"/>
    <s v="Travel_Rarely"/>
    <n v="1353"/>
    <x v="1"/>
    <n v="3"/>
    <s v="Near Office"/>
    <s v="College"/>
    <s v="Other"/>
    <n v="1"/>
    <s v="Female"/>
    <n v="33"/>
    <n v="3"/>
    <n v="2"/>
    <s v="Sales Executive"/>
    <s v="High"/>
    <s v="Married"/>
    <n v="4999"/>
    <s v="Low (&lt;5k)"/>
    <n v="17519"/>
    <n v="0"/>
    <x v="0"/>
    <n v="21"/>
    <n v="4"/>
    <n v="1"/>
    <n v="1"/>
    <n v="4"/>
    <n v="2"/>
    <s v="Good"/>
    <n v="3"/>
    <x v="1"/>
    <n v="2"/>
    <n v="0"/>
    <n v="2"/>
  </r>
  <r>
    <n v="24"/>
    <s v="Young Adults"/>
    <n v="0"/>
    <s v="Travel_Rarely"/>
    <n v="1127"/>
    <x v="0"/>
    <n v="18"/>
    <s v="Long Commute"/>
    <s v="Below College"/>
    <s v="Life Sciences"/>
    <n v="2"/>
    <s v="Male"/>
    <n v="52"/>
    <n v="3"/>
    <n v="1"/>
    <s v="Laboratory Technician"/>
    <s v="High"/>
    <s v="Married"/>
    <n v="2774"/>
    <s v="Low (&lt;5k)"/>
    <n v="13257"/>
    <n v="0"/>
    <x v="0"/>
    <n v="12"/>
    <n v="3"/>
    <n v="3"/>
    <n v="1"/>
    <n v="6"/>
    <n v="2"/>
    <s v="Better"/>
    <n v="5"/>
    <x v="1"/>
    <n v="3"/>
    <n v="1"/>
    <n v="2"/>
  </r>
  <r>
    <n v="24"/>
    <s v="Young Adults"/>
    <n v="0"/>
    <s v="Travel_Rarely"/>
    <n v="1371"/>
    <x v="1"/>
    <n v="10"/>
    <s v="Moderate"/>
    <s v="Master"/>
    <s v="Marketing"/>
    <n v="4"/>
    <s v="Female"/>
    <n v="77"/>
    <n v="3"/>
    <n v="2"/>
    <s v="Sales Executive"/>
    <s v="High"/>
    <s v="Divorced"/>
    <n v="4260"/>
    <s v="Low (&lt;5k)"/>
    <n v="5915"/>
    <n v="1"/>
    <x v="1"/>
    <n v="12"/>
    <n v="3"/>
    <n v="4"/>
    <n v="1"/>
    <n v="5"/>
    <n v="2"/>
    <s v="Best"/>
    <n v="5"/>
    <x v="1"/>
    <n v="2"/>
    <n v="0"/>
    <n v="3"/>
  </r>
  <r>
    <n v="24"/>
    <s v="Young Adults"/>
    <n v="1"/>
    <s v="Travel_Rarely"/>
    <n v="1448"/>
    <x v="1"/>
    <n v="1"/>
    <s v="Near Office"/>
    <s v="Below College"/>
    <s v="Technical Degree"/>
    <n v="1"/>
    <s v="Female"/>
    <n v="62"/>
    <n v="3"/>
    <n v="1"/>
    <s v="Sales Representative"/>
    <s v="Medium"/>
    <s v="Single"/>
    <n v="3202"/>
    <s v="Low (&lt;5k)"/>
    <n v="21972"/>
    <n v="1"/>
    <x v="1"/>
    <n v="16"/>
    <n v="3"/>
    <n v="2"/>
    <n v="0"/>
    <n v="6"/>
    <n v="4"/>
    <s v="Better"/>
    <n v="5"/>
    <x v="1"/>
    <n v="3"/>
    <n v="1"/>
    <n v="4"/>
  </r>
  <r>
    <n v="24"/>
    <s v="Young Adults"/>
    <n v="0"/>
    <s v="Travel_Frequently"/>
    <n v="535"/>
    <x v="1"/>
    <n v="24"/>
    <s v="Long Commute"/>
    <s v="Bachelor"/>
    <s v="Medical"/>
    <n v="4"/>
    <s v="Male"/>
    <n v="38"/>
    <n v="3"/>
    <n v="1"/>
    <s v="Sales Representative"/>
    <s v="Very High"/>
    <s v="Married"/>
    <n v="2400"/>
    <s v="Low (&lt;5k)"/>
    <n v="5530"/>
    <n v="0"/>
    <x v="0"/>
    <n v="13"/>
    <n v="3"/>
    <n v="3"/>
    <n v="2"/>
    <n v="3"/>
    <n v="3"/>
    <s v="Better"/>
    <n v="2"/>
    <x v="0"/>
    <n v="2"/>
    <n v="2"/>
    <n v="1"/>
  </r>
  <r>
    <n v="24"/>
    <s v="Young Adults"/>
    <n v="0"/>
    <s v="Travel_Rarely"/>
    <n v="691"/>
    <x v="0"/>
    <n v="23"/>
    <s v="Long Commute"/>
    <s v="Bachelor"/>
    <s v="Medical"/>
    <n v="2"/>
    <s v="Male"/>
    <n v="89"/>
    <n v="4"/>
    <n v="1"/>
    <s v="Research Scientist"/>
    <s v="Very High"/>
    <s v="Married"/>
    <n v="2725"/>
    <s v="Low (&lt;5k)"/>
    <n v="21630"/>
    <n v="1"/>
    <x v="1"/>
    <n v="11"/>
    <n v="3"/>
    <n v="2"/>
    <n v="2"/>
    <n v="6"/>
    <n v="3"/>
    <s v="Better"/>
    <n v="6"/>
    <x v="1"/>
    <n v="5"/>
    <n v="1"/>
    <n v="4"/>
  </r>
  <r>
    <n v="24"/>
    <s v="Young Adults"/>
    <n v="0"/>
    <s v="Travel_Rarely"/>
    <n v="823"/>
    <x v="0"/>
    <n v="17"/>
    <s v="Long Commute"/>
    <s v="College"/>
    <s v="Other"/>
    <n v="4"/>
    <s v="Male"/>
    <n v="94"/>
    <n v="2"/>
    <n v="1"/>
    <s v="Laboratory Technician"/>
    <s v="Medium"/>
    <s v="Married"/>
    <n v="2127"/>
    <s v="Low (&lt;5k)"/>
    <n v="9100"/>
    <n v="1"/>
    <x v="0"/>
    <n v="21"/>
    <n v="4"/>
    <n v="4"/>
    <n v="1"/>
    <n v="1"/>
    <n v="2"/>
    <s v="Better"/>
    <n v="1"/>
    <x v="0"/>
    <n v="0"/>
    <n v="0"/>
    <n v="0"/>
  </r>
  <r>
    <n v="24"/>
    <s v="Young Adults"/>
    <n v="1"/>
    <s v="Travel_Frequently"/>
    <n v="1287"/>
    <x v="0"/>
    <n v="7"/>
    <s v="Moderate"/>
    <s v="Bachelor"/>
    <s v="Life Sciences"/>
    <n v="1"/>
    <s v="Female"/>
    <n v="55"/>
    <n v="3"/>
    <n v="1"/>
    <s v="Laboratory Technician"/>
    <s v="High"/>
    <s v="Married"/>
    <n v="2886"/>
    <s v="Low (&lt;5k)"/>
    <n v="14168"/>
    <n v="1"/>
    <x v="1"/>
    <n v="16"/>
    <n v="3"/>
    <n v="4"/>
    <n v="1"/>
    <n v="6"/>
    <n v="4"/>
    <s v="Better"/>
    <n v="6"/>
    <x v="1"/>
    <n v="3"/>
    <n v="1"/>
    <n v="2"/>
  </r>
  <r>
    <n v="24"/>
    <s v="Young Adults"/>
    <n v="1"/>
    <s v="Travel_Rarely"/>
    <n v="693"/>
    <x v="1"/>
    <n v="3"/>
    <s v="Near Office"/>
    <s v="College"/>
    <s v="Life Sciences"/>
    <n v="1"/>
    <s v="Female"/>
    <n v="65"/>
    <n v="3"/>
    <n v="2"/>
    <s v="Sales Executive"/>
    <s v="High"/>
    <s v="Single"/>
    <n v="4577"/>
    <s v="Low (&lt;5k)"/>
    <n v="24785"/>
    <n v="9"/>
    <x v="0"/>
    <n v="14"/>
    <n v="3"/>
    <n v="1"/>
    <n v="0"/>
    <n v="4"/>
    <n v="3"/>
    <s v="Better"/>
    <n v="2"/>
    <x v="0"/>
    <n v="2"/>
    <n v="2"/>
    <n v="0"/>
  </r>
  <r>
    <n v="24"/>
    <s v="Young Adults"/>
    <n v="0"/>
    <s v="Non-Travel"/>
    <n v="1092"/>
    <x v="0"/>
    <n v="9"/>
    <s v="Moderate"/>
    <s v="Bachelor"/>
    <s v="Life Sciences"/>
    <n v="3"/>
    <s v="Male"/>
    <n v="60"/>
    <n v="2"/>
    <n v="1"/>
    <s v="Laboratory Technician"/>
    <s v="Medium"/>
    <s v="Divorced"/>
    <n v="2694"/>
    <s v="Low (&lt;5k)"/>
    <n v="26551"/>
    <n v="1"/>
    <x v="0"/>
    <n v="11"/>
    <n v="3"/>
    <n v="3"/>
    <n v="3"/>
    <n v="1"/>
    <n v="4"/>
    <s v="Better"/>
    <n v="1"/>
    <x v="0"/>
    <n v="0"/>
    <n v="0"/>
    <n v="0"/>
  </r>
  <r>
    <n v="24"/>
    <s v="Young Adults"/>
    <n v="0"/>
    <s v="Non-Travel"/>
    <n v="1269"/>
    <x v="0"/>
    <n v="4"/>
    <s v="Near Office"/>
    <s v="Below College"/>
    <s v="Life Sciences"/>
    <n v="1"/>
    <s v="Male"/>
    <n v="46"/>
    <n v="2"/>
    <n v="1"/>
    <s v="Laboratory Technician"/>
    <s v="Very High"/>
    <s v="Married"/>
    <n v="3162"/>
    <s v="Low (&lt;5k)"/>
    <n v="10778"/>
    <n v="0"/>
    <x v="0"/>
    <n v="17"/>
    <n v="3"/>
    <n v="4"/>
    <n v="0"/>
    <n v="6"/>
    <n v="2"/>
    <s v="Good"/>
    <n v="5"/>
    <x v="1"/>
    <n v="2"/>
    <n v="3"/>
    <n v="4"/>
  </r>
  <r>
    <n v="24"/>
    <s v="Young Adults"/>
    <n v="0"/>
    <s v="Travel_Rarely"/>
    <n v="1206"/>
    <x v="0"/>
    <n v="17"/>
    <s v="Long Commute"/>
    <s v="Below College"/>
    <s v="Medical"/>
    <n v="4"/>
    <s v="Female"/>
    <n v="41"/>
    <n v="2"/>
    <n v="2"/>
    <s v="Manufacturing Director"/>
    <s v="High"/>
    <s v="Divorced"/>
    <n v="4377"/>
    <s v="Low (&lt;5k)"/>
    <n v="24117"/>
    <n v="1"/>
    <x v="0"/>
    <n v="15"/>
    <n v="3"/>
    <n v="2"/>
    <n v="2"/>
    <n v="5"/>
    <n v="6"/>
    <s v="Better"/>
    <n v="4"/>
    <x v="1"/>
    <n v="2"/>
    <n v="3"/>
    <n v="2"/>
  </r>
  <r>
    <n v="24"/>
    <s v="Young Adults"/>
    <n v="0"/>
    <s v="Travel_Rarely"/>
    <n v="477"/>
    <x v="0"/>
    <n v="24"/>
    <s v="Long Commute"/>
    <s v="Bachelor"/>
    <s v="Medical"/>
    <n v="4"/>
    <s v="Male"/>
    <n v="49"/>
    <n v="3"/>
    <n v="1"/>
    <s v="Laboratory Technician"/>
    <s v="Medium"/>
    <s v="Single"/>
    <n v="3597"/>
    <s v="Low (&lt;5k)"/>
    <n v="6409"/>
    <n v="8"/>
    <x v="0"/>
    <n v="22"/>
    <n v="4"/>
    <n v="4"/>
    <n v="0"/>
    <n v="6"/>
    <n v="2"/>
    <s v="Better"/>
    <n v="4"/>
    <x v="1"/>
    <n v="3"/>
    <n v="1"/>
    <n v="2"/>
  </r>
  <r>
    <n v="24"/>
    <s v="Young Adults"/>
    <n v="1"/>
    <s v="Travel_Rarely"/>
    <n v="984"/>
    <x v="0"/>
    <n v="17"/>
    <s v="Long Commute"/>
    <s v="College"/>
    <s v="Life Sciences"/>
    <n v="4"/>
    <s v="Female"/>
    <n v="97"/>
    <n v="3"/>
    <n v="1"/>
    <s v="Laboratory Technician"/>
    <s v="Medium"/>
    <s v="Married"/>
    <n v="2210"/>
    <s v="Low (&lt;5k)"/>
    <n v="3372"/>
    <n v="1"/>
    <x v="0"/>
    <n v="13"/>
    <n v="3"/>
    <n v="1"/>
    <n v="1"/>
    <n v="1"/>
    <n v="3"/>
    <s v="Bad"/>
    <n v="1"/>
    <x v="0"/>
    <n v="0"/>
    <n v="0"/>
    <n v="0"/>
  </r>
  <r>
    <n v="24"/>
    <s v="Young Adults"/>
    <n v="0"/>
    <s v="Travel_Rarely"/>
    <n v="1476"/>
    <x v="1"/>
    <n v="4"/>
    <s v="Near Office"/>
    <s v="Below College"/>
    <s v="Medical"/>
    <n v="4"/>
    <s v="Female"/>
    <n v="42"/>
    <n v="3"/>
    <n v="2"/>
    <s v="Sales Executive"/>
    <s v="High"/>
    <s v="Married"/>
    <n v="4162"/>
    <s v="Low (&lt;5k)"/>
    <n v="15211"/>
    <n v="1"/>
    <x v="1"/>
    <n v="12"/>
    <n v="3"/>
    <n v="3"/>
    <n v="2"/>
    <n v="5"/>
    <n v="3"/>
    <s v="Better"/>
    <n v="5"/>
    <x v="1"/>
    <n v="4"/>
    <n v="0"/>
    <n v="3"/>
  </r>
  <r>
    <n v="24"/>
    <s v="Young Adults"/>
    <n v="1"/>
    <s v="Travel_Frequently"/>
    <n v="381"/>
    <x v="0"/>
    <n v="9"/>
    <s v="Moderate"/>
    <s v="Bachelor"/>
    <s v="Medical"/>
    <n v="2"/>
    <s v="Male"/>
    <n v="89"/>
    <n v="3"/>
    <n v="1"/>
    <s v="Laboratory Technician"/>
    <s v="Low"/>
    <s v="Single"/>
    <n v="3172"/>
    <s v="Low (&lt;5k)"/>
    <n v="16998"/>
    <n v="2"/>
    <x v="1"/>
    <n v="11"/>
    <n v="3"/>
    <n v="3"/>
    <n v="0"/>
    <n v="4"/>
    <n v="2"/>
    <s v="Good"/>
    <n v="0"/>
    <x v="0"/>
    <n v="0"/>
    <n v="0"/>
    <n v="0"/>
  </r>
  <r>
    <n v="24"/>
    <s v="Young Adults"/>
    <n v="0"/>
    <s v="Non-Travel"/>
    <n v="830"/>
    <x v="1"/>
    <n v="13"/>
    <s v="Moderate"/>
    <s v="College"/>
    <s v="Life Sciences"/>
    <n v="4"/>
    <s v="Female"/>
    <n v="78"/>
    <n v="3"/>
    <n v="1"/>
    <s v="Sales Representative"/>
    <s v="Medium"/>
    <s v="Married"/>
    <n v="2033"/>
    <s v="Low (&lt;5k)"/>
    <n v="7103"/>
    <n v="1"/>
    <x v="0"/>
    <n v="13"/>
    <n v="3"/>
    <n v="3"/>
    <n v="1"/>
    <n v="1"/>
    <n v="2"/>
    <s v="Better"/>
    <n v="1"/>
    <x v="0"/>
    <n v="0"/>
    <n v="0"/>
    <n v="0"/>
  </r>
  <r>
    <n v="24"/>
    <s v="Young Adults"/>
    <n v="0"/>
    <s v="Travel_Rarely"/>
    <n v="350"/>
    <x v="0"/>
    <n v="21"/>
    <s v="Long Commute"/>
    <s v="College"/>
    <s v="Technical Degree"/>
    <n v="3"/>
    <s v="Male"/>
    <n v="57"/>
    <n v="2"/>
    <n v="1"/>
    <s v="Laboratory Technician"/>
    <s v="Low"/>
    <s v="Divorced"/>
    <n v="2296"/>
    <s v="Low (&lt;5k)"/>
    <n v="10036"/>
    <n v="0"/>
    <x v="0"/>
    <n v="14"/>
    <n v="3"/>
    <n v="2"/>
    <n v="3"/>
    <n v="2"/>
    <n v="3"/>
    <s v="Better"/>
    <n v="1"/>
    <x v="0"/>
    <n v="1"/>
    <n v="0"/>
    <n v="0"/>
  </r>
  <r>
    <n v="24"/>
    <s v="Young Adults"/>
    <n v="0"/>
    <s v="Travel_Frequently"/>
    <n v="567"/>
    <x v="0"/>
    <n v="2"/>
    <s v="Near Office"/>
    <s v="Below College"/>
    <s v="Technical Degree"/>
    <n v="1"/>
    <s v="Female"/>
    <n v="32"/>
    <n v="3"/>
    <n v="1"/>
    <s v="Research Scientist"/>
    <s v="Very High"/>
    <s v="Single"/>
    <n v="3760"/>
    <s v="Low (&lt;5k)"/>
    <n v="17218"/>
    <n v="1"/>
    <x v="1"/>
    <n v="13"/>
    <n v="3"/>
    <n v="3"/>
    <n v="0"/>
    <n v="6"/>
    <n v="2"/>
    <s v="Better"/>
    <n v="6"/>
    <x v="1"/>
    <n v="3"/>
    <n v="1"/>
    <n v="3"/>
  </r>
  <r>
    <n v="24"/>
    <s v="Young Adults"/>
    <n v="0"/>
    <s v="Travel_Rarely"/>
    <n v="581"/>
    <x v="0"/>
    <n v="9"/>
    <s v="Moderate"/>
    <s v="Bachelor"/>
    <s v="Medical"/>
    <n v="3"/>
    <s v="Male"/>
    <n v="62"/>
    <n v="4"/>
    <n v="1"/>
    <s v="Research Scientist"/>
    <s v="High"/>
    <s v="Married"/>
    <n v="4401"/>
    <s v="Low (&lt;5k)"/>
    <n v="17616"/>
    <n v="1"/>
    <x v="0"/>
    <n v="16"/>
    <n v="3"/>
    <n v="4"/>
    <n v="1"/>
    <n v="5"/>
    <n v="1"/>
    <s v="Better"/>
    <n v="5"/>
    <x v="1"/>
    <n v="3"/>
    <n v="0"/>
    <n v="4"/>
  </r>
  <r>
    <n v="24"/>
    <s v="Young Adults"/>
    <n v="1"/>
    <s v="Travel_Rarely"/>
    <n v="240"/>
    <x v="2"/>
    <n v="22"/>
    <s v="Long Commute"/>
    <s v="Below College"/>
    <s v="Human Resources"/>
    <n v="4"/>
    <s v="Male"/>
    <n v="58"/>
    <n v="1"/>
    <n v="1"/>
    <s v="Human Resources"/>
    <s v="High"/>
    <s v="Married"/>
    <n v="1555"/>
    <s v="Low (&lt;5k)"/>
    <n v="11585"/>
    <n v="1"/>
    <x v="0"/>
    <n v="11"/>
    <n v="3"/>
    <n v="3"/>
    <n v="1"/>
    <n v="1"/>
    <n v="2"/>
    <s v="Better"/>
    <n v="1"/>
    <x v="0"/>
    <n v="0"/>
    <n v="0"/>
    <n v="0"/>
  </r>
  <r>
    <n v="24"/>
    <s v="Young Adults"/>
    <n v="0"/>
    <s v="Travel_Rarely"/>
    <n v="506"/>
    <x v="0"/>
    <n v="29"/>
    <s v="Long Commute"/>
    <s v="Below College"/>
    <s v="Medical"/>
    <n v="2"/>
    <s v="Male"/>
    <n v="91"/>
    <n v="3"/>
    <n v="1"/>
    <s v="Laboratory Technician"/>
    <s v="Low"/>
    <s v="Divorced"/>
    <n v="3907"/>
    <s v="Low (&lt;5k)"/>
    <n v="3622"/>
    <n v="1"/>
    <x v="0"/>
    <n v="13"/>
    <n v="3"/>
    <n v="2"/>
    <n v="3"/>
    <n v="6"/>
    <n v="2"/>
    <s v="Best"/>
    <n v="6"/>
    <x v="1"/>
    <n v="2"/>
    <n v="1"/>
    <n v="2"/>
  </r>
  <r>
    <n v="24"/>
    <s v="Young Adults"/>
    <n v="0"/>
    <s v="Travel_Frequently"/>
    <n v="897"/>
    <x v="2"/>
    <n v="10"/>
    <s v="Moderate"/>
    <s v="Bachelor"/>
    <s v="Medical"/>
    <n v="1"/>
    <s v="Male"/>
    <n v="59"/>
    <n v="3"/>
    <n v="1"/>
    <s v="Human Resources"/>
    <s v="Very High"/>
    <s v="Married"/>
    <n v="2145"/>
    <s v="Low (&lt;5k)"/>
    <n v="2097"/>
    <n v="0"/>
    <x v="0"/>
    <n v="14"/>
    <n v="3"/>
    <n v="4"/>
    <n v="1"/>
    <n v="3"/>
    <n v="2"/>
    <s v="Better"/>
    <n v="2"/>
    <x v="0"/>
    <n v="2"/>
    <n v="2"/>
    <n v="1"/>
  </r>
  <r>
    <n v="24"/>
    <s v="Young Adults"/>
    <n v="0"/>
    <s v="Travel_Rarely"/>
    <n v="771"/>
    <x v="0"/>
    <n v="1"/>
    <s v="Near Office"/>
    <s v="College"/>
    <s v="Life Sciences"/>
    <n v="2"/>
    <s v="Male"/>
    <n v="45"/>
    <n v="2"/>
    <n v="2"/>
    <s v="Healthcare Representative"/>
    <s v="High"/>
    <s v="Single"/>
    <n v="4617"/>
    <s v="Low (&lt;5k)"/>
    <n v="14120"/>
    <n v="1"/>
    <x v="0"/>
    <n v="12"/>
    <n v="3"/>
    <n v="2"/>
    <n v="0"/>
    <n v="4"/>
    <n v="2"/>
    <s v="Good"/>
    <n v="4"/>
    <x v="1"/>
    <n v="3"/>
    <n v="1"/>
    <n v="2"/>
  </r>
  <r>
    <n v="25"/>
    <s v="Young Adults"/>
    <n v="1"/>
    <s v="Travel_Rarely"/>
    <n v="240"/>
    <x v="1"/>
    <n v="5"/>
    <s v="Near Office"/>
    <s v="Bachelor"/>
    <s v="Marketing"/>
    <n v="3"/>
    <s v="Male"/>
    <n v="46"/>
    <n v="2"/>
    <n v="2"/>
    <s v="Sales Executive"/>
    <s v="High"/>
    <s v="Single"/>
    <n v="5744"/>
    <s v="Medium (5k-10k)"/>
    <n v="26959"/>
    <n v="1"/>
    <x v="1"/>
    <n v="11"/>
    <n v="3"/>
    <n v="4"/>
    <n v="0"/>
    <n v="6"/>
    <n v="1"/>
    <s v="Better"/>
    <n v="6"/>
    <x v="1"/>
    <n v="4"/>
    <n v="0"/>
    <n v="3"/>
  </r>
  <r>
    <n v="25"/>
    <s v="Young Adults"/>
    <n v="0"/>
    <s v="Travel_Rarely"/>
    <n v="1280"/>
    <x v="0"/>
    <n v="7"/>
    <s v="Moderate"/>
    <s v="Below College"/>
    <s v="Medical"/>
    <n v="4"/>
    <s v="Male"/>
    <n v="64"/>
    <n v="2"/>
    <n v="1"/>
    <s v="Research Scientist"/>
    <s v="Very High"/>
    <s v="Married"/>
    <n v="2889"/>
    <s v="Low (&lt;5k)"/>
    <n v="26897"/>
    <n v="1"/>
    <x v="0"/>
    <n v="11"/>
    <n v="3"/>
    <n v="3"/>
    <n v="2"/>
    <n v="2"/>
    <n v="2"/>
    <s v="Better"/>
    <n v="2"/>
    <x v="0"/>
    <n v="2"/>
    <n v="2"/>
    <n v="1"/>
  </r>
  <r>
    <n v="25"/>
    <s v="Young Adults"/>
    <n v="0"/>
    <s v="Travel_Rarely"/>
    <n v="959"/>
    <x v="1"/>
    <n v="28"/>
    <s v="Long Commute"/>
    <s v="Bachelor"/>
    <s v="Life Sciences"/>
    <n v="1"/>
    <s v="Male"/>
    <n v="41"/>
    <n v="2"/>
    <n v="2"/>
    <s v="Sales Executive"/>
    <s v="High"/>
    <s v="Married"/>
    <n v="8639"/>
    <s v="Medium (5k-10k)"/>
    <n v="24835"/>
    <n v="2"/>
    <x v="0"/>
    <n v="18"/>
    <n v="3"/>
    <n v="4"/>
    <n v="0"/>
    <n v="6"/>
    <n v="3"/>
    <s v="Better"/>
    <n v="2"/>
    <x v="0"/>
    <n v="2"/>
    <n v="2"/>
    <n v="2"/>
  </r>
  <r>
    <n v="25"/>
    <s v="Young Adults"/>
    <n v="0"/>
    <s v="Travel_Rarely"/>
    <n v="685"/>
    <x v="0"/>
    <n v="1"/>
    <s v="Near Office"/>
    <s v="Bachelor"/>
    <s v="Life Sciences"/>
    <n v="1"/>
    <s v="Female"/>
    <n v="62"/>
    <n v="3"/>
    <n v="2"/>
    <s v="Manufacturing Director"/>
    <s v="High"/>
    <s v="Married"/>
    <n v="4898"/>
    <s v="Low (&lt;5k)"/>
    <n v="7505"/>
    <n v="0"/>
    <x v="0"/>
    <n v="12"/>
    <n v="3"/>
    <n v="4"/>
    <n v="2"/>
    <n v="5"/>
    <n v="3"/>
    <s v="Better"/>
    <n v="4"/>
    <x v="1"/>
    <n v="2"/>
    <n v="1"/>
    <n v="2"/>
  </r>
  <r>
    <n v="25"/>
    <s v="Young Adults"/>
    <n v="0"/>
    <s v="Non-Travel"/>
    <n v="675"/>
    <x v="0"/>
    <n v="5"/>
    <s v="Near Office"/>
    <s v="College"/>
    <s v="Life Sciences"/>
    <n v="2"/>
    <s v="Male"/>
    <n v="85"/>
    <n v="4"/>
    <n v="2"/>
    <s v="Healthcare Representative"/>
    <s v="Low"/>
    <s v="Divorced"/>
    <n v="4000"/>
    <s v="Low (&lt;5k)"/>
    <n v="18384"/>
    <n v="1"/>
    <x v="0"/>
    <n v="12"/>
    <n v="3"/>
    <n v="4"/>
    <n v="2"/>
    <n v="6"/>
    <n v="2"/>
    <s v="Better"/>
    <n v="6"/>
    <x v="1"/>
    <n v="3"/>
    <n v="1"/>
    <n v="5"/>
  </r>
  <r>
    <n v="25"/>
    <s v="Young Adults"/>
    <n v="0"/>
    <s v="Travel_Rarely"/>
    <n v="891"/>
    <x v="1"/>
    <n v="4"/>
    <s v="Near Office"/>
    <s v="College"/>
    <s v="Life Sciences"/>
    <n v="2"/>
    <s v="Female"/>
    <n v="99"/>
    <n v="2"/>
    <n v="2"/>
    <s v="Sales Executive"/>
    <s v="Very High"/>
    <s v="Single"/>
    <n v="4487"/>
    <s v="Low (&lt;5k)"/>
    <n v="12090"/>
    <n v="1"/>
    <x v="1"/>
    <n v="11"/>
    <n v="3"/>
    <n v="2"/>
    <n v="0"/>
    <n v="5"/>
    <n v="3"/>
    <s v="Better"/>
    <n v="5"/>
    <x v="1"/>
    <n v="4"/>
    <n v="1"/>
    <n v="3"/>
  </r>
  <r>
    <n v="25"/>
    <s v="Young Adults"/>
    <n v="1"/>
    <s v="Travel_Rarely"/>
    <n v="688"/>
    <x v="0"/>
    <n v="3"/>
    <s v="Near Office"/>
    <s v="Bachelor"/>
    <s v="Medical"/>
    <n v="1"/>
    <s v="Male"/>
    <n v="91"/>
    <n v="3"/>
    <n v="1"/>
    <s v="Laboratory Technician"/>
    <s v="Low"/>
    <s v="Married"/>
    <n v="4031"/>
    <s v="Low (&lt;5k)"/>
    <n v="9396"/>
    <n v="5"/>
    <x v="0"/>
    <n v="13"/>
    <n v="3"/>
    <n v="3"/>
    <n v="1"/>
    <n v="6"/>
    <n v="5"/>
    <s v="Better"/>
    <n v="2"/>
    <x v="0"/>
    <n v="2"/>
    <n v="0"/>
    <n v="2"/>
  </r>
  <r>
    <n v="25"/>
    <s v="Young Adults"/>
    <n v="0"/>
    <s v="Travel_Rarely"/>
    <n v="622"/>
    <x v="1"/>
    <n v="13"/>
    <s v="Moderate"/>
    <s v="Below College"/>
    <s v="Medical"/>
    <n v="2"/>
    <s v="Male"/>
    <n v="40"/>
    <n v="3"/>
    <n v="1"/>
    <s v="Sales Representative"/>
    <s v="High"/>
    <s v="Married"/>
    <n v="2096"/>
    <s v="Low (&lt;5k)"/>
    <n v="26376"/>
    <n v="1"/>
    <x v="0"/>
    <n v="11"/>
    <n v="3"/>
    <n v="3"/>
    <n v="0"/>
    <n v="7"/>
    <n v="1"/>
    <s v="Better"/>
    <n v="7"/>
    <x v="1"/>
    <n v="4"/>
    <n v="0"/>
    <n v="6"/>
  </r>
  <r>
    <n v="25"/>
    <s v="Young Adults"/>
    <n v="0"/>
    <s v="Travel_Rarely"/>
    <n v="810"/>
    <x v="1"/>
    <n v="8"/>
    <s v="Moderate"/>
    <s v="Bachelor"/>
    <s v="Life Sciences"/>
    <n v="4"/>
    <s v="Male"/>
    <n v="57"/>
    <n v="4"/>
    <n v="2"/>
    <s v="Sales Executive"/>
    <s v="Medium"/>
    <s v="Married"/>
    <n v="4851"/>
    <s v="Low (&lt;5k)"/>
    <n v="15678"/>
    <n v="0"/>
    <x v="0"/>
    <n v="22"/>
    <n v="4"/>
    <n v="3"/>
    <n v="1"/>
    <n v="4"/>
    <n v="4"/>
    <s v="Better"/>
    <n v="3"/>
    <x v="1"/>
    <n v="2"/>
    <n v="1"/>
    <n v="2"/>
  </r>
  <r>
    <n v="25"/>
    <s v="Young Adults"/>
    <n v="0"/>
    <s v="Travel_Rarely"/>
    <n v="883"/>
    <x v="1"/>
    <n v="26"/>
    <s v="Long Commute"/>
    <s v="Below College"/>
    <s v="Medical"/>
    <n v="3"/>
    <s v="Female"/>
    <n v="32"/>
    <n v="3"/>
    <n v="2"/>
    <s v="Sales Executive"/>
    <s v="Very High"/>
    <s v="Single"/>
    <n v="6180"/>
    <s v="Medium (5k-10k)"/>
    <n v="22807"/>
    <n v="1"/>
    <x v="0"/>
    <n v="23"/>
    <n v="4"/>
    <n v="2"/>
    <n v="0"/>
    <n v="6"/>
    <n v="5"/>
    <s v="Good"/>
    <n v="6"/>
    <x v="1"/>
    <n v="5"/>
    <n v="1"/>
    <n v="4"/>
  </r>
  <r>
    <n v="25"/>
    <s v="Young Adults"/>
    <n v="0"/>
    <s v="Travel_Rarely"/>
    <n v="180"/>
    <x v="0"/>
    <n v="2"/>
    <s v="Near Office"/>
    <s v="Below College"/>
    <s v="Medical"/>
    <n v="1"/>
    <s v="Male"/>
    <n v="65"/>
    <n v="4"/>
    <n v="1"/>
    <s v="Research Scientist"/>
    <s v="Low"/>
    <s v="Single"/>
    <n v="3424"/>
    <s v="Low (&lt;5k)"/>
    <n v="21632"/>
    <n v="7"/>
    <x v="0"/>
    <n v="13"/>
    <n v="3"/>
    <n v="3"/>
    <n v="0"/>
    <n v="6"/>
    <n v="3"/>
    <s v="Good"/>
    <n v="4"/>
    <x v="1"/>
    <n v="3"/>
    <n v="0"/>
    <n v="1"/>
  </r>
  <r>
    <n v="25"/>
    <s v="Young Adults"/>
    <n v="0"/>
    <s v="Travel_Rarely"/>
    <n v="141"/>
    <x v="1"/>
    <n v="3"/>
    <s v="Near Office"/>
    <s v="Below College"/>
    <s v="Other"/>
    <n v="3"/>
    <s v="Male"/>
    <n v="98"/>
    <n v="3"/>
    <n v="2"/>
    <s v="Sales Executive"/>
    <s v="Low"/>
    <s v="Married"/>
    <n v="4194"/>
    <s v="Low (&lt;5k)"/>
    <n v="14363"/>
    <n v="1"/>
    <x v="1"/>
    <n v="18"/>
    <n v="3"/>
    <n v="4"/>
    <n v="0"/>
    <n v="5"/>
    <n v="3"/>
    <s v="Better"/>
    <n v="5"/>
    <x v="1"/>
    <n v="3"/>
    <n v="0"/>
    <n v="3"/>
  </r>
  <r>
    <n v="25"/>
    <s v="Young Adults"/>
    <n v="0"/>
    <s v="Travel_Rarely"/>
    <n v="583"/>
    <x v="1"/>
    <n v="4"/>
    <s v="Near Office"/>
    <s v="Below College"/>
    <s v="Marketing"/>
    <n v="3"/>
    <s v="Male"/>
    <n v="87"/>
    <n v="2"/>
    <n v="2"/>
    <s v="Sales Executive"/>
    <s v="Low"/>
    <s v="Married"/>
    <n v="4256"/>
    <s v="Low (&lt;5k)"/>
    <n v="18154"/>
    <n v="1"/>
    <x v="0"/>
    <n v="12"/>
    <n v="3"/>
    <n v="1"/>
    <n v="0"/>
    <n v="5"/>
    <n v="1"/>
    <s v="Best"/>
    <n v="5"/>
    <x v="1"/>
    <n v="2"/>
    <n v="0"/>
    <n v="3"/>
  </r>
  <r>
    <n v="25"/>
    <s v="Young Adults"/>
    <n v="1"/>
    <s v="Travel_Rarely"/>
    <n v="867"/>
    <x v="1"/>
    <n v="19"/>
    <s v="Long Commute"/>
    <s v="College"/>
    <s v="Marketing"/>
    <n v="3"/>
    <s v="Male"/>
    <n v="36"/>
    <n v="2"/>
    <n v="1"/>
    <s v="Sales Representative"/>
    <s v="Medium"/>
    <s v="Married"/>
    <n v="2413"/>
    <s v="Low (&lt;5k)"/>
    <n v="18798"/>
    <n v="1"/>
    <x v="1"/>
    <n v="18"/>
    <n v="3"/>
    <n v="3"/>
    <n v="3"/>
    <n v="1"/>
    <n v="2"/>
    <s v="Better"/>
    <n v="1"/>
    <x v="0"/>
    <n v="0"/>
    <n v="0"/>
    <n v="0"/>
  </r>
  <r>
    <n v="25"/>
    <s v="Young Adults"/>
    <n v="1"/>
    <s v="Travel_Rarely"/>
    <n v="1219"/>
    <x v="0"/>
    <n v="4"/>
    <s v="Near Office"/>
    <s v="Below College"/>
    <s v="Technical Degree"/>
    <n v="4"/>
    <s v="Male"/>
    <n v="32"/>
    <n v="3"/>
    <n v="1"/>
    <s v="Laboratory Technician"/>
    <s v="Very High"/>
    <s v="Married"/>
    <n v="3691"/>
    <s v="Low (&lt;5k)"/>
    <n v="4605"/>
    <n v="1"/>
    <x v="1"/>
    <n v="15"/>
    <n v="3"/>
    <n v="2"/>
    <n v="1"/>
    <n v="7"/>
    <n v="3"/>
    <s v="Best"/>
    <n v="7"/>
    <x v="1"/>
    <n v="7"/>
    <n v="5"/>
    <n v="6"/>
  </r>
  <r>
    <n v="25"/>
    <s v="Young Adults"/>
    <n v="0"/>
    <s v="Travel_Rarely"/>
    <n v="1356"/>
    <x v="1"/>
    <n v="10"/>
    <s v="Moderate"/>
    <s v="Master"/>
    <s v="Life Sciences"/>
    <n v="3"/>
    <s v="Male"/>
    <n v="57"/>
    <n v="3"/>
    <n v="2"/>
    <s v="Sales Executive"/>
    <s v="Very High"/>
    <s v="Single"/>
    <n v="4950"/>
    <s v="Low (&lt;5k)"/>
    <n v="20623"/>
    <n v="0"/>
    <x v="0"/>
    <n v="14"/>
    <n v="3"/>
    <n v="2"/>
    <n v="0"/>
    <n v="5"/>
    <n v="4"/>
    <s v="Better"/>
    <n v="4"/>
    <x v="1"/>
    <n v="3"/>
    <n v="1"/>
    <n v="1"/>
  </r>
  <r>
    <n v="25"/>
    <s v="Young Adults"/>
    <n v="1"/>
    <s v="Travel_Frequently"/>
    <n v="599"/>
    <x v="1"/>
    <n v="24"/>
    <s v="Long Commute"/>
    <s v="Below College"/>
    <s v="Life Sciences"/>
    <n v="3"/>
    <s v="Male"/>
    <n v="73"/>
    <n v="1"/>
    <n v="1"/>
    <s v="Sales Representative"/>
    <s v="Very High"/>
    <s v="Single"/>
    <n v="1118"/>
    <s v="Low (&lt;5k)"/>
    <n v="8040"/>
    <n v="1"/>
    <x v="1"/>
    <n v="14"/>
    <n v="3"/>
    <n v="4"/>
    <n v="0"/>
    <n v="1"/>
    <n v="4"/>
    <s v="Better"/>
    <n v="1"/>
    <x v="0"/>
    <n v="0"/>
    <n v="1"/>
    <n v="0"/>
  </r>
  <r>
    <n v="25"/>
    <s v="Young Adults"/>
    <n v="0"/>
    <s v="Travel_Rarely"/>
    <n v="266"/>
    <x v="0"/>
    <n v="1"/>
    <s v="Near Office"/>
    <s v="Bachelor"/>
    <s v="Medical"/>
    <n v="4"/>
    <s v="Female"/>
    <n v="40"/>
    <n v="3"/>
    <n v="1"/>
    <s v="Research Scientist"/>
    <s v="Medium"/>
    <s v="Single"/>
    <n v="2096"/>
    <s v="Low (&lt;5k)"/>
    <n v="18830"/>
    <n v="1"/>
    <x v="0"/>
    <n v="18"/>
    <n v="3"/>
    <n v="4"/>
    <n v="0"/>
    <n v="2"/>
    <n v="3"/>
    <s v="Good"/>
    <n v="2"/>
    <x v="0"/>
    <n v="2"/>
    <n v="2"/>
    <n v="1"/>
  </r>
  <r>
    <n v="25"/>
    <s v="Young Adults"/>
    <n v="0"/>
    <s v="Travel_Rarely"/>
    <n v="882"/>
    <x v="0"/>
    <n v="19"/>
    <s v="Long Commute"/>
    <s v="Below College"/>
    <s v="Medical"/>
    <n v="4"/>
    <s v="Male"/>
    <n v="67"/>
    <n v="3"/>
    <n v="1"/>
    <s v="Laboratory Technician"/>
    <s v="Very High"/>
    <s v="Married"/>
    <n v="3669"/>
    <s v="Low (&lt;5k)"/>
    <n v="9075"/>
    <n v="3"/>
    <x v="0"/>
    <n v="11"/>
    <n v="3"/>
    <n v="3"/>
    <n v="3"/>
    <n v="7"/>
    <n v="6"/>
    <s v="Good"/>
    <n v="3"/>
    <x v="1"/>
    <n v="2"/>
    <n v="1"/>
    <n v="2"/>
  </r>
  <r>
    <n v="25"/>
    <s v="Young Adults"/>
    <n v="0"/>
    <s v="Travel_Rarely"/>
    <n v="1372"/>
    <x v="1"/>
    <n v="18"/>
    <s v="Long Commute"/>
    <s v="Below College"/>
    <s v="Life Sciences"/>
    <n v="1"/>
    <s v="Male"/>
    <n v="93"/>
    <n v="4"/>
    <n v="2"/>
    <s v="Sales Executive"/>
    <s v="High"/>
    <s v="Married"/>
    <n v="6232"/>
    <s v="Medium (5k-10k)"/>
    <n v="12477"/>
    <n v="2"/>
    <x v="0"/>
    <n v="11"/>
    <n v="3"/>
    <n v="2"/>
    <n v="0"/>
    <n v="6"/>
    <n v="3"/>
    <s v="Good"/>
    <n v="3"/>
    <x v="1"/>
    <n v="2"/>
    <n v="1"/>
    <n v="2"/>
  </r>
  <r>
    <n v="25"/>
    <s v="Young Adults"/>
    <n v="0"/>
    <s v="Travel_Rarely"/>
    <n v="949"/>
    <x v="0"/>
    <n v="1"/>
    <s v="Near Office"/>
    <s v="Bachelor"/>
    <s v="Technical Degree"/>
    <n v="1"/>
    <s v="Male"/>
    <n v="81"/>
    <n v="3"/>
    <n v="1"/>
    <s v="Laboratory Technician"/>
    <s v="Very High"/>
    <s v="Married"/>
    <n v="3229"/>
    <s v="Low (&lt;5k)"/>
    <n v="4910"/>
    <n v="4"/>
    <x v="0"/>
    <n v="11"/>
    <n v="3"/>
    <n v="2"/>
    <n v="1"/>
    <n v="7"/>
    <n v="2"/>
    <s v="Good"/>
    <n v="3"/>
    <x v="1"/>
    <n v="2"/>
    <n v="0"/>
    <n v="2"/>
  </r>
  <r>
    <n v="25"/>
    <s v="Young Adults"/>
    <n v="1"/>
    <s v="Travel_Rarely"/>
    <n v="383"/>
    <x v="1"/>
    <n v="9"/>
    <s v="Moderate"/>
    <s v="College"/>
    <s v="Life Sciences"/>
    <n v="1"/>
    <s v="Male"/>
    <n v="68"/>
    <n v="2"/>
    <n v="1"/>
    <s v="Sales Representative"/>
    <s v="Low"/>
    <s v="Married"/>
    <n v="4400"/>
    <s v="Low (&lt;5k)"/>
    <n v="15182"/>
    <n v="3"/>
    <x v="0"/>
    <n v="12"/>
    <n v="3"/>
    <n v="1"/>
    <n v="0"/>
    <n v="6"/>
    <n v="2"/>
    <s v="Better"/>
    <n v="3"/>
    <x v="1"/>
    <n v="2"/>
    <n v="2"/>
    <n v="2"/>
  </r>
  <r>
    <n v="25"/>
    <s v="Young Adults"/>
    <n v="0"/>
    <s v="Travel_Frequently"/>
    <n v="772"/>
    <x v="0"/>
    <n v="2"/>
    <s v="Near Office"/>
    <s v="Below College"/>
    <s v="Life Sciences"/>
    <n v="4"/>
    <s v="Male"/>
    <n v="77"/>
    <n v="4"/>
    <n v="2"/>
    <s v="Manufacturing Director"/>
    <s v="High"/>
    <s v="Divorced"/>
    <n v="5206"/>
    <s v="Medium (5k-10k)"/>
    <n v="4973"/>
    <n v="1"/>
    <x v="0"/>
    <n v="17"/>
    <n v="3"/>
    <n v="3"/>
    <n v="2"/>
    <n v="7"/>
    <n v="6"/>
    <s v="Better"/>
    <n v="7"/>
    <x v="1"/>
    <n v="7"/>
    <n v="0"/>
    <n v="7"/>
  </r>
  <r>
    <n v="25"/>
    <s v="Young Adults"/>
    <n v="0"/>
    <s v="Travel_Rarely"/>
    <n v="309"/>
    <x v="2"/>
    <n v="2"/>
    <s v="Near Office"/>
    <s v="Bachelor"/>
    <s v="Human Resources"/>
    <n v="3"/>
    <s v="Female"/>
    <n v="82"/>
    <n v="3"/>
    <n v="1"/>
    <s v="Human Resources"/>
    <s v="Medium"/>
    <s v="Married"/>
    <n v="2187"/>
    <s v="Low (&lt;5k)"/>
    <n v="19655"/>
    <n v="4"/>
    <x v="0"/>
    <n v="14"/>
    <n v="3"/>
    <n v="3"/>
    <n v="0"/>
    <n v="6"/>
    <n v="3"/>
    <s v="Better"/>
    <n v="2"/>
    <x v="0"/>
    <n v="0"/>
    <n v="1"/>
    <n v="2"/>
  </r>
  <r>
    <n v="25"/>
    <s v="Young Adults"/>
    <n v="0"/>
    <s v="Travel_Rarely"/>
    <n v="977"/>
    <x v="0"/>
    <n v="2"/>
    <s v="Near Office"/>
    <s v="Below College"/>
    <s v="Other"/>
    <n v="4"/>
    <s v="Male"/>
    <n v="57"/>
    <n v="3"/>
    <n v="1"/>
    <s v="Laboratory Technician"/>
    <s v="High"/>
    <s v="Divorced"/>
    <n v="3977"/>
    <s v="Low (&lt;5k)"/>
    <n v="7298"/>
    <n v="6"/>
    <x v="1"/>
    <n v="19"/>
    <n v="3"/>
    <n v="3"/>
    <n v="1"/>
    <n v="7"/>
    <n v="2"/>
    <s v="Good"/>
    <n v="2"/>
    <x v="0"/>
    <n v="2"/>
    <n v="0"/>
    <n v="2"/>
  </r>
  <r>
    <n v="25"/>
    <s v="Young Adults"/>
    <n v="0"/>
    <s v="Travel_Rarely"/>
    <n v="1382"/>
    <x v="1"/>
    <n v="8"/>
    <s v="Moderate"/>
    <s v="College"/>
    <s v="Other"/>
    <n v="1"/>
    <s v="Female"/>
    <n v="85"/>
    <n v="3"/>
    <n v="2"/>
    <s v="Sales Executive"/>
    <s v="High"/>
    <s v="Divorced"/>
    <n v="4907"/>
    <s v="Low (&lt;5k)"/>
    <n v="13684"/>
    <n v="0"/>
    <x v="1"/>
    <n v="22"/>
    <n v="4"/>
    <n v="2"/>
    <n v="1"/>
    <n v="6"/>
    <n v="3"/>
    <s v="Good"/>
    <n v="5"/>
    <x v="1"/>
    <n v="3"/>
    <n v="0"/>
    <n v="4"/>
  </r>
  <r>
    <n v="26"/>
    <s v="Young Adults"/>
    <n v="1"/>
    <s v="Travel_Rarely"/>
    <n v="1357"/>
    <x v="0"/>
    <n v="25"/>
    <s v="Long Commute"/>
    <s v="Bachelor"/>
    <s v="Life Sciences"/>
    <n v="1"/>
    <s v="Male"/>
    <n v="48"/>
    <n v="1"/>
    <n v="1"/>
    <s v="Laboratory Technician"/>
    <s v="High"/>
    <s v="Single"/>
    <n v="2293"/>
    <s v="Low (&lt;5k)"/>
    <n v="10558"/>
    <n v="1"/>
    <x v="0"/>
    <n v="12"/>
    <n v="3"/>
    <n v="3"/>
    <n v="0"/>
    <n v="1"/>
    <n v="2"/>
    <s v="Good"/>
    <n v="1"/>
    <x v="0"/>
    <n v="0"/>
    <n v="0"/>
    <n v="1"/>
  </r>
  <r>
    <n v="26"/>
    <s v="Young Adults"/>
    <n v="0"/>
    <s v="Travel_Rarely"/>
    <n v="1443"/>
    <x v="1"/>
    <n v="23"/>
    <s v="Long Commute"/>
    <s v="Bachelor"/>
    <s v="Marketing"/>
    <n v="3"/>
    <s v="Female"/>
    <n v="47"/>
    <n v="2"/>
    <n v="2"/>
    <s v="Sales Executive"/>
    <s v="Very High"/>
    <s v="Married"/>
    <n v="4157"/>
    <s v="Low (&lt;5k)"/>
    <n v="21436"/>
    <n v="7"/>
    <x v="1"/>
    <n v="19"/>
    <n v="3"/>
    <n v="3"/>
    <n v="1"/>
    <n v="5"/>
    <n v="2"/>
    <s v="Good"/>
    <n v="2"/>
    <x v="0"/>
    <n v="2"/>
    <n v="0"/>
    <n v="0"/>
  </r>
  <r>
    <n v="26"/>
    <s v="Young Adults"/>
    <n v="0"/>
    <s v="Travel_Rarely"/>
    <n v="841"/>
    <x v="0"/>
    <n v="6"/>
    <s v="Moderate"/>
    <s v="Bachelor"/>
    <s v="Other"/>
    <n v="3"/>
    <s v="Female"/>
    <n v="46"/>
    <n v="2"/>
    <n v="1"/>
    <s v="Research Scientist"/>
    <s v="Medium"/>
    <s v="Married"/>
    <n v="2368"/>
    <s v="Low (&lt;5k)"/>
    <n v="23300"/>
    <n v="1"/>
    <x v="0"/>
    <n v="19"/>
    <n v="3"/>
    <n v="3"/>
    <n v="0"/>
    <n v="5"/>
    <n v="3"/>
    <s v="Good"/>
    <n v="5"/>
    <x v="1"/>
    <n v="4"/>
    <n v="4"/>
    <n v="3"/>
  </r>
  <r>
    <n v="26"/>
    <s v="Young Adults"/>
    <n v="0"/>
    <s v="Travel_Rarely"/>
    <n v="1355"/>
    <x v="2"/>
    <n v="25"/>
    <s v="Long Commute"/>
    <s v="Below College"/>
    <s v="Life Sciences"/>
    <n v="3"/>
    <s v="Female"/>
    <n v="61"/>
    <n v="3"/>
    <n v="1"/>
    <s v="Human Resources"/>
    <s v="High"/>
    <s v="Married"/>
    <n v="2942"/>
    <s v="Low (&lt;5k)"/>
    <n v="8916"/>
    <n v="1"/>
    <x v="0"/>
    <n v="23"/>
    <n v="4"/>
    <n v="4"/>
    <n v="1"/>
    <n v="8"/>
    <n v="3"/>
    <s v="Better"/>
    <n v="8"/>
    <x v="1"/>
    <n v="7"/>
    <n v="5"/>
    <n v="7"/>
  </r>
  <r>
    <n v="26"/>
    <s v="Young Adults"/>
    <n v="0"/>
    <s v="Travel_Frequently"/>
    <n v="1479"/>
    <x v="0"/>
    <n v="1"/>
    <s v="Near Office"/>
    <s v="Bachelor"/>
    <s v="Life Sciences"/>
    <n v="3"/>
    <s v="Female"/>
    <n v="84"/>
    <n v="3"/>
    <n v="2"/>
    <s v="Manufacturing Director"/>
    <s v="Medium"/>
    <s v="Divorced"/>
    <n v="6397"/>
    <s v="Medium (5k-10k)"/>
    <n v="26767"/>
    <n v="1"/>
    <x v="0"/>
    <n v="20"/>
    <n v="4"/>
    <n v="1"/>
    <n v="1"/>
    <n v="6"/>
    <n v="6"/>
    <s v="Bad"/>
    <n v="6"/>
    <x v="1"/>
    <n v="5"/>
    <n v="1"/>
    <n v="4"/>
  </r>
  <r>
    <n v="26"/>
    <s v="Young Adults"/>
    <n v="0"/>
    <s v="Travel_Frequently"/>
    <n v="496"/>
    <x v="0"/>
    <n v="11"/>
    <s v="Moderate"/>
    <s v="College"/>
    <s v="Medical"/>
    <n v="1"/>
    <s v="Male"/>
    <n v="60"/>
    <n v="3"/>
    <n v="2"/>
    <s v="Healthcare Representative"/>
    <s v="Low"/>
    <s v="Married"/>
    <n v="4741"/>
    <s v="Low (&lt;5k)"/>
    <n v="22722"/>
    <n v="1"/>
    <x v="1"/>
    <n v="13"/>
    <n v="3"/>
    <n v="3"/>
    <n v="1"/>
    <n v="5"/>
    <n v="3"/>
    <s v="Better"/>
    <n v="5"/>
    <x v="1"/>
    <n v="3"/>
    <n v="3"/>
    <n v="3"/>
  </r>
  <r>
    <n v="26"/>
    <s v="Young Adults"/>
    <n v="1"/>
    <s v="Travel_Rarely"/>
    <n v="1449"/>
    <x v="0"/>
    <n v="16"/>
    <s v="Long Commute"/>
    <s v="Master"/>
    <s v="Medical"/>
    <n v="1"/>
    <s v="Male"/>
    <n v="45"/>
    <n v="3"/>
    <n v="1"/>
    <s v="Laboratory Technician"/>
    <s v="Medium"/>
    <s v="Divorced"/>
    <n v="2373"/>
    <s v="Low (&lt;5k)"/>
    <n v="14180"/>
    <n v="2"/>
    <x v="1"/>
    <n v="13"/>
    <n v="3"/>
    <n v="4"/>
    <n v="1"/>
    <n v="5"/>
    <n v="2"/>
    <s v="Better"/>
    <n v="3"/>
    <x v="1"/>
    <n v="2"/>
    <n v="0"/>
    <n v="2"/>
  </r>
  <r>
    <n v="26"/>
    <s v="Young Adults"/>
    <n v="1"/>
    <s v="Travel_Rarely"/>
    <n v="950"/>
    <x v="1"/>
    <n v="4"/>
    <s v="Near Office"/>
    <s v="Master"/>
    <s v="Marketing"/>
    <n v="4"/>
    <s v="Male"/>
    <n v="48"/>
    <n v="2"/>
    <n v="2"/>
    <s v="Sales Executive"/>
    <s v="Very High"/>
    <s v="Single"/>
    <n v="5828"/>
    <s v="Medium (5k-10k)"/>
    <n v="8450"/>
    <n v="1"/>
    <x v="1"/>
    <n v="12"/>
    <n v="3"/>
    <n v="2"/>
    <n v="0"/>
    <n v="8"/>
    <n v="0"/>
    <s v="Better"/>
    <n v="8"/>
    <x v="1"/>
    <n v="7"/>
    <n v="7"/>
    <n v="4"/>
  </r>
  <r>
    <n v="26"/>
    <s v="Young Adults"/>
    <n v="0"/>
    <s v="Travel_Rarely"/>
    <n v="933"/>
    <x v="1"/>
    <n v="1"/>
    <s v="Near Office"/>
    <s v="Bachelor"/>
    <s v="Life Sciences"/>
    <n v="3"/>
    <s v="Male"/>
    <n v="57"/>
    <n v="3"/>
    <n v="2"/>
    <s v="Sales Executive"/>
    <s v="High"/>
    <s v="Married"/>
    <n v="5296"/>
    <s v="Medium (5k-10k)"/>
    <n v="20156"/>
    <n v="1"/>
    <x v="0"/>
    <n v="17"/>
    <n v="3"/>
    <n v="2"/>
    <n v="1"/>
    <n v="8"/>
    <n v="3"/>
    <s v="Better"/>
    <n v="8"/>
    <x v="1"/>
    <n v="7"/>
    <n v="7"/>
    <n v="7"/>
  </r>
  <r>
    <n v="26"/>
    <s v="Young Adults"/>
    <n v="1"/>
    <s v="Travel_Frequently"/>
    <n v="575"/>
    <x v="0"/>
    <n v="3"/>
    <s v="Near Office"/>
    <s v="Below College"/>
    <s v="Technical Degree"/>
    <n v="3"/>
    <s v="Male"/>
    <n v="73"/>
    <n v="3"/>
    <n v="1"/>
    <s v="Research Scientist"/>
    <s v="Low"/>
    <s v="Single"/>
    <n v="3102"/>
    <s v="Low (&lt;5k)"/>
    <n v="6582"/>
    <n v="0"/>
    <x v="0"/>
    <n v="22"/>
    <n v="4"/>
    <n v="3"/>
    <n v="0"/>
    <n v="7"/>
    <n v="2"/>
    <s v="Better"/>
    <n v="6"/>
    <x v="1"/>
    <n v="4"/>
    <n v="0"/>
    <n v="4"/>
  </r>
  <r>
    <n v="26"/>
    <s v="Young Adults"/>
    <n v="0"/>
    <s v="Travel_Rarely"/>
    <n v="1349"/>
    <x v="0"/>
    <n v="23"/>
    <s v="Long Commute"/>
    <s v="Bachelor"/>
    <s v="Life Sciences"/>
    <n v="1"/>
    <s v="Female"/>
    <n v="90"/>
    <n v="3"/>
    <n v="1"/>
    <s v="Research Scientist"/>
    <s v="Very High"/>
    <s v="Divorced"/>
    <n v="2886"/>
    <s v="Low (&lt;5k)"/>
    <n v="3032"/>
    <n v="1"/>
    <x v="0"/>
    <n v="22"/>
    <n v="4"/>
    <n v="2"/>
    <n v="2"/>
    <n v="3"/>
    <n v="3"/>
    <s v="Bad"/>
    <n v="3"/>
    <x v="1"/>
    <n v="2"/>
    <n v="0"/>
    <n v="2"/>
  </r>
  <r>
    <n v="26"/>
    <s v="Young Adults"/>
    <n v="1"/>
    <s v="Travel_Frequently"/>
    <n v="426"/>
    <x v="2"/>
    <n v="17"/>
    <s v="Long Commute"/>
    <s v="Master"/>
    <s v="Life Sciences"/>
    <n v="2"/>
    <s v="Female"/>
    <n v="58"/>
    <n v="3"/>
    <n v="1"/>
    <s v="Human Resources"/>
    <s v="High"/>
    <s v="Divorced"/>
    <n v="2741"/>
    <s v="Low (&lt;5k)"/>
    <n v="22808"/>
    <n v="0"/>
    <x v="1"/>
    <n v="11"/>
    <n v="3"/>
    <n v="2"/>
    <n v="1"/>
    <n v="8"/>
    <n v="2"/>
    <s v="Good"/>
    <n v="7"/>
    <x v="1"/>
    <n v="7"/>
    <n v="1"/>
    <n v="0"/>
  </r>
  <r>
    <n v="26"/>
    <s v="Young Adults"/>
    <n v="0"/>
    <s v="Travel_Rarely"/>
    <n v="775"/>
    <x v="1"/>
    <n v="29"/>
    <s v="Long Commute"/>
    <s v="College"/>
    <s v="Medical"/>
    <n v="1"/>
    <s v="Male"/>
    <n v="45"/>
    <n v="3"/>
    <n v="2"/>
    <s v="Sales Executive"/>
    <s v="High"/>
    <s v="Divorced"/>
    <n v="4306"/>
    <s v="Low (&lt;5k)"/>
    <n v="4267"/>
    <n v="5"/>
    <x v="0"/>
    <n v="12"/>
    <n v="3"/>
    <n v="1"/>
    <n v="2"/>
    <n v="8"/>
    <n v="5"/>
    <s v="Better"/>
    <n v="0"/>
    <x v="0"/>
    <n v="0"/>
    <n v="0"/>
    <n v="0"/>
  </r>
  <r>
    <n v="26"/>
    <s v="Young Adults"/>
    <n v="1"/>
    <s v="Travel_Rarely"/>
    <n v="471"/>
    <x v="0"/>
    <n v="24"/>
    <s v="Long Commute"/>
    <s v="Bachelor"/>
    <s v="Technical Degree"/>
    <n v="3"/>
    <s v="Male"/>
    <n v="66"/>
    <n v="1"/>
    <n v="1"/>
    <s v="Laboratory Technician"/>
    <s v="Very High"/>
    <s v="Single"/>
    <n v="2340"/>
    <s v="Low (&lt;5k)"/>
    <n v="23213"/>
    <n v="1"/>
    <x v="1"/>
    <n v="18"/>
    <n v="3"/>
    <n v="2"/>
    <n v="0"/>
    <n v="1"/>
    <n v="3"/>
    <s v="Bad"/>
    <n v="1"/>
    <x v="0"/>
    <n v="0"/>
    <n v="0"/>
    <n v="0"/>
  </r>
  <r>
    <n v="26"/>
    <s v="Young Adults"/>
    <n v="0"/>
    <s v="Travel_Rarely"/>
    <n v="703"/>
    <x v="1"/>
    <n v="28"/>
    <s v="Long Commute"/>
    <s v="College"/>
    <s v="Marketing"/>
    <n v="1"/>
    <s v="Male"/>
    <n v="66"/>
    <n v="3"/>
    <n v="2"/>
    <s v="Sales Executive"/>
    <s v="Medium"/>
    <s v="Married"/>
    <n v="6272"/>
    <s v="Medium (5k-10k)"/>
    <n v="7428"/>
    <n v="1"/>
    <x v="0"/>
    <n v="20"/>
    <n v="4"/>
    <n v="4"/>
    <n v="2"/>
    <n v="6"/>
    <n v="5"/>
    <s v="Best"/>
    <n v="5"/>
    <x v="1"/>
    <n v="3"/>
    <n v="1"/>
    <n v="4"/>
  </r>
  <r>
    <n v="26"/>
    <s v="Young Adults"/>
    <n v="0"/>
    <s v="Travel_Rarely"/>
    <n v="991"/>
    <x v="0"/>
    <n v="6"/>
    <s v="Moderate"/>
    <s v="Bachelor"/>
    <s v="Life Sciences"/>
    <n v="3"/>
    <s v="Female"/>
    <n v="71"/>
    <n v="3"/>
    <n v="1"/>
    <s v="Laboratory Technician"/>
    <s v="Very High"/>
    <s v="Married"/>
    <n v="2659"/>
    <s v="Low (&lt;5k)"/>
    <n v="17759"/>
    <n v="1"/>
    <x v="1"/>
    <n v="13"/>
    <n v="3"/>
    <n v="3"/>
    <n v="1"/>
    <n v="3"/>
    <n v="2"/>
    <s v="Better"/>
    <n v="3"/>
    <x v="1"/>
    <n v="2"/>
    <n v="0"/>
    <n v="2"/>
  </r>
  <r>
    <n v="26"/>
    <s v="Young Adults"/>
    <n v="0"/>
    <s v="Travel_Frequently"/>
    <n v="575"/>
    <x v="0"/>
    <n v="1"/>
    <s v="Near Office"/>
    <s v="College"/>
    <s v="Life Sciences"/>
    <n v="1"/>
    <s v="Female"/>
    <n v="71"/>
    <n v="1"/>
    <n v="1"/>
    <s v="Laboratory Technician"/>
    <s v="Very High"/>
    <s v="Divorced"/>
    <n v="4364"/>
    <s v="Low (&lt;5k)"/>
    <n v="5288"/>
    <n v="3"/>
    <x v="0"/>
    <n v="14"/>
    <n v="3"/>
    <n v="1"/>
    <n v="1"/>
    <n v="5"/>
    <n v="2"/>
    <s v="Better"/>
    <n v="2"/>
    <x v="0"/>
    <n v="2"/>
    <n v="2"/>
    <n v="0"/>
  </r>
  <r>
    <n v="26"/>
    <s v="Young Adults"/>
    <n v="1"/>
    <s v="Travel_Rarely"/>
    <n v="1146"/>
    <x v="1"/>
    <n v="8"/>
    <s v="Moderate"/>
    <s v="Bachelor"/>
    <s v="Technical Degree"/>
    <n v="4"/>
    <s v="Male"/>
    <n v="38"/>
    <n v="2"/>
    <n v="2"/>
    <s v="Sales Executive"/>
    <s v="Low"/>
    <s v="Single"/>
    <n v="5326"/>
    <s v="Medium (5k-10k)"/>
    <n v="3064"/>
    <n v="6"/>
    <x v="0"/>
    <n v="17"/>
    <n v="3"/>
    <n v="3"/>
    <n v="0"/>
    <n v="6"/>
    <n v="2"/>
    <s v="Good"/>
    <n v="4"/>
    <x v="1"/>
    <n v="3"/>
    <n v="1"/>
    <n v="2"/>
  </r>
  <r>
    <n v="26"/>
    <s v="Young Adults"/>
    <n v="1"/>
    <s v="Travel_Frequently"/>
    <n v="887"/>
    <x v="0"/>
    <n v="5"/>
    <s v="Near Office"/>
    <s v="College"/>
    <s v="Medical"/>
    <n v="3"/>
    <s v="Female"/>
    <n v="88"/>
    <n v="2"/>
    <n v="1"/>
    <s v="Research Scientist"/>
    <s v="High"/>
    <s v="Married"/>
    <n v="2366"/>
    <s v="Low (&lt;5k)"/>
    <n v="20898"/>
    <n v="1"/>
    <x v="1"/>
    <n v="14"/>
    <n v="3"/>
    <n v="1"/>
    <n v="1"/>
    <n v="8"/>
    <n v="2"/>
    <s v="Better"/>
    <n v="8"/>
    <x v="1"/>
    <n v="7"/>
    <n v="1"/>
    <n v="7"/>
  </r>
  <r>
    <n v="26"/>
    <s v="Young Adults"/>
    <n v="0"/>
    <s v="Travel_Frequently"/>
    <n v="1283"/>
    <x v="1"/>
    <n v="1"/>
    <s v="Near Office"/>
    <s v="Bachelor"/>
    <s v="Medical"/>
    <n v="3"/>
    <s v="Male"/>
    <n v="52"/>
    <n v="2"/>
    <n v="2"/>
    <s v="Sales Executive"/>
    <s v="Low"/>
    <s v="Single"/>
    <n v="4294"/>
    <s v="Low (&lt;5k)"/>
    <n v="11148"/>
    <n v="1"/>
    <x v="0"/>
    <n v="12"/>
    <n v="3"/>
    <n v="2"/>
    <n v="0"/>
    <n v="7"/>
    <n v="2"/>
    <s v="Better"/>
    <n v="7"/>
    <x v="1"/>
    <n v="7"/>
    <n v="0"/>
    <n v="7"/>
  </r>
  <r>
    <n v="26"/>
    <s v="Young Adults"/>
    <n v="0"/>
    <s v="Travel_Rarely"/>
    <n v="1066"/>
    <x v="0"/>
    <n v="2"/>
    <s v="Near Office"/>
    <s v="College"/>
    <s v="Medical"/>
    <n v="4"/>
    <s v="Male"/>
    <n v="32"/>
    <n v="4"/>
    <n v="2"/>
    <s v="Manufacturing Director"/>
    <s v="Very High"/>
    <s v="Married"/>
    <n v="5472"/>
    <s v="Medium (5k-10k)"/>
    <n v="3334"/>
    <n v="1"/>
    <x v="0"/>
    <n v="12"/>
    <n v="3"/>
    <n v="2"/>
    <n v="0"/>
    <n v="8"/>
    <n v="2"/>
    <s v="Better"/>
    <n v="8"/>
    <x v="1"/>
    <n v="7"/>
    <n v="1"/>
    <n v="3"/>
  </r>
  <r>
    <n v="26"/>
    <s v="Young Adults"/>
    <n v="1"/>
    <s v="Non-Travel"/>
    <n v="265"/>
    <x v="1"/>
    <n v="29"/>
    <s v="Long Commute"/>
    <s v="College"/>
    <s v="Medical"/>
    <n v="2"/>
    <s v="Male"/>
    <n v="79"/>
    <n v="1"/>
    <n v="2"/>
    <s v="Sales Executive"/>
    <s v="Low"/>
    <s v="Single"/>
    <n v="4969"/>
    <s v="Low (&lt;5k)"/>
    <n v="21813"/>
    <n v="8"/>
    <x v="0"/>
    <n v="18"/>
    <n v="3"/>
    <n v="4"/>
    <n v="0"/>
    <n v="7"/>
    <n v="6"/>
    <s v="Better"/>
    <n v="2"/>
    <x v="0"/>
    <n v="2"/>
    <n v="2"/>
    <n v="2"/>
  </r>
  <r>
    <n v="26"/>
    <s v="Young Adults"/>
    <n v="1"/>
    <s v="Travel_Frequently"/>
    <n v="342"/>
    <x v="0"/>
    <n v="2"/>
    <s v="Near Office"/>
    <s v="Bachelor"/>
    <s v="Life Sciences"/>
    <n v="1"/>
    <s v="Male"/>
    <n v="57"/>
    <n v="3"/>
    <n v="1"/>
    <s v="Research Scientist"/>
    <s v="Low"/>
    <s v="Married"/>
    <n v="2042"/>
    <s v="Low (&lt;5k)"/>
    <n v="15346"/>
    <n v="6"/>
    <x v="1"/>
    <n v="14"/>
    <n v="3"/>
    <n v="2"/>
    <n v="1"/>
    <n v="6"/>
    <n v="2"/>
    <s v="Better"/>
    <n v="3"/>
    <x v="1"/>
    <n v="2"/>
    <n v="1"/>
    <n v="2"/>
  </r>
  <r>
    <n v="26"/>
    <s v="Young Adults"/>
    <n v="0"/>
    <s v="Travel_Frequently"/>
    <n v="921"/>
    <x v="0"/>
    <n v="1"/>
    <s v="Near Office"/>
    <s v="Below College"/>
    <s v="Medical"/>
    <n v="1"/>
    <s v="Female"/>
    <n v="66"/>
    <n v="2"/>
    <n v="1"/>
    <s v="Research Scientist"/>
    <s v="High"/>
    <s v="Divorced"/>
    <n v="2007"/>
    <s v="Low (&lt;5k)"/>
    <n v="25265"/>
    <n v="1"/>
    <x v="0"/>
    <n v="13"/>
    <n v="3"/>
    <n v="3"/>
    <n v="2"/>
    <n v="5"/>
    <n v="5"/>
    <s v="Better"/>
    <n v="5"/>
    <x v="1"/>
    <n v="3"/>
    <n v="1"/>
    <n v="3"/>
  </r>
  <r>
    <n v="26"/>
    <s v="Young Adults"/>
    <n v="0"/>
    <s v="Travel_Rarely"/>
    <n v="192"/>
    <x v="0"/>
    <n v="1"/>
    <s v="Near Office"/>
    <s v="College"/>
    <s v="Medical"/>
    <n v="1"/>
    <s v="Male"/>
    <n v="59"/>
    <n v="2"/>
    <n v="1"/>
    <s v="Laboratory Technician"/>
    <s v="Low"/>
    <s v="Married"/>
    <n v="3955"/>
    <s v="Low (&lt;5k)"/>
    <n v="11141"/>
    <n v="1"/>
    <x v="0"/>
    <n v="16"/>
    <n v="3"/>
    <n v="1"/>
    <n v="2"/>
    <n v="6"/>
    <n v="2"/>
    <s v="Better"/>
    <n v="5"/>
    <x v="1"/>
    <n v="3"/>
    <n v="1"/>
    <n v="3"/>
  </r>
  <r>
    <n v="26"/>
    <s v="Young Adults"/>
    <n v="1"/>
    <s v="Travel_Rarely"/>
    <n v="1330"/>
    <x v="0"/>
    <n v="21"/>
    <s v="Long Commute"/>
    <s v="Bachelor"/>
    <s v="Medical"/>
    <n v="1"/>
    <s v="Male"/>
    <n v="37"/>
    <n v="3"/>
    <n v="1"/>
    <s v="Laboratory Technician"/>
    <s v="High"/>
    <s v="Divorced"/>
    <n v="2377"/>
    <s v="Low (&lt;5k)"/>
    <n v="19373"/>
    <n v="1"/>
    <x v="0"/>
    <n v="20"/>
    <n v="4"/>
    <n v="3"/>
    <n v="1"/>
    <n v="1"/>
    <n v="0"/>
    <s v="Good"/>
    <n v="1"/>
    <x v="0"/>
    <n v="1"/>
    <n v="0"/>
    <n v="0"/>
  </r>
  <r>
    <n v="26"/>
    <s v="Young Adults"/>
    <n v="0"/>
    <s v="Travel_Rarely"/>
    <n v="1384"/>
    <x v="0"/>
    <n v="3"/>
    <s v="Near Office"/>
    <s v="Master"/>
    <s v="Medical"/>
    <n v="1"/>
    <s v="Male"/>
    <n v="82"/>
    <n v="4"/>
    <n v="1"/>
    <s v="Laboratory Technician"/>
    <s v="Very High"/>
    <s v="Married"/>
    <n v="4420"/>
    <s v="Low (&lt;5k)"/>
    <n v="13421"/>
    <n v="1"/>
    <x v="0"/>
    <n v="22"/>
    <n v="4"/>
    <n v="2"/>
    <n v="1"/>
    <n v="8"/>
    <n v="2"/>
    <s v="Better"/>
    <n v="8"/>
    <x v="1"/>
    <n v="7"/>
    <n v="0"/>
    <n v="7"/>
  </r>
  <r>
    <n v="26"/>
    <s v="Young Adults"/>
    <n v="0"/>
    <s v="Travel_Rarely"/>
    <n v="583"/>
    <x v="0"/>
    <n v="4"/>
    <s v="Near Office"/>
    <s v="College"/>
    <s v="Life Sciences"/>
    <n v="3"/>
    <s v="Male"/>
    <n v="53"/>
    <n v="3"/>
    <n v="1"/>
    <s v="Research Scientist"/>
    <s v="Very High"/>
    <s v="Single"/>
    <n v="2875"/>
    <s v="Low (&lt;5k)"/>
    <n v="9973"/>
    <n v="1"/>
    <x v="1"/>
    <n v="20"/>
    <n v="4"/>
    <n v="2"/>
    <n v="0"/>
    <n v="8"/>
    <n v="2"/>
    <s v="Good"/>
    <n v="8"/>
    <x v="1"/>
    <n v="5"/>
    <n v="2"/>
    <n v="2"/>
  </r>
  <r>
    <n v="26"/>
    <s v="Young Adults"/>
    <n v="0"/>
    <s v="Travel_Rarely"/>
    <n v="683"/>
    <x v="0"/>
    <n v="2"/>
    <s v="Near Office"/>
    <s v="Below College"/>
    <s v="Medical"/>
    <n v="1"/>
    <s v="Male"/>
    <n v="36"/>
    <n v="2"/>
    <n v="1"/>
    <s v="Research Scientist"/>
    <s v="Very High"/>
    <s v="Single"/>
    <n v="3904"/>
    <s v="Low (&lt;5k)"/>
    <n v="4050"/>
    <n v="0"/>
    <x v="0"/>
    <n v="12"/>
    <n v="3"/>
    <n v="4"/>
    <n v="0"/>
    <n v="5"/>
    <n v="2"/>
    <s v="Better"/>
    <n v="4"/>
    <x v="1"/>
    <n v="3"/>
    <n v="1"/>
    <n v="1"/>
  </r>
  <r>
    <n v="26"/>
    <s v="Young Adults"/>
    <n v="0"/>
    <s v="Travel_Rarely"/>
    <n v="652"/>
    <x v="0"/>
    <n v="7"/>
    <s v="Moderate"/>
    <s v="Bachelor"/>
    <s v="Other"/>
    <n v="3"/>
    <s v="Male"/>
    <n v="100"/>
    <n v="4"/>
    <n v="1"/>
    <s v="Laboratory Technician"/>
    <s v="Low"/>
    <s v="Single"/>
    <n v="3578"/>
    <s v="Low (&lt;5k)"/>
    <n v="23577"/>
    <n v="0"/>
    <x v="0"/>
    <n v="12"/>
    <n v="3"/>
    <n v="4"/>
    <n v="0"/>
    <n v="8"/>
    <n v="2"/>
    <s v="Better"/>
    <n v="7"/>
    <x v="1"/>
    <n v="7"/>
    <n v="0"/>
    <n v="7"/>
  </r>
  <r>
    <n v="26"/>
    <s v="Young Adults"/>
    <n v="0"/>
    <s v="Travel_Rarely"/>
    <n v="474"/>
    <x v="0"/>
    <n v="3"/>
    <s v="Near Office"/>
    <s v="Bachelor"/>
    <s v="Life Sciences"/>
    <n v="1"/>
    <s v="Female"/>
    <n v="89"/>
    <n v="3"/>
    <n v="1"/>
    <s v="Research Scientist"/>
    <s v="Very High"/>
    <s v="Married"/>
    <n v="2061"/>
    <s v="Low (&lt;5k)"/>
    <n v="11133"/>
    <n v="1"/>
    <x v="0"/>
    <n v="21"/>
    <n v="4"/>
    <n v="1"/>
    <n v="0"/>
    <n v="1"/>
    <n v="5"/>
    <s v="Better"/>
    <n v="1"/>
    <x v="0"/>
    <n v="0"/>
    <n v="0"/>
    <n v="0"/>
  </r>
  <r>
    <n v="26"/>
    <s v="Young Adults"/>
    <n v="0"/>
    <s v="Non-Travel"/>
    <n v="786"/>
    <x v="0"/>
    <n v="7"/>
    <s v="Moderate"/>
    <s v="Bachelor"/>
    <s v="Medical"/>
    <n v="4"/>
    <s v="Male"/>
    <n v="76"/>
    <n v="3"/>
    <n v="1"/>
    <s v="Laboratory Technician"/>
    <s v="Very High"/>
    <s v="Single"/>
    <n v="2570"/>
    <s v="Low (&lt;5k)"/>
    <n v="11925"/>
    <n v="1"/>
    <x v="0"/>
    <n v="20"/>
    <n v="4"/>
    <n v="3"/>
    <n v="0"/>
    <n v="7"/>
    <n v="5"/>
    <s v="Better"/>
    <n v="7"/>
    <x v="1"/>
    <n v="7"/>
    <n v="5"/>
    <n v="7"/>
  </r>
  <r>
    <n v="26"/>
    <s v="Young Adults"/>
    <n v="0"/>
    <s v="Travel_Rarely"/>
    <n v="390"/>
    <x v="0"/>
    <n v="17"/>
    <s v="Long Commute"/>
    <s v="Master"/>
    <s v="Medical"/>
    <n v="4"/>
    <s v="Male"/>
    <n v="62"/>
    <n v="1"/>
    <n v="1"/>
    <s v="Laboratory Technician"/>
    <s v="High"/>
    <s v="Married"/>
    <n v="2305"/>
    <s v="Low (&lt;5k)"/>
    <n v="6217"/>
    <n v="1"/>
    <x v="0"/>
    <n v="15"/>
    <n v="3"/>
    <n v="3"/>
    <n v="3"/>
    <n v="3"/>
    <n v="3"/>
    <s v="Best"/>
    <n v="3"/>
    <x v="1"/>
    <n v="2"/>
    <n v="0"/>
    <n v="2"/>
  </r>
  <r>
    <n v="26"/>
    <s v="Young Adults"/>
    <n v="1"/>
    <s v="Travel_Rarely"/>
    <n v="920"/>
    <x v="2"/>
    <n v="20"/>
    <s v="Long Commute"/>
    <s v="College"/>
    <s v="Medical"/>
    <n v="4"/>
    <s v="Female"/>
    <n v="69"/>
    <n v="3"/>
    <n v="1"/>
    <s v="Human Resources"/>
    <s v="Medium"/>
    <s v="Married"/>
    <n v="2148"/>
    <s v="Low (&lt;5k)"/>
    <n v="6889"/>
    <n v="0"/>
    <x v="1"/>
    <n v="11"/>
    <n v="3"/>
    <n v="3"/>
    <n v="0"/>
    <n v="6"/>
    <n v="3"/>
    <s v="Better"/>
    <n v="5"/>
    <x v="1"/>
    <n v="1"/>
    <n v="1"/>
    <n v="4"/>
  </r>
  <r>
    <n v="26"/>
    <s v="Young Adults"/>
    <n v="0"/>
    <s v="Travel_Rarely"/>
    <n v="572"/>
    <x v="1"/>
    <n v="10"/>
    <s v="Moderate"/>
    <s v="Bachelor"/>
    <s v="Medical"/>
    <n v="3"/>
    <s v="Male"/>
    <n v="46"/>
    <n v="3"/>
    <n v="2"/>
    <s v="Sales Executive"/>
    <s v="Very High"/>
    <s v="Single"/>
    <n v="4684"/>
    <s v="Low (&lt;5k)"/>
    <n v="9125"/>
    <n v="1"/>
    <x v="0"/>
    <n v="13"/>
    <n v="3"/>
    <n v="1"/>
    <n v="0"/>
    <n v="5"/>
    <n v="4"/>
    <s v="Better"/>
    <n v="5"/>
    <x v="1"/>
    <n v="3"/>
    <n v="1"/>
    <n v="2"/>
  </r>
  <r>
    <n v="26"/>
    <s v="Young Adults"/>
    <n v="0"/>
    <s v="Travel_Rarely"/>
    <n v="482"/>
    <x v="0"/>
    <n v="1"/>
    <s v="Near Office"/>
    <s v="College"/>
    <s v="Life Sciences"/>
    <n v="2"/>
    <s v="Female"/>
    <n v="90"/>
    <n v="2"/>
    <n v="1"/>
    <s v="Research Scientist"/>
    <s v="High"/>
    <s v="Married"/>
    <n v="2933"/>
    <s v="Low (&lt;5k)"/>
    <n v="14908"/>
    <n v="1"/>
    <x v="1"/>
    <n v="13"/>
    <n v="3"/>
    <n v="3"/>
    <n v="1"/>
    <n v="1"/>
    <n v="3"/>
    <s v="Good"/>
    <n v="1"/>
    <x v="0"/>
    <n v="0"/>
    <n v="1"/>
    <n v="0"/>
  </r>
  <r>
    <n v="26"/>
    <s v="Young Adults"/>
    <n v="0"/>
    <s v="Travel_Frequently"/>
    <n v="1096"/>
    <x v="0"/>
    <n v="6"/>
    <s v="Moderate"/>
    <s v="Bachelor"/>
    <s v="Other"/>
    <n v="3"/>
    <s v="Male"/>
    <n v="61"/>
    <n v="4"/>
    <n v="1"/>
    <s v="Laboratory Technician"/>
    <s v="Very High"/>
    <s v="Married"/>
    <n v="2544"/>
    <s v="Low (&lt;5k)"/>
    <n v="7102"/>
    <n v="0"/>
    <x v="0"/>
    <n v="18"/>
    <n v="3"/>
    <n v="1"/>
    <n v="1"/>
    <n v="8"/>
    <n v="3"/>
    <s v="Better"/>
    <n v="7"/>
    <x v="1"/>
    <n v="7"/>
    <n v="7"/>
    <n v="7"/>
  </r>
  <r>
    <n v="26"/>
    <s v="Young Adults"/>
    <n v="0"/>
    <s v="Travel_Rarely"/>
    <n v="157"/>
    <x v="0"/>
    <n v="1"/>
    <s v="Near Office"/>
    <s v="Bachelor"/>
    <s v="Medical"/>
    <n v="3"/>
    <s v="Male"/>
    <n v="95"/>
    <n v="3"/>
    <n v="1"/>
    <s v="Laboratory Technician"/>
    <s v="Low"/>
    <s v="Single"/>
    <n v="2867"/>
    <s v="Low (&lt;5k)"/>
    <n v="20006"/>
    <n v="0"/>
    <x v="0"/>
    <n v="13"/>
    <n v="3"/>
    <n v="4"/>
    <n v="0"/>
    <n v="8"/>
    <n v="6"/>
    <s v="Good"/>
    <n v="7"/>
    <x v="1"/>
    <n v="7"/>
    <n v="7"/>
    <n v="6"/>
  </r>
  <r>
    <n v="26"/>
    <s v="Young Adults"/>
    <n v="0"/>
    <s v="Travel_Rarely"/>
    <n v="1167"/>
    <x v="1"/>
    <n v="5"/>
    <s v="Near Office"/>
    <s v="Bachelor"/>
    <s v="Other"/>
    <n v="4"/>
    <s v="Female"/>
    <n v="30"/>
    <n v="2"/>
    <n v="1"/>
    <s v="Sales Representative"/>
    <s v="High"/>
    <s v="Single"/>
    <n v="2966"/>
    <s v="Low (&lt;5k)"/>
    <n v="21378"/>
    <n v="0"/>
    <x v="0"/>
    <n v="18"/>
    <n v="3"/>
    <n v="4"/>
    <n v="0"/>
    <n v="5"/>
    <n v="2"/>
    <s v="Better"/>
    <n v="4"/>
    <x v="1"/>
    <n v="2"/>
    <n v="0"/>
    <n v="0"/>
  </r>
  <r>
    <n v="27"/>
    <s v="Young Adults"/>
    <n v="0"/>
    <s v="Travel_Rarely"/>
    <n v="591"/>
    <x v="0"/>
    <n v="2"/>
    <s v="Near Office"/>
    <s v="Below College"/>
    <s v="Medical"/>
    <n v="1"/>
    <s v="Male"/>
    <n v="40"/>
    <n v="3"/>
    <n v="1"/>
    <s v="Laboratory Technician"/>
    <s v="Medium"/>
    <s v="Married"/>
    <n v="3468"/>
    <s v="Low (&lt;5k)"/>
    <n v="16632"/>
    <n v="9"/>
    <x v="0"/>
    <n v="12"/>
    <n v="3"/>
    <n v="4"/>
    <n v="1"/>
    <n v="6"/>
    <n v="3"/>
    <s v="Better"/>
    <n v="2"/>
    <x v="0"/>
    <n v="2"/>
    <n v="2"/>
    <n v="2"/>
  </r>
  <r>
    <n v="27"/>
    <s v="Young Adults"/>
    <n v="0"/>
    <s v="Travel_Rarely"/>
    <n v="1240"/>
    <x v="0"/>
    <n v="2"/>
    <s v="Near Office"/>
    <s v="Master"/>
    <s v="Life Sciences"/>
    <n v="4"/>
    <s v="Female"/>
    <n v="33"/>
    <n v="3"/>
    <n v="1"/>
    <s v="Laboratory Technician"/>
    <s v="Low"/>
    <s v="Divorced"/>
    <n v="2341"/>
    <s v="Low (&lt;5k)"/>
    <n v="19715"/>
    <n v="1"/>
    <x v="0"/>
    <n v="13"/>
    <n v="3"/>
    <n v="4"/>
    <n v="1"/>
    <n v="1"/>
    <n v="6"/>
    <s v="Better"/>
    <n v="1"/>
    <x v="0"/>
    <n v="0"/>
    <n v="0"/>
    <n v="0"/>
  </r>
  <r>
    <n v="27"/>
    <s v="Young Adults"/>
    <n v="0"/>
    <s v="Travel_Frequently"/>
    <n v="994"/>
    <x v="1"/>
    <n v="8"/>
    <s v="Moderate"/>
    <s v="Bachelor"/>
    <s v="Life Sciences"/>
    <n v="4"/>
    <s v="Male"/>
    <n v="37"/>
    <n v="3"/>
    <n v="3"/>
    <s v="Sales Executive"/>
    <s v="High"/>
    <s v="Single"/>
    <n v="8726"/>
    <s v="Medium (5k-10k)"/>
    <n v="2975"/>
    <n v="1"/>
    <x v="0"/>
    <n v="15"/>
    <n v="3"/>
    <n v="4"/>
    <n v="0"/>
    <n v="9"/>
    <n v="0"/>
    <s v="Better"/>
    <n v="9"/>
    <x v="1"/>
    <n v="8"/>
    <n v="1"/>
    <n v="7"/>
  </r>
  <r>
    <n v="27"/>
    <s v="Young Adults"/>
    <n v="0"/>
    <s v="Non-Travel"/>
    <n v="691"/>
    <x v="0"/>
    <n v="9"/>
    <s v="Moderate"/>
    <s v="Bachelor"/>
    <s v="Medical"/>
    <n v="4"/>
    <s v="Male"/>
    <n v="57"/>
    <n v="3"/>
    <n v="1"/>
    <s v="Research Scientist"/>
    <s v="Medium"/>
    <s v="Divorced"/>
    <n v="2024"/>
    <s v="Low (&lt;5k)"/>
    <n v="5970"/>
    <n v="6"/>
    <x v="0"/>
    <n v="18"/>
    <n v="3"/>
    <n v="4"/>
    <n v="1"/>
    <n v="6"/>
    <n v="1"/>
    <s v="Bad"/>
    <n v="2"/>
    <x v="0"/>
    <n v="2"/>
    <n v="2"/>
    <n v="2"/>
  </r>
  <r>
    <n v="27"/>
    <s v="Young Adults"/>
    <n v="0"/>
    <s v="Non-Travel"/>
    <n v="1450"/>
    <x v="0"/>
    <n v="3"/>
    <s v="Near Office"/>
    <s v="Bachelor"/>
    <s v="Medical"/>
    <n v="3"/>
    <s v="Male"/>
    <n v="79"/>
    <n v="2"/>
    <n v="1"/>
    <s v="Research Scientist"/>
    <s v="High"/>
    <s v="Divorced"/>
    <n v="2566"/>
    <s v="Low (&lt;5k)"/>
    <n v="25326"/>
    <n v="1"/>
    <x v="1"/>
    <n v="15"/>
    <n v="3"/>
    <n v="4"/>
    <n v="1"/>
    <n v="1"/>
    <n v="2"/>
    <s v="Good"/>
    <n v="1"/>
    <x v="0"/>
    <n v="1"/>
    <n v="0"/>
    <n v="1"/>
  </r>
  <r>
    <n v="27"/>
    <s v="Young Adults"/>
    <n v="0"/>
    <s v="Travel_Rarely"/>
    <n v="1157"/>
    <x v="0"/>
    <n v="17"/>
    <s v="Long Commute"/>
    <s v="Bachelor"/>
    <s v="Technical Degree"/>
    <n v="3"/>
    <s v="Male"/>
    <n v="51"/>
    <n v="3"/>
    <n v="1"/>
    <s v="Research Scientist"/>
    <s v="Medium"/>
    <s v="Married"/>
    <n v="3058"/>
    <s v="Low (&lt;5k)"/>
    <n v="13364"/>
    <n v="0"/>
    <x v="1"/>
    <n v="16"/>
    <n v="3"/>
    <n v="4"/>
    <n v="1"/>
    <n v="6"/>
    <n v="3"/>
    <s v="Good"/>
    <n v="5"/>
    <x v="1"/>
    <n v="2"/>
    <n v="1"/>
    <n v="1"/>
  </r>
  <r>
    <n v="27"/>
    <s v="Young Adults"/>
    <n v="0"/>
    <s v="Travel_Rarely"/>
    <n v="894"/>
    <x v="0"/>
    <n v="9"/>
    <s v="Moderate"/>
    <s v="Bachelor"/>
    <s v="Medical"/>
    <n v="4"/>
    <s v="Female"/>
    <n v="99"/>
    <n v="3"/>
    <n v="1"/>
    <s v="Research Scientist"/>
    <s v="Medium"/>
    <s v="Single"/>
    <n v="2279"/>
    <s v="Low (&lt;5k)"/>
    <n v="11781"/>
    <n v="1"/>
    <x v="0"/>
    <n v="16"/>
    <n v="3"/>
    <n v="4"/>
    <n v="0"/>
    <n v="7"/>
    <n v="2"/>
    <s v="Good"/>
    <n v="7"/>
    <x v="1"/>
    <n v="7"/>
    <n v="0"/>
    <n v="3"/>
  </r>
  <r>
    <n v="27"/>
    <s v="Young Adults"/>
    <n v="0"/>
    <s v="Travel_Frequently"/>
    <n v="472"/>
    <x v="0"/>
    <n v="1"/>
    <s v="Near Office"/>
    <s v="Below College"/>
    <s v="Technical Degree"/>
    <n v="3"/>
    <s v="Male"/>
    <n v="60"/>
    <n v="2"/>
    <n v="2"/>
    <s v="Manufacturing Director"/>
    <s v="Low"/>
    <s v="Married"/>
    <n v="4298"/>
    <s v="Low (&lt;5k)"/>
    <n v="9679"/>
    <n v="5"/>
    <x v="0"/>
    <n v="19"/>
    <n v="3"/>
    <n v="3"/>
    <n v="1"/>
    <n v="6"/>
    <n v="1"/>
    <s v="Better"/>
    <n v="2"/>
    <x v="0"/>
    <n v="2"/>
    <n v="2"/>
    <n v="0"/>
  </r>
  <r>
    <n v="27"/>
    <s v="Young Adults"/>
    <n v="0"/>
    <s v="Travel_Frequently"/>
    <n v="1242"/>
    <x v="1"/>
    <n v="20"/>
    <s v="Long Commute"/>
    <s v="Bachelor"/>
    <s v="Life Sciences"/>
    <n v="4"/>
    <s v="Female"/>
    <n v="90"/>
    <n v="3"/>
    <n v="2"/>
    <s v="Sales Executive"/>
    <s v="High"/>
    <s v="Single"/>
    <n v="9981"/>
    <s v="Medium (5k-10k)"/>
    <n v="12916"/>
    <n v="1"/>
    <x v="0"/>
    <n v="14"/>
    <n v="3"/>
    <n v="4"/>
    <n v="0"/>
    <n v="7"/>
    <n v="2"/>
    <s v="Better"/>
    <n v="7"/>
    <x v="1"/>
    <n v="7"/>
    <n v="0"/>
    <n v="7"/>
  </r>
  <r>
    <n v="27"/>
    <s v="Young Adults"/>
    <n v="0"/>
    <s v="Travel_Rarely"/>
    <n v="1220"/>
    <x v="0"/>
    <n v="5"/>
    <s v="Near Office"/>
    <s v="Bachelor"/>
    <s v="Life Sciences"/>
    <n v="3"/>
    <s v="Female"/>
    <n v="85"/>
    <n v="3"/>
    <n v="1"/>
    <s v="Research Scientist"/>
    <s v="Medium"/>
    <s v="Single"/>
    <n v="2478"/>
    <s v="Low (&lt;5k)"/>
    <n v="20938"/>
    <n v="1"/>
    <x v="1"/>
    <n v="12"/>
    <n v="3"/>
    <n v="2"/>
    <n v="0"/>
    <n v="4"/>
    <n v="2"/>
    <s v="Good"/>
    <n v="4"/>
    <x v="1"/>
    <n v="3"/>
    <n v="1"/>
    <n v="2"/>
  </r>
  <r>
    <n v="27"/>
    <s v="Young Adults"/>
    <n v="0"/>
    <s v="Travel_Rarely"/>
    <n v="1377"/>
    <x v="1"/>
    <n v="2"/>
    <s v="Near Office"/>
    <s v="Bachelor"/>
    <s v="Life Sciences"/>
    <n v="4"/>
    <s v="Male"/>
    <n v="74"/>
    <n v="3"/>
    <n v="2"/>
    <s v="Sales Executive"/>
    <s v="High"/>
    <s v="Single"/>
    <n v="4478"/>
    <s v="Low (&lt;5k)"/>
    <n v="5242"/>
    <n v="1"/>
    <x v="1"/>
    <n v="11"/>
    <n v="3"/>
    <n v="1"/>
    <n v="0"/>
    <n v="5"/>
    <n v="3"/>
    <s v="Better"/>
    <n v="5"/>
    <x v="1"/>
    <n v="4"/>
    <n v="0"/>
    <n v="4"/>
  </r>
  <r>
    <n v="27"/>
    <s v="Young Adults"/>
    <n v="0"/>
    <s v="Non-Travel"/>
    <n v="210"/>
    <x v="1"/>
    <n v="1"/>
    <s v="Near Office"/>
    <s v="Below College"/>
    <s v="Marketing"/>
    <n v="3"/>
    <s v="Male"/>
    <n v="73"/>
    <n v="3"/>
    <n v="2"/>
    <s v="Sales Executive"/>
    <s v="Medium"/>
    <s v="Married"/>
    <n v="6349"/>
    <s v="Medium (5k-10k)"/>
    <n v="22107"/>
    <n v="0"/>
    <x v="1"/>
    <n v="13"/>
    <n v="3"/>
    <n v="4"/>
    <n v="1"/>
    <n v="6"/>
    <n v="0"/>
    <s v="Better"/>
    <n v="5"/>
    <x v="1"/>
    <n v="4"/>
    <n v="1"/>
    <n v="4"/>
  </r>
  <r>
    <n v="27"/>
    <s v="Young Adults"/>
    <n v="0"/>
    <s v="Travel_Rarely"/>
    <n v="1130"/>
    <x v="1"/>
    <n v="8"/>
    <s v="Moderate"/>
    <s v="Master"/>
    <s v="Marketing"/>
    <n v="2"/>
    <s v="Female"/>
    <n v="56"/>
    <n v="3"/>
    <n v="2"/>
    <s v="Sales Executive"/>
    <s v="Medium"/>
    <s v="Married"/>
    <n v="6214"/>
    <s v="Medium (5k-10k)"/>
    <n v="3415"/>
    <n v="1"/>
    <x v="0"/>
    <n v="18"/>
    <n v="3"/>
    <n v="1"/>
    <n v="1"/>
    <n v="8"/>
    <n v="3"/>
    <s v="Better"/>
    <n v="8"/>
    <x v="1"/>
    <n v="7"/>
    <n v="0"/>
    <n v="7"/>
  </r>
  <r>
    <n v="27"/>
    <s v="Young Adults"/>
    <n v="0"/>
    <s v="Travel_Rarely"/>
    <n v="1469"/>
    <x v="0"/>
    <n v="1"/>
    <s v="Near Office"/>
    <s v="College"/>
    <s v="Medical"/>
    <n v="4"/>
    <s v="Male"/>
    <n v="82"/>
    <n v="3"/>
    <n v="1"/>
    <s v="Laboratory Technician"/>
    <s v="Medium"/>
    <s v="Divorced"/>
    <n v="3816"/>
    <s v="Low (&lt;5k)"/>
    <n v="17881"/>
    <n v="1"/>
    <x v="0"/>
    <n v="11"/>
    <n v="3"/>
    <n v="2"/>
    <n v="1"/>
    <n v="5"/>
    <n v="2"/>
    <s v="Better"/>
    <n v="5"/>
    <x v="1"/>
    <n v="2"/>
    <n v="0"/>
    <n v="4"/>
  </r>
  <r>
    <n v="27"/>
    <s v="Young Adults"/>
    <n v="0"/>
    <s v="Travel_Rarely"/>
    <n v="798"/>
    <x v="0"/>
    <n v="6"/>
    <s v="Moderate"/>
    <s v="Master"/>
    <s v="Medical"/>
    <n v="1"/>
    <s v="Female"/>
    <n v="66"/>
    <n v="2"/>
    <n v="1"/>
    <s v="Research Scientist"/>
    <s v="High"/>
    <s v="Divorced"/>
    <n v="2187"/>
    <s v="Low (&lt;5k)"/>
    <n v="5013"/>
    <n v="0"/>
    <x v="0"/>
    <n v="12"/>
    <n v="3"/>
    <n v="3"/>
    <n v="2"/>
    <n v="6"/>
    <n v="5"/>
    <s v="Good"/>
    <n v="5"/>
    <x v="1"/>
    <n v="3"/>
    <n v="0"/>
    <n v="3"/>
  </r>
  <r>
    <n v="27"/>
    <s v="Young Adults"/>
    <n v="1"/>
    <s v="Travel_Rarely"/>
    <n v="1420"/>
    <x v="1"/>
    <n v="2"/>
    <s v="Near Office"/>
    <s v="Below College"/>
    <s v="Marketing"/>
    <n v="3"/>
    <s v="Male"/>
    <n v="85"/>
    <n v="3"/>
    <n v="1"/>
    <s v="Sales Representative"/>
    <s v="Low"/>
    <s v="Divorced"/>
    <n v="3041"/>
    <s v="Low (&lt;5k)"/>
    <n v="16346"/>
    <n v="0"/>
    <x v="0"/>
    <n v="11"/>
    <n v="3"/>
    <n v="2"/>
    <n v="1"/>
    <n v="5"/>
    <n v="3"/>
    <s v="Better"/>
    <n v="4"/>
    <x v="1"/>
    <n v="3"/>
    <n v="0"/>
    <n v="2"/>
  </r>
  <r>
    <n v="27"/>
    <s v="Young Adults"/>
    <n v="0"/>
    <s v="Travel_Rarely"/>
    <n v="1115"/>
    <x v="0"/>
    <n v="3"/>
    <s v="Near Office"/>
    <s v="Master"/>
    <s v="Medical"/>
    <n v="1"/>
    <s v="Male"/>
    <n v="54"/>
    <n v="2"/>
    <n v="1"/>
    <s v="Research Scientist"/>
    <s v="Very High"/>
    <s v="Single"/>
    <n v="2045"/>
    <s v="Low (&lt;5k)"/>
    <n v="15174"/>
    <n v="0"/>
    <x v="0"/>
    <n v="13"/>
    <n v="3"/>
    <n v="4"/>
    <n v="0"/>
    <n v="5"/>
    <n v="0"/>
    <s v="Better"/>
    <n v="4"/>
    <x v="1"/>
    <n v="2"/>
    <n v="1"/>
    <n v="1"/>
  </r>
  <r>
    <n v="27"/>
    <s v="Young Adults"/>
    <n v="0"/>
    <s v="Travel_Frequently"/>
    <n v="1410"/>
    <x v="1"/>
    <n v="3"/>
    <s v="Near Office"/>
    <s v="Below College"/>
    <s v="Medical"/>
    <n v="4"/>
    <s v="Female"/>
    <n v="71"/>
    <n v="4"/>
    <n v="2"/>
    <s v="Sales Executive"/>
    <s v="Very High"/>
    <s v="Divorced"/>
    <n v="4647"/>
    <s v="Low (&lt;5k)"/>
    <n v="16673"/>
    <n v="1"/>
    <x v="1"/>
    <n v="20"/>
    <n v="4"/>
    <n v="2"/>
    <n v="2"/>
    <n v="6"/>
    <n v="3"/>
    <s v="Better"/>
    <n v="6"/>
    <x v="1"/>
    <n v="5"/>
    <n v="0"/>
    <n v="4"/>
  </r>
  <r>
    <n v="27"/>
    <s v="Young Adults"/>
    <n v="0"/>
    <s v="Travel_Rarely"/>
    <n v="608"/>
    <x v="0"/>
    <n v="1"/>
    <s v="Near Office"/>
    <s v="College"/>
    <s v="Life Sciences"/>
    <n v="3"/>
    <s v="Female"/>
    <n v="68"/>
    <n v="3"/>
    <n v="3"/>
    <s v="Manufacturing Director"/>
    <s v="Low"/>
    <s v="Married"/>
    <n v="7412"/>
    <s v="Medium (5k-10k)"/>
    <n v="6009"/>
    <n v="1"/>
    <x v="0"/>
    <n v="11"/>
    <n v="3"/>
    <n v="4"/>
    <n v="0"/>
    <n v="9"/>
    <n v="3"/>
    <s v="Better"/>
    <n v="9"/>
    <x v="1"/>
    <n v="7"/>
    <n v="0"/>
    <n v="7"/>
  </r>
  <r>
    <n v="27"/>
    <s v="Young Adults"/>
    <n v="0"/>
    <s v="Travel_Frequently"/>
    <n v="294"/>
    <x v="0"/>
    <n v="10"/>
    <s v="Moderate"/>
    <s v="College"/>
    <s v="Life Sciences"/>
    <n v="4"/>
    <s v="Male"/>
    <n v="32"/>
    <n v="3"/>
    <n v="3"/>
    <s v="Manufacturing Director"/>
    <s v="Low"/>
    <s v="Divorced"/>
    <n v="8793"/>
    <s v="Medium (5k-10k)"/>
    <n v="4809"/>
    <n v="1"/>
    <x v="0"/>
    <n v="21"/>
    <n v="4"/>
    <n v="3"/>
    <n v="2"/>
    <n v="9"/>
    <n v="4"/>
    <s v="Good"/>
    <n v="9"/>
    <x v="1"/>
    <n v="7"/>
    <n v="1"/>
    <n v="7"/>
  </r>
  <r>
    <n v="27"/>
    <s v="Young Adults"/>
    <n v="0"/>
    <s v="Travel_Rarely"/>
    <n v="975"/>
    <x v="0"/>
    <n v="7"/>
    <s v="Moderate"/>
    <s v="Bachelor"/>
    <s v="Medical"/>
    <n v="4"/>
    <s v="Female"/>
    <n v="55"/>
    <n v="2"/>
    <n v="2"/>
    <s v="Healthcare Representative"/>
    <s v="Low"/>
    <s v="Single"/>
    <n v="6811"/>
    <s v="Medium (5k-10k)"/>
    <n v="23398"/>
    <n v="8"/>
    <x v="0"/>
    <n v="19"/>
    <n v="3"/>
    <n v="1"/>
    <n v="0"/>
    <n v="9"/>
    <n v="2"/>
    <s v="Bad"/>
    <n v="7"/>
    <x v="1"/>
    <n v="6"/>
    <n v="0"/>
    <n v="7"/>
  </r>
  <r>
    <n v="27"/>
    <s v="Young Adults"/>
    <n v="0"/>
    <s v="Travel_Frequently"/>
    <n v="829"/>
    <x v="1"/>
    <n v="8"/>
    <s v="Moderate"/>
    <s v="Below College"/>
    <s v="Marketing"/>
    <n v="3"/>
    <s v="Male"/>
    <n v="84"/>
    <n v="3"/>
    <n v="2"/>
    <s v="Sales Executive"/>
    <s v="Very High"/>
    <s v="Married"/>
    <n v="4342"/>
    <s v="Low (&lt;5k)"/>
    <n v="24008"/>
    <n v="0"/>
    <x v="0"/>
    <n v="19"/>
    <n v="3"/>
    <n v="2"/>
    <n v="1"/>
    <n v="5"/>
    <n v="3"/>
    <s v="Better"/>
    <n v="4"/>
    <x v="1"/>
    <n v="2"/>
    <n v="1"/>
    <n v="1"/>
  </r>
  <r>
    <n v="27"/>
    <s v="Young Adults"/>
    <n v="0"/>
    <s v="Travel_Rarely"/>
    <n v="269"/>
    <x v="0"/>
    <n v="5"/>
    <s v="Near Office"/>
    <s v="Below College"/>
    <s v="Technical Degree"/>
    <n v="3"/>
    <s v="Male"/>
    <n v="42"/>
    <n v="2"/>
    <n v="3"/>
    <s v="Research Director"/>
    <s v="Very High"/>
    <s v="Divorced"/>
    <n v="12808"/>
    <s v="High (&gt;10k)"/>
    <n v="8842"/>
    <n v="1"/>
    <x v="1"/>
    <n v="16"/>
    <n v="3"/>
    <n v="2"/>
    <n v="1"/>
    <n v="9"/>
    <n v="3"/>
    <s v="Better"/>
    <n v="9"/>
    <x v="1"/>
    <n v="8"/>
    <n v="0"/>
    <n v="8"/>
  </r>
  <r>
    <n v="27"/>
    <s v="Young Adults"/>
    <n v="0"/>
    <s v="Non-Travel"/>
    <n v="443"/>
    <x v="0"/>
    <n v="3"/>
    <s v="Near Office"/>
    <s v="Bachelor"/>
    <s v="Medical"/>
    <n v="4"/>
    <s v="Male"/>
    <n v="50"/>
    <n v="3"/>
    <n v="1"/>
    <s v="Research Scientist"/>
    <s v="Very High"/>
    <s v="Married"/>
    <n v="1706"/>
    <s v="Low (&lt;5k)"/>
    <n v="16571"/>
    <n v="1"/>
    <x v="0"/>
    <n v="11"/>
    <n v="3"/>
    <n v="3"/>
    <n v="3"/>
    <n v="0"/>
    <n v="6"/>
    <s v="Good"/>
    <n v="0"/>
    <x v="0"/>
    <n v="0"/>
    <n v="0"/>
    <n v="0"/>
  </r>
  <r>
    <n v="27"/>
    <s v="Young Adults"/>
    <n v="0"/>
    <s v="Travel_Rarely"/>
    <n v="618"/>
    <x v="0"/>
    <n v="4"/>
    <s v="Near Office"/>
    <s v="Bachelor"/>
    <s v="Life Sciences"/>
    <n v="2"/>
    <s v="Female"/>
    <n v="76"/>
    <n v="3"/>
    <n v="1"/>
    <s v="Research Scientist"/>
    <s v="High"/>
    <s v="Single"/>
    <n v="2318"/>
    <s v="Low (&lt;5k)"/>
    <n v="17808"/>
    <n v="1"/>
    <x v="0"/>
    <n v="19"/>
    <n v="3"/>
    <n v="3"/>
    <n v="0"/>
    <n v="1"/>
    <n v="2"/>
    <s v="Better"/>
    <n v="1"/>
    <x v="0"/>
    <n v="1"/>
    <n v="0"/>
    <n v="0"/>
  </r>
  <r>
    <n v="27"/>
    <s v="Young Adults"/>
    <n v="0"/>
    <s v="Travel_Rarely"/>
    <n v="1134"/>
    <x v="0"/>
    <n v="16"/>
    <s v="Long Commute"/>
    <s v="Master"/>
    <s v="Technical Degree"/>
    <n v="3"/>
    <s v="Female"/>
    <n v="37"/>
    <n v="3"/>
    <n v="1"/>
    <s v="Laboratory Technician"/>
    <s v="Medium"/>
    <s v="Married"/>
    <n v="2811"/>
    <s v="Low (&lt;5k)"/>
    <n v="12086"/>
    <n v="9"/>
    <x v="0"/>
    <n v="14"/>
    <n v="3"/>
    <n v="2"/>
    <n v="1"/>
    <n v="4"/>
    <n v="2"/>
    <s v="Better"/>
    <n v="2"/>
    <x v="0"/>
    <n v="2"/>
    <n v="2"/>
    <n v="2"/>
  </r>
  <r>
    <n v="27"/>
    <s v="Young Adults"/>
    <n v="0"/>
    <s v="Travel_Rarely"/>
    <n v="1055"/>
    <x v="0"/>
    <n v="2"/>
    <s v="Near Office"/>
    <s v="Master"/>
    <s v="Life Sciences"/>
    <n v="1"/>
    <s v="Female"/>
    <n v="47"/>
    <n v="3"/>
    <n v="2"/>
    <s v="Manufacturing Director"/>
    <s v="Very High"/>
    <s v="Married"/>
    <n v="4227"/>
    <s v="Low (&lt;5k)"/>
    <n v="4658"/>
    <n v="0"/>
    <x v="0"/>
    <n v="18"/>
    <n v="3"/>
    <n v="2"/>
    <n v="1"/>
    <n v="4"/>
    <n v="2"/>
    <s v="Better"/>
    <n v="3"/>
    <x v="1"/>
    <n v="2"/>
    <n v="2"/>
    <n v="2"/>
  </r>
  <r>
    <n v="27"/>
    <s v="Young Adults"/>
    <n v="0"/>
    <s v="Non-Travel"/>
    <n v="1277"/>
    <x v="0"/>
    <n v="8"/>
    <s v="Moderate"/>
    <s v="Doctor"/>
    <s v="Life Sciences"/>
    <n v="1"/>
    <s v="Male"/>
    <n v="87"/>
    <n v="1"/>
    <n v="1"/>
    <s v="Laboratory Technician"/>
    <s v="High"/>
    <s v="Married"/>
    <n v="4621"/>
    <s v="Low (&lt;5k)"/>
    <n v="5869"/>
    <n v="1"/>
    <x v="0"/>
    <n v="19"/>
    <n v="3"/>
    <n v="4"/>
    <n v="3"/>
    <n v="3"/>
    <n v="4"/>
    <s v="Better"/>
    <n v="3"/>
    <x v="1"/>
    <n v="2"/>
    <n v="1"/>
    <n v="2"/>
  </r>
  <r>
    <n v="27"/>
    <s v="Young Adults"/>
    <n v="0"/>
    <s v="Travel_Rarely"/>
    <n v="199"/>
    <x v="0"/>
    <n v="6"/>
    <s v="Moderate"/>
    <s v="Bachelor"/>
    <s v="Life Sciences"/>
    <n v="4"/>
    <s v="Male"/>
    <n v="55"/>
    <n v="2"/>
    <n v="1"/>
    <s v="Research Scientist"/>
    <s v="High"/>
    <s v="Married"/>
    <n v="2539"/>
    <s v="Low (&lt;5k)"/>
    <n v="7950"/>
    <n v="1"/>
    <x v="0"/>
    <n v="13"/>
    <n v="3"/>
    <n v="3"/>
    <n v="1"/>
    <n v="4"/>
    <n v="0"/>
    <s v="Better"/>
    <n v="4"/>
    <x v="1"/>
    <n v="2"/>
    <n v="2"/>
    <n v="2"/>
  </r>
  <r>
    <n v="27"/>
    <s v="Young Adults"/>
    <n v="0"/>
    <s v="Travel_Rarely"/>
    <n v="1103"/>
    <x v="0"/>
    <n v="14"/>
    <s v="Moderate"/>
    <s v="Bachelor"/>
    <s v="Life Sciences"/>
    <n v="1"/>
    <s v="Male"/>
    <n v="42"/>
    <n v="3"/>
    <n v="1"/>
    <s v="Research Scientist"/>
    <s v="Low"/>
    <s v="Married"/>
    <n v="2235"/>
    <s v="Low (&lt;5k)"/>
    <n v="14377"/>
    <n v="1"/>
    <x v="1"/>
    <n v="14"/>
    <n v="3"/>
    <n v="4"/>
    <n v="2"/>
    <n v="9"/>
    <n v="3"/>
    <s v="Good"/>
    <n v="9"/>
    <x v="1"/>
    <n v="7"/>
    <n v="6"/>
    <n v="8"/>
  </r>
  <r>
    <n v="27"/>
    <s v="Young Adults"/>
    <n v="0"/>
    <s v="Travel_Rarely"/>
    <n v="1167"/>
    <x v="0"/>
    <n v="4"/>
    <s v="Near Office"/>
    <s v="College"/>
    <s v="Life Sciences"/>
    <n v="1"/>
    <s v="Male"/>
    <n v="76"/>
    <n v="3"/>
    <n v="1"/>
    <s v="Research Scientist"/>
    <s v="High"/>
    <s v="Divorced"/>
    <n v="2517"/>
    <s v="Low (&lt;5k)"/>
    <n v="3208"/>
    <n v="1"/>
    <x v="0"/>
    <n v="11"/>
    <n v="3"/>
    <n v="2"/>
    <n v="3"/>
    <n v="5"/>
    <n v="2"/>
    <s v="Better"/>
    <n v="5"/>
    <x v="1"/>
    <n v="3"/>
    <n v="0"/>
    <n v="3"/>
  </r>
  <r>
    <n v="27"/>
    <s v="Young Adults"/>
    <n v="0"/>
    <s v="Travel_Rarely"/>
    <n v="1291"/>
    <x v="1"/>
    <n v="11"/>
    <s v="Moderate"/>
    <s v="Bachelor"/>
    <s v="Medical"/>
    <n v="3"/>
    <s v="Female"/>
    <n v="98"/>
    <n v="4"/>
    <n v="1"/>
    <s v="Sales Representative"/>
    <s v="Very High"/>
    <s v="Married"/>
    <n v="2534"/>
    <s v="Low (&lt;5k)"/>
    <n v="6527"/>
    <n v="8"/>
    <x v="0"/>
    <n v="14"/>
    <n v="3"/>
    <n v="2"/>
    <n v="1"/>
    <n v="5"/>
    <n v="4"/>
    <s v="Better"/>
    <n v="1"/>
    <x v="0"/>
    <n v="0"/>
    <n v="0"/>
    <n v="0"/>
  </r>
  <r>
    <n v="27"/>
    <s v="Young Adults"/>
    <n v="0"/>
    <s v="Travel_Frequently"/>
    <n v="793"/>
    <x v="1"/>
    <n v="2"/>
    <s v="Near Office"/>
    <s v="Below College"/>
    <s v="Life Sciences"/>
    <n v="4"/>
    <s v="Male"/>
    <n v="43"/>
    <n v="1"/>
    <n v="2"/>
    <s v="Sales Executive"/>
    <s v="Very High"/>
    <s v="Single"/>
    <n v="5071"/>
    <s v="Medium (5k-10k)"/>
    <n v="20392"/>
    <n v="3"/>
    <x v="0"/>
    <n v="20"/>
    <n v="4"/>
    <n v="2"/>
    <n v="0"/>
    <n v="8"/>
    <n v="3"/>
    <s v="Better"/>
    <n v="6"/>
    <x v="1"/>
    <n v="2"/>
    <n v="0"/>
    <n v="0"/>
  </r>
  <r>
    <n v="27"/>
    <s v="Young Adults"/>
    <n v="0"/>
    <s v="Travel_Rarely"/>
    <n v="205"/>
    <x v="1"/>
    <n v="10"/>
    <s v="Moderate"/>
    <s v="Bachelor"/>
    <s v="Marketing"/>
    <n v="4"/>
    <s v="Female"/>
    <n v="98"/>
    <n v="2"/>
    <n v="2"/>
    <s v="Sales Executive"/>
    <s v="Very High"/>
    <s v="Married"/>
    <n v="5769"/>
    <s v="Medium (5k-10k)"/>
    <n v="7100"/>
    <n v="1"/>
    <x v="1"/>
    <n v="11"/>
    <n v="3"/>
    <n v="4"/>
    <n v="0"/>
    <n v="6"/>
    <n v="3"/>
    <s v="Better"/>
    <n v="6"/>
    <x v="1"/>
    <n v="2"/>
    <n v="4"/>
    <n v="4"/>
  </r>
  <r>
    <n v="27"/>
    <s v="Young Adults"/>
    <n v="1"/>
    <s v="Travel_Rarely"/>
    <n v="135"/>
    <x v="0"/>
    <n v="17"/>
    <s v="Long Commute"/>
    <s v="Master"/>
    <s v="Life Sciences"/>
    <n v="4"/>
    <s v="Female"/>
    <n v="51"/>
    <n v="3"/>
    <n v="1"/>
    <s v="Research Scientist"/>
    <s v="High"/>
    <s v="Single"/>
    <n v="2394"/>
    <s v="Low (&lt;5k)"/>
    <n v="25681"/>
    <n v="1"/>
    <x v="1"/>
    <n v="13"/>
    <n v="3"/>
    <n v="4"/>
    <n v="0"/>
    <n v="8"/>
    <n v="2"/>
    <s v="Better"/>
    <n v="8"/>
    <x v="1"/>
    <n v="2"/>
    <n v="7"/>
    <n v="7"/>
  </r>
  <r>
    <n v="27"/>
    <s v="Young Adults"/>
    <n v="0"/>
    <s v="Travel_Rarely"/>
    <n v="1377"/>
    <x v="0"/>
    <n v="11"/>
    <s v="Moderate"/>
    <s v="Below College"/>
    <s v="Life Sciences"/>
    <n v="2"/>
    <s v="Male"/>
    <n v="91"/>
    <n v="3"/>
    <n v="1"/>
    <s v="Laboratory Technician"/>
    <s v="Low"/>
    <s v="Married"/>
    <n v="2099"/>
    <s v="Low (&lt;5k)"/>
    <n v="7679"/>
    <n v="0"/>
    <x v="0"/>
    <n v="14"/>
    <n v="3"/>
    <n v="2"/>
    <n v="0"/>
    <n v="6"/>
    <n v="3"/>
    <s v="Best"/>
    <n v="5"/>
    <x v="1"/>
    <n v="0"/>
    <n v="1"/>
    <n v="4"/>
  </r>
  <r>
    <n v="27"/>
    <s v="Young Adults"/>
    <n v="0"/>
    <s v="Travel_Rarely"/>
    <n v="1302"/>
    <x v="0"/>
    <n v="19"/>
    <s v="Long Commute"/>
    <s v="Bachelor"/>
    <s v="Other"/>
    <n v="4"/>
    <s v="Male"/>
    <n v="67"/>
    <n v="2"/>
    <n v="1"/>
    <s v="Laboratory Technician"/>
    <s v="Low"/>
    <s v="Divorced"/>
    <n v="4066"/>
    <s v="Low (&lt;5k)"/>
    <n v="16290"/>
    <n v="1"/>
    <x v="0"/>
    <n v="11"/>
    <n v="3"/>
    <n v="1"/>
    <n v="2"/>
    <n v="7"/>
    <n v="3"/>
    <s v="Better"/>
    <n v="7"/>
    <x v="1"/>
    <n v="7"/>
    <n v="0"/>
    <n v="7"/>
  </r>
  <r>
    <n v="27"/>
    <s v="Young Adults"/>
    <n v="0"/>
    <s v="Travel_Rarely"/>
    <n v="486"/>
    <x v="0"/>
    <n v="8"/>
    <s v="Moderate"/>
    <s v="Bachelor"/>
    <s v="Medical"/>
    <n v="2"/>
    <s v="Female"/>
    <n v="86"/>
    <n v="4"/>
    <n v="1"/>
    <s v="Research Scientist"/>
    <s v="High"/>
    <s v="Married"/>
    <n v="3517"/>
    <s v="Low (&lt;5k)"/>
    <n v="22490"/>
    <n v="7"/>
    <x v="0"/>
    <n v="17"/>
    <n v="3"/>
    <n v="1"/>
    <n v="0"/>
    <n v="5"/>
    <n v="0"/>
    <s v="Better"/>
    <n v="3"/>
    <x v="1"/>
    <n v="2"/>
    <n v="0"/>
    <n v="2"/>
  </r>
  <r>
    <n v="27"/>
    <s v="Young Adults"/>
    <n v="0"/>
    <s v="Travel_Frequently"/>
    <n v="591"/>
    <x v="0"/>
    <n v="2"/>
    <s v="Near Office"/>
    <s v="Bachelor"/>
    <s v="Medical"/>
    <n v="4"/>
    <s v="Male"/>
    <n v="87"/>
    <n v="3"/>
    <n v="1"/>
    <s v="Research Scientist"/>
    <s v="Very High"/>
    <s v="Single"/>
    <n v="2580"/>
    <s v="Low (&lt;5k)"/>
    <n v="6297"/>
    <n v="2"/>
    <x v="0"/>
    <n v="13"/>
    <n v="3"/>
    <n v="3"/>
    <n v="0"/>
    <n v="6"/>
    <n v="0"/>
    <s v="Good"/>
    <n v="4"/>
    <x v="1"/>
    <n v="2"/>
    <n v="1"/>
    <n v="2"/>
  </r>
  <r>
    <n v="27"/>
    <s v="Young Adults"/>
    <n v="0"/>
    <s v="Travel_Rarely"/>
    <n v="1054"/>
    <x v="0"/>
    <n v="8"/>
    <s v="Moderate"/>
    <s v="Bachelor"/>
    <s v="Medical"/>
    <n v="3"/>
    <s v="Female"/>
    <n v="67"/>
    <n v="3"/>
    <n v="1"/>
    <s v="Research Scientist"/>
    <s v="Very High"/>
    <s v="Single"/>
    <n v="3445"/>
    <s v="Low (&lt;5k)"/>
    <n v="6152"/>
    <n v="1"/>
    <x v="0"/>
    <n v="11"/>
    <n v="3"/>
    <n v="3"/>
    <n v="0"/>
    <n v="6"/>
    <n v="5"/>
    <s v="Good"/>
    <n v="6"/>
    <x v="1"/>
    <n v="2"/>
    <n v="1"/>
    <n v="4"/>
  </r>
  <r>
    <n v="27"/>
    <s v="Young Adults"/>
    <n v="0"/>
    <s v="Travel_Frequently"/>
    <n v="1297"/>
    <x v="0"/>
    <n v="5"/>
    <s v="Near Office"/>
    <s v="College"/>
    <s v="Life Sciences"/>
    <n v="4"/>
    <s v="Female"/>
    <n v="53"/>
    <n v="3"/>
    <n v="1"/>
    <s v="Laboratory Technician"/>
    <s v="Very High"/>
    <s v="Single"/>
    <n v="2379"/>
    <s v="Low (&lt;5k)"/>
    <n v="19826"/>
    <n v="0"/>
    <x v="1"/>
    <n v="14"/>
    <n v="3"/>
    <n v="3"/>
    <n v="0"/>
    <n v="6"/>
    <n v="3"/>
    <s v="Good"/>
    <n v="5"/>
    <x v="1"/>
    <n v="4"/>
    <n v="0"/>
    <n v="2"/>
  </r>
  <r>
    <n v="27"/>
    <s v="Young Adults"/>
    <n v="0"/>
    <s v="Travel_Rarely"/>
    <n v="728"/>
    <x v="1"/>
    <n v="23"/>
    <s v="Long Commute"/>
    <s v="Below College"/>
    <s v="Medical"/>
    <n v="2"/>
    <s v="Female"/>
    <n v="36"/>
    <n v="2"/>
    <n v="2"/>
    <s v="Sales Representative"/>
    <s v="High"/>
    <s v="Married"/>
    <n v="3540"/>
    <s v="Low (&lt;5k)"/>
    <n v="7018"/>
    <n v="1"/>
    <x v="0"/>
    <n v="21"/>
    <n v="4"/>
    <n v="4"/>
    <n v="1"/>
    <n v="9"/>
    <n v="5"/>
    <s v="Better"/>
    <n v="9"/>
    <x v="1"/>
    <n v="8"/>
    <n v="5"/>
    <n v="8"/>
  </r>
  <r>
    <n v="27"/>
    <s v="Young Adults"/>
    <n v="0"/>
    <s v="Travel_Frequently"/>
    <n v="1131"/>
    <x v="0"/>
    <n v="15"/>
    <s v="Moderate"/>
    <s v="Bachelor"/>
    <s v="Life Sciences"/>
    <n v="4"/>
    <s v="Female"/>
    <n v="77"/>
    <n v="2"/>
    <n v="1"/>
    <s v="Research Scientist"/>
    <s v="Low"/>
    <s v="Married"/>
    <n v="4774"/>
    <s v="Low (&lt;5k)"/>
    <n v="23844"/>
    <n v="0"/>
    <x v="0"/>
    <n v="19"/>
    <n v="3"/>
    <n v="4"/>
    <n v="1"/>
    <n v="8"/>
    <n v="2"/>
    <s v="Good"/>
    <n v="7"/>
    <x v="1"/>
    <n v="6"/>
    <n v="7"/>
    <n v="3"/>
  </r>
  <r>
    <n v="27"/>
    <s v="Young Adults"/>
    <n v="0"/>
    <s v="Travel_Rarely"/>
    <n v="511"/>
    <x v="1"/>
    <n v="2"/>
    <s v="Near Office"/>
    <s v="College"/>
    <s v="Medical"/>
    <n v="1"/>
    <s v="Female"/>
    <n v="89"/>
    <n v="4"/>
    <n v="2"/>
    <s v="Sales Executive"/>
    <s v="High"/>
    <s v="Single"/>
    <n v="6500"/>
    <s v="Medium (5k-10k)"/>
    <n v="26997"/>
    <n v="0"/>
    <x v="0"/>
    <n v="14"/>
    <n v="3"/>
    <n v="2"/>
    <n v="0"/>
    <n v="9"/>
    <n v="5"/>
    <s v="Good"/>
    <n v="8"/>
    <x v="1"/>
    <n v="7"/>
    <n v="0"/>
    <n v="7"/>
  </r>
  <r>
    <n v="27"/>
    <s v="Young Adults"/>
    <n v="0"/>
    <s v="Travel_Rarely"/>
    <n v="1354"/>
    <x v="0"/>
    <n v="2"/>
    <s v="Near Office"/>
    <s v="Master"/>
    <s v="Technical Degree"/>
    <n v="2"/>
    <s v="Male"/>
    <n v="41"/>
    <n v="3"/>
    <n v="1"/>
    <s v="Research Scientist"/>
    <s v="Medium"/>
    <s v="Married"/>
    <n v="2226"/>
    <s v="Low (&lt;5k)"/>
    <n v="6073"/>
    <n v="1"/>
    <x v="0"/>
    <n v="11"/>
    <n v="3"/>
    <n v="3"/>
    <n v="1"/>
    <n v="6"/>
    <n v="3"/>
    <s v="Good"/>
    <n v="5"/>
    <x v="1"/>
    <n v="3"/>
    <n v="1"/>
    <n v="2"/>
  </r>
  <r>
    <n v="27"/>
    <s v="Young Adults"/>
    <n v="1"/>
    <s v="Travel_Frequently"/>
    <n v="1337"/>
    <x v="2"/>
    <n v="22"/>
    <s v="Long Commute"/>
    <s v="Bachelor"/>
    <s v="Human Resources"/>
    <n v="1"/>
    <s v="Female"/>
    <n v="58"/>
    <n v="2"/>
    <n v="1"/>
    <s v="Human Resources"/>
    <s v="Medium"/>
    <s v="Married"/>
    <n v="2863"/>
    <s v="Low (&lt;5k)"/>
    <n v="19555"/>
    <n v="1"/>
    <x v="0"/>
    <n v="12"/>
    <n v="3"/>
    <n v="1"/>
    <n v="0"/>
    <n v="1"/>
    <n v="2"/>
    <s v="Better"/>
    <n v="1"/>
    <x v="0"/>
    <n v="0"/>
    <n v="0"/>
    <n v="0"/>
  </r>
  <r>
    <n v="27"/>
    <s v="Young Adults"/>
    <n v="0"/>
    <s v="Travel_Rarely"/>
    <n v="954"/>
    <x v="1"/>
    <n v="9"/>
    <s v="Moderate"/>
    <s v="Bachelor"/>
    <s v="Marketing"/>
    <n v="4"/>
    <s v="Male"/>
    <n v="44"/>
    <n v="3"/>
    <n v="2"/>
    <s v="Sales Executive"/>
    <s v="Very High"/>
    <s v="Single"/>
    <n v="4105"/>
    <s v="Low (&lt;5k)"/>
    <n v="5099"/>
    <n v="1"/>
    <x v="0"/>
    <n v="14"/>
    <n v="3"/>
    <n v="1"/>
    <n v="0"/>
    <n v="7"/>
    <n v="5"/>
    <s v="Better"/>
    <n v="7"/>
    <x v="1"/>
    <n v="7"/>
    <n v="0"/>
    <n v="7"/>
  </r>
  <r>
    <n v="27"/>
    <s v="Young Adults"/>
    <n v="0"/>
    <s v="Travel_Rarely"/>
    <n v="155"/>
    <x v="0"/>
    <n v="4"/>
    <s v="Near Office"/>
    <s v="Bachelor"/>
    <s v="Life Sciences"/>
    <n v="2"/>
    <s v="Male"/>
    <n v="87"/>
    <n v="4"/>
    <n v="2"/>
    <s v="Manufacturing Director"/>
    <s v="Medium"/>
    <s v="Married"/>
    <n v="6142"/>
    <s v="Medium (5k-10k)"/>
    <n v="5174"/>
    <n v="1"/>
    <x v="1"/>
    <n v="20"/>
    <n v="4"/>
    <n v="2"/>
    <n v="1"/>
    <n v="6"/>
    <n v="0"/>
    <s v="Better"/>
    <n v="6"/>
    <x v="1"/>
    <n v="2"/>
    <n v="0"/>
    <n v="3"/>
  </r>
  <r>
    <n v="28"/>
    <s v="Young Adults"/>
    <n v="1"/>
    <s v="Travel_Rarely"/>
    <n v="103"/>
    <x v="0"/>
    <n v="24"/>
    <s v="Long Commute"/>
    <s v="Bachelor"/>
    <s v="Life Sciences"/>
    <n v="3"/>
    <s v="Male"/>
    <n v="50"/>
    <n v="2"/>
    <n v="1"/>
    <s v="Laboratory Technician"/>
    <s v="High"/>
    <s v="Single"/>
    <n v="2028"/>
    <s v="Low (&lt;5k)"/>
    <n v="12947"/>
    <n v="5"/>
    <x v="1"/>
    <n v="14"/>
    <n v="3"/>
    <n v="2"/>
    <n v="0"/>
    <n v="6"/>
    <n v="4"/>
    <s v="Better"/>
    <n v="4"/>
    <x v="1"/>
    <n v="2"/>
    <n v="0"/>
    <n v="3"/>
  </r>
  <r>
    <n v="28"/>
    <s v="Young Adults"/>
    <n v="1"/>
    <s v="Travel_Rarely"/>
    <n v="1434"/>
    <x v="0"/>
    <n v="5"/>
    <s v="Near Office"/>
    <s v="Master"/>
    <s v="Technical Degree"/>
    <n v="3"/>
    <s v="Male"/>
    <n v="50"/>
    <n v="3"/>
    <n v="1"/>
    <s v="Laboratory Technician"/>
    <s v="High"/>
    <s v="Single"/>
    <n v="3441"/>
    <s v="Low (&lt;5k)"/>
    <n v="11179"/>
    <n v="1"/>
    <x v="1"/>
    <n v="13"/>
    <n v="3"/>
    <n v="3"/>
    <n v="0"/>
    <n v="2"/>
    <n v="3"/>
    <s v="Good"/>
    <n v="2"/>
    <x v="0"/>
    <n v="2"/>
    <n v="2"/>
    <n v="2"/>
  </r>
  <r>
    <n v="28"/>
    <s v="Young Adults"/>
    <n v="0"/>
    <s v="Non-Travel"/>
    <n v="120"/>
    <x v="1"/>
    <n v="4"/>
    <s v="Near Office"/>
    <s v="Bachelor"/>
    <s v="Medical"/>
    <n v="2"/>
    <s v="Male"/>
    <n v="43"/>
    <n v="3"/>
    <n v="2"/>
    <s v="Sales Executive"/>
    <s v="High"/>
    <s v="Married"/>
    <n v="4221"/>
    <s v="Low (&lt;5k)"/>
    <n v="8863"/>
    <n v="1"/>
    <x v="0"/>
    <n v="15"/>
    <n v="3"/>
    <n v="2"/>
    <n v="0"/>
    <n v="5"/>
    <n v="3"/>
    <s v="Best"/>
    <n v="5"/>
    <x v="1"/>
    <n v="4"/>
    <n v="0"/>
    <n v="4"/>
  </r>
  <r>
    <n v="28"/>
    <s v="Young Adults"/>
    <n v="0"/>
    <s v="Travel_Rarely"/>
    <n v="440"/>
    <x v="0"/>
    <n v="21"/>
    <s v="Long Commute"/>
    <s v="Bachelor"/>
    <s v="Medical"/>
    <n v="3"/>
    <s v="Male"/>
    <n v="42"/>
    <n v="3"/>
    <n v="1"/>
    <s v="Research Scientist"/>
    <s v="Very High"/>
    <s v="Married"/>
    <n v="2713"/>
    <s v="Low (&lt;5k)"/>
    <n v="6672"/>
    <n v="1"/>
    <x v="0"/>
    <n v="11"/>
    <n v="3"/>
    <n v="3"/>
    <n v="1"/>
    <n v="5"/>
    <n v="2"/>
    <s v="Bad"/>
    <n v="5"/>
    <x v="1"/>
    <n v="2"/>
    <n v="0"/>
    <n v="2"/>
  </r>
  <r>
    <n v="28"/>
    <s v="Young Adults"/>
    <n v="1"/>
    <s v="Travel_Rarely"/>
    <n v="529"/>
    <x v="0"/>
    <n v="2"/>
    <s v="Near Office"/>
    <s v="Master"/>
    <s v="Life Sciences"/>
    <n v="1"/>
    <s v="Male"/>
    <n v="79"/>
    <n v="3"/>
    <n v="1"/>
    <s v="Laboratory Technician"/>
    <s v="High"/>
    <s v="Single"/>
    <n v="3485"/>
    <s v="Low (&lt;5k)"/>
    <n v="14935"/>
    <n v="2"/>
    <x v="0"/>
    <n v="11"/>
    <n v="3"/>
    <n v="3"/>
    <n v="0"/>
    <n v="5"/>
    <n v="5"/>
    <s v="Bad"/>
    <n v="0"/>
    <x v="0"/>
    <n v="0"/>
    <n v="0"/>
    <n v="0"/>
  </r>
  <r>
    <n v="28"/>
    <s v="Young Adults"/>
    <n v="0"/>
    <s v="Travel_Rarely"/>
    <n v="1158"/>
    <x v="0"/>
    <n v="9"/>
    <s v="Moderate"/>
    <s v="Bachelor"/>
    <s v="Medical"/>
    <n v="4"/>
    <s v="Male"/>
    <n v="94"/>
    <n v="3"/>
    <n v="1"/>
    <s v="Research Scientist"/>
    <s v="Very High"/>
    <s v="Married"/>
    <n v="2070"/>
    <s v="Low (&lt;5k)"/>
    <n v="2613"/>
    <n v="1"/>
    <x v="0"/>
    <n v="23"/>
    <n v="4"/>
    <n v="4"/>
    <n v="1"/>
    <n v="5"/>
    <n v="3"/>
    <s v="Good"/>
    <n v="5"/>
    <x v="1"/>
    <n v="2"/>
    <n v="0"/>
    <n v="4"/>
  </r>
  <r>
    <n v="28"/>
    <s v="Young Adults"/>
    <n v="0"/>
    <s v="Travel_Rarely"/>
    <n v="1117"/>
    <x v="0"/>
    <n v="8"/>
    <s v="Moderate"/>
    <s v="College"/>
    <s v="Life Sciences"/>
    <n v="4"/>
    <s v="Female"/>
    <n v="66"/>
    <n v="3"/>
    <n v="1"/>
    <s v="Research Scientist"/>
    <s v="Very High"/>
    <s v="Single"/>
    <n v="3310"/>
    <s v="Low (&lt;5k)"/>
    <n v="4488"/>
    <n v="1"/>
    <x v="0"/>
    <n v="21"/>
    <n v="4"/>
    <n v="4"/>
    <n v="0"/>
    <n v="5"/>
    <n v="3"/>
    <s v="Better"/>
    <n v="5"/>
    <x v="1"/>
    <n v="3"/>
    <n v="0"/>
    <n v="2"/>
  </r>
  <r>
    <n v="28"/>
    <s v="Young Adults"/>
    <n v="0"/>
    <s v="Travel_Rarely"/>
    <n v="1476"/>
    <x v="0"/>
    <n v="16"/>
    <s v="Long Commute"/>
    <s v="College"/>
    <s v="Medical"/>
    <n v="2"/>
    <s v="Male"/>
    <n v="68"/>
    <n v="4"/>
    <n v="2"/>
    <s v="Healthcare Representative"/>
    <s v="Low"/>
    <s v="Single"/>
    <n v="5661"/>
    <s v="Medium (5k-10k)"/>
    <n v="4824"/>
    <n v="0"/>
    <x v="0"/>
    <n v="19"/>
    <n v="3"/>
    <n v="3"/>
    <n v="0"/>
    <n v="9"/>
    <n v="2"/>
    <s v="Better"/>
    <n v="8"/>
    <x v="1"/>
    <n v="3"/>
    <n v="0"/>
    <n v="7"/>
  </r>
  <r>
    <n v="28"/>
    <s v="Young Adults"/>
    <n v="1"/>
    <s v="Travel_Rarely"/>
    <n v="1157"/>
    <x v="0"/>
    <n v="2"/>
    <s v="Near Office"/>
    <s v="Master"/>
    <s v="Medical"/>
    <n v="1"/>
    <s v="Male"/>
    <n v="84"/>
    <n v="1"/>
    <n v="1"/>
    <s v="Research Scientist"/>
    <s v="Very High"/>
    <s v="Married"/>
    <n v="3464"/>
    <s v="Low (&lt;5k)"/>
    <n v="24737"/>
    <n v="5"/>
    <x v="1"/>
    <n v="13"/>
    <n v="3"/>
    <n v="4"/>
    <n v="0"/>
    <n v="5"/>
    <n v="4"/>
    <s v="Good"/>
    <n v="3"/>
    <x v="1"/>
    <n v="2"/>
    <n v="2"/>
    <n v="2"/>
  </r>
  <r>
    <n v="28"/>
    <s v="Young Adults"/>
    <n v="0"/>
    <s v="Travel_Rarely"/>
    <n v="304"/>
    <x v="1"/>
    <n v="9"/>
    <s v="Moderate"/>
    <s v="Master"/>
    <s v="Life Sciences"/>
    <n v="2"/>
    <s v="Male"/>
    <n v="92"/>
    <n v="3"/>
    <n v="2"/>
    <s v="Sales Executive"/>
    <s v="Very High"/>
    <s v="Single"/>
    <n v="5253"/>
    <s v="Medium (5k-10k)"/>
    <n v="20750"/>
    <n v="1"/>
    <x v="0"/>
    <n v="16"/>
    <n v="3"/>
    <n v="4"/>
    <n v="0"/>
    <n v="7"/>
    <n v="1"/>
    <s v="Better"/>
    <n v="7"/>
    <x v="1"/>
    <n v="5"/>
    <n v="0"/>
    <n v="7"/>
  </r>
  <r>
    <n v="28"/>
    <s v="Young Adults"/>
    <n v="0"/>
    <s v="Travel_Rarely"/>
    <n v="1300"/>
    <x v="0"/>
    <n v="17"/>
    <s v="Long Commute"/>
    <s v="College"/>
    <s v="Medical"/>
    <n v="3"/>
    <s v="Male"/>
    <n v="79"/>
    <n v="3"/>
    <n v="2"/>
    <s v="Laboratory Technician"/>
    <s v="Low"/>
    <s v="Divorced"/>
    <n v="4558"/>
    <s v="Low (&lt;5k)"/>
    <n v="13535"/>
    <n v="1"/>
    <x v="0"/>
    <n v="12"/>
    <n v="3"/>
    <n v="4"/>
    <n v="1"/>
    <n v="10"/>
    <n v="2"/>
    <s v="Better"/>
    <n v="10"/>
    <x v="2"/>
    <n v="0"/>
    <n v="1"/>
    <n v="8"/>
  </r>
  <r>
    <n v="28"/>
    <s v="Young Adults"/>
    <n v="1"/>
    <s v="Travel_Rarely"/>
    <n v="654"/>
    <x v="0"/>
    <n v="1"/>
    <s v="Near Office"/>
    <s v="College"/>
    <s v="Life Sciences"/>
    <n v="1"/>
    <s v="Female"/>
    <n v="67"/>
    <n v="1"/>
    <n v="1"/>
    <s v="Research Scientist"/>
    <s v="Medium"/>
    <s v="Single"/>
    <n v="2216"/>
    <s v="Low (&lt;5k)"/>
    <n v="3872"/>
    <n v="7"/>
    <x v="1"/>
    <n v="13"/>
    <n v="3"/>
    <n v="4"/>
    <n v="0"/>
    <n v="10"/>
    <n v="4"/>
    <s v="Better"/>
    <n v="7"/>
    <x v="1"/>
    <n v="7"/>
    <n v="3"/>
    <n v="7"/>
  </r>
  <r>
    <n v="28"/>
    <s v="Young Adults"/>
    <n v="1"/>
    <s v="Travel_Rarely"/>
    <n v="890"/>
    <x v="0"/>
    <n v="2"/>
    <s v="Near Office"/>
    <s v="Master"/>
    <s v="Medical"/>
    <n v="3"/>
    <s v="Male"/>
    <n v="46"/>
    <n v="3"/>
    <n v="1"/>
    <s v="Research Scientist"/>
    <s v="High"/>
    <s v="Single"/>
    <n v="4382"/>
    <s v="Low (&lt;5k)"/>
    <n v="16374"/>
    <n v="6"/>
    <x v="0"/>
    <n v="17"/>
    <n v="3"/>
    <n v="4"/>
    <n v="0"/>
    <n v="5"/>
    <n v="3"/>
    <s v="Good"/>
    <n v="2"/>
    <x v="0"/>
    <n v="2"/>
    <n v="2"/>
    <n v="1"/>
  </r>
  <r>
    <n v="28"/>
    <s v="Young Adults"/>
    <n v="0"/>
    <s v="Travel_Rarely"/>
    <n v="760"/>
    <x v="1"/>
    <n v="2"/>
    <s v="Near Office"/>
    <s v="Master"/>
    <s v="Marketing"/>
    <n v="2"/>
    <s v="Female"/>
    <n v="81"/>
    <n v="3"/>
    <n v="2"/>
    <s v="Sales Executive"/>
    <s v="Medium"/>
    <s v="Married"/>
    <n v="4779"/>
    <s v="Low (&lt;5k)"/>
    <n v="3698"/>
    <n v="1"/>
    <x v="1"/>
    <n v="20"/>
    <n v="4"/>
    <n v="1"/>
    <n v="0"/>
    <n v="8"/>
    <n v="2"/>
    <s v="Better"/>
    <n v="8"/>
    <x v="1"/>
    <n v="7"/>
    <n v="7"/>
    <n v="5"/>
  </r>
  <r>
    <n v="28"/>
    <s v="Young Adults"/>
    <n v="0"/>
    <s v="Travel_Rarely"/>
    <n v="1169"/>
    <x v="2"/>
    <n v="8"/>
    <s v="Moderate"/>
    <s v="College"/>
    <s v="Medical"/>
    <n v="2"/>
    <s v="Male"/>
    <n v="63"/>
    <n v="2"/>
    <n v="1"/>
    <s v="Human Resources"/>
    <s v="Very High"/>
    <s v="Divorced"/>
    <n v="4936"/>
    <s v="Low (&lt;5k)"/>
    <n v="23965"/>
    <n v="1"/>
    <x v="0"/>
    <n v="13"/>
    <n v="3"/>
    <n v="4"/>
    <n v="1"/>
    <n v="6"/>
    <n v="6"/>
    <s v="Better"/>
    <n v="5"/>
    <x v="1"/>
    <n v="1"/>
    <n v="0"/>
    <n v="4"/>
  </r>
  <r>
    <n v="28"/>
    <s v="Young Adults"/>
    <n v="0"/>
    <s v="Travel_Rarely"/>
    <n v="821"/>
    <x v="1"/>
    <n v="5"/>
    <s v="Near Office"/>
    <s v="Master"/>
    <s v="Medical"/>
    <n v="1"/>
    <s v="Male"/>
    <n v="98"/>
    <n v="3"/>
    <n v="2"/>
    <s v="Sales Executive"/>
    <s v="Very High"/>
    <s v="Single"/>
    <n v="4908"/>
    <s v="Low (&lt;5k)"/>
    <n v="24252"/>
    <n v="1"/>
    <x v="0"/>
    <n v="14"/>
    <n v="3"/>
    <n v="2"/>
    <n v="0"/>
    <n v="4"/>
    <n v="3"/>
    <s v="Better"/>
    <n v="4"/>
    <x v="1"/>
    <n v="2"/>
    <n v="0"/>
    <n v="2"/>
  </r>
  <r>
    <n v="28"/>
    <s v="Young Adults"/>
    <n v="0"/>
    <s v="Travel_Rarely"/>
    <n v="995"/>
    <x v="0"/>
    <n v="9"/>
    <s v="Moderate"/>
    <s v="Bachelor"/>
    <s v="Medical"/>
    <n v="3"/>
    <s v="Female"/>
    <n v="77"/>
    <n v="3"/>
    <n v="1"/>
    <s v="Research Scientist"/>
    <s v="High"/>
    <s v="Divorced"/>
    <n v="2377"/>
    <s v="Low (&lt;5k)"/>
    <n v="9834"/>
    <n v="5"/>
    <x v="0"/>
    <n v="18"/>
    <n v="3"/>
    <n v="2"/>
    <n v="1"/>
    <n v="6"/>
    <n v="2"/>
    <s v="Better"/>
    <n v="2"/>
    <x v="0"/>
    <n v="2"/>
    <n v="2"/>
    <n v="2"/>
  </r>
  <r>
    <n v="28"/>
    <s v="Young Adults"/>
    <n v="0"/>
    <s v="Travel_Rarely"/>
    <n v="1144"/>
    <x v="1"/>
    <n v="10"/>
    <s v="Moderate"/>
    <s v="Below College"/>
    <s v="Medical"/>
    <n v="4"/>
    <s v="Male"/>
    <n v="74"/>
    <n v="3"/>
    <n v="1"/>
    <s v="Sales Representative"/>
    <s v="Medium"/>
    <s v="Married"/>
    <n v="1052"/>
    <s v="Low (&lt;5k)"/>
    <n v="23384"/>
    <n v="1"/>
    <x v="0"/>
    <n v="22"/>
    <n v="4"/>
    <n v="2"/>
    <n v="0"/>
    <n v="1"/>
    <n v="5"/>
    <s v="Better"/>
    <n v="1"/>
    <x v="0"/>
    <n v="0"/>
    <n v="0"/>
    <n v="0"/>
  </r>
  <r>
    <n v="28"/>
    <s v="Young Adults"/>
    <n v="1"/>
    <s v="Non-Travel"/>
    <n v="1366"/>
    <x v="0"/>
    <n v="24"/>
    <s v="Long Commute"/>
    <s v="College"/>
    <s v="Technical Degree"/>
    <n v="2"/>
    <s v="Male"/>
    <n v="72"/>
    <n v="2"/>
    <n v="3"/>
    <s v="Healthcare Representative"/>
    <s v="Low"/>
    <s v="Single"/>
    <n v="8722"/>
    <s v="Medium (5k-10k)"/>
    <n v="12355"/>
    <n v="1"/>
    <x v="0"/>
    <n v="12"/>
    <n v="3"/>
    <n v="1"/>
    <n v="0"/>
    <n v="10"/>
    <n v="2"/>
    <s v="Good"/>
    <n v="10"/>
    <x v="2"/>
    <n v="7"/>
    <n v="1"/>
    <n v="9"/>
  </r>
  <r>
    <n v="28"/>
    <s v="Young Adults"/>
    <n v="0"/>
    <s v="Travel_Rarely"/>
    <n v="857"/>
    <x v="0"/>
    <n v="10"/>
    <s v="Moderate"/>
    <s v="Bachelor"/>
    <s v="Other"/>
    <n v="3"/>
    <s v="Female"/>
    <n v="59"/>
    <n v="3"/>
    <n v="2"/>
    <s v="Research Scientist"/>
    <s v="High"/>
    <s v="Single"/>
    <n v="3660"/>
    <s v="Low (&lt;5k)"/>
    <n v="7909"/>
    <n v="3"/>
    <x v="0"/>
    <n v="13"/>
    <n v="3"/>
    <n v="4"/>
    <n v="0"/>
    <n v="10"/>
    <n v="4"/>
    <s v="Best"/>
    <n v="8"/>
    <x v="1"/>
    <n v="7"/>
    <n v="1"/>
    <n v="7"/>
  </r>
  <r>
    <n v="28"/>
    <s v="Young Adults"/>
    <n v="0"/>
    <s v="Travel_Rarely"/>
    <n v="895"/>
    <x v="0"/>
    <n v="15"/>
    <s v="Moderate"/>
    <s v="College"/>
    <s v="Life Sciences"/>
    <n v="1"/>
    <s v="Male"/>
    <n v="50"/>
    <n v="3"/>
    <n v="1"/>
    <s v="Laboratory Technician"/>
    <s v="High"/>
    <s v="Divorced"/>
    <n v="2207"/>
    <s v="Low (&lt;5k)"/>
    <n v="22482"/>
    <n v="1"/>
    <x v="0"/>
    <n v="16"/>
    <n v="3"/>
    <n v="4"/>
    <n v="1"/>
    <n v="4"/>
    <n v="5"/>
    <s v="Good"/>
    <n v="4"/>
    <x v="1"/>
    <n v="2"/>
    <n v="2"/>
    <n v="2"/>
  </r>
  <r>
    <n v="28"/>
    <s v="Young Adults"/>
    <n v="1"/>
    <s v="Travel_Frequently"/>
    <n v="1009"/>
    <x v="0"/>
    <n v="1"/>
    <s v="Near Office"/>
    <s v="Bachelor"/>
    <s v="Medical"/>
    <n v="1"/>
    <s v="Male"/>
    <n v="45"/>
    <n v="2"/>
    <n v="1"/>
    <s v="Laboratory Technician"/>
    <s v="Medium"/>
    <s v="Divorced"/>
    <n v="2596"/>
    <s v="Low (&lt;5k)"/>
    <n v="7160"/>
    <n v="1"/>
    <x v="0"/>
    <n v="15"/>
    <n v="3"/>
    <n v="1"/>
    <n v="2"/>
    <n v="1"/>
    <n v="2"/>
    <s v="Better"/>
    <n v="1"/>
    <x v="0"/>
    <n v="0"/>
    <n v="0"/>
    <n v="0"/>
  </r>
  <r>
    <n v="28"/>
    <s v="Young Adults"/>
    <n v="0"/>
    <s v="Travel_Rarely"/>
    <n v="950"/>
    <x v="0"/>
    <n v="3"/>
    <s v="Near Office"/>
    <s v="Bachelor"/>
    <s v="Medical"/>
    <n v="4"/>
    <s v="Female"/>
    <n v="93"/>
    <n v="3"/>
    <n v="3"/>
    <s v="Manufacturing Director"/>
    <s v="Medium"/>
    <s v="Divorced"/>
    <n v="7655"/>
    <s v="Medium (5k-10k)"/>
    <n v="8039"/>
    <n v="0"/>
    <x v="0"/>
    <n v="17"/>
    <n v="3"/>
    <n v="2"/>
    <n v="3"/>
    <n v="10"/>
    <n v="3"/>
    <s v="Good"/>
    <n v="9"/>
    <x v="1"/>
    <n v="7"/>
    <n v="1"/>
    <n v="7"/>
  </r>
  <r>
    <n v="28"/>
    <s v="Young Adults"/>
    <n v="0"/>
    <s v="Travel_Rarely"/>
    <n v="1451"/>
    <x v="0"/>
    <n v="2"/>
    <s v="Near Office"/>
    <s v="Below College"/>
    <s v="Life Sciences"/>
    <n v="1"/>
    <s v="Male"/>
    <n v="67"/>
    <n v="2"/>
    <n v="1"/>
    <s v="Research Scientist"/>
    <s v="Medium"/>
    <s v="Married"/>
    <n v="3201"/>
    <s v="Low (&lt;5k)"/>
    <n v="19911"/>
    <n v="0"/>
    <x v="0"/>
    <n v="17"/>
    <n v="3"/>
    <n v="1"/>
    <n v="0"/>
    <n v="6"/>
    <n v="2"/>
    <s v="Bad"/>
    <n v="5"/>
    <x v="1"/>
    <n v="3"/>
    <n v="0"/>
    <n v="4"/>
  </r>
  <r>
    <n v="28"/>
    <s v="Young Adults"/>
    <n v="0"/>
    <s v="Travel_Frequently"/>
    <n v="773"/>
    <x v="0"/>
    <n v="6"/>
    <s v="Moderate"/>
    <s v="Bachelor"/>
    <s v="Life Sciences"/>
    <n v="3"/>
    <s v="Male"/>
    <n v="39"/>
    <n v="2"/>
    <n v="1"/>
    <s v="Research Scientist"/>
    <s v="High"/>
    <s v="Divorced"/>
    <n v="2703"/>
    <s v="Low (&lt;5k)"/>
    <n v="22088"/>
    <n v="1"/>
    <x v="1"/>
    <n v="14"/>
    <n v="3"/>
    <n v="4"/>
    <n v="1"/>
    <n v="3"/>
    <n v="2"/>
    <s v="Better"/>
    <n v="3"/>
    <x v="1"/>
    <n v="1"/>
    <n v="0"/>
    <n v="2"/>
  </r>
  <r>
    <n v="28"/>
    <s v="Young Adults"/>
    <n v="1"/>
    <s v="Travel_Rarely"/>
    <n v="1485"/>
    <x v="0"/>
    <n v="12"/>
    <s v="Moderate"/>
    <s v="Below College"/>
    <s v="Life Sciences"/>
    <n v="3"/>
    <s v="Female"/>
    <n v="79"/>
    <n v="3"/>
    <n v="1"/>
    <s v="Laboratory Technician"/>
    <s v="Very High"/>
    <s v="Married"/>
    <n v="2515"/>
    <s v="Low (&lt;5k)"/>
    <n v="22955"/>
    <n v="1"/>
    <x v="1"/>
    <n v="11"/>
    <n v="3"/>
    <n v="4"/>
    <n v="0"/>
    <n v="1"/>
    <n v="4"/>
    <s v="Good"/>
    <n v="1"/>
    <x v="0"/>
    <n v="1"/>
    <n v="0"/>
    <n v="0"/>
  </r>
  <r>
    <n v="28"/>
    <s v="Young Adults"/>
    <n v="0"/>
    <s v="Travel_Rarely"/>
    <n v="1179"/>
    <x v="0"/>
    <n v="19"/>
    <s v="Long Commute"/>
    <s v="Master"/>
    <s v="Medical"/>
    <n v="4"/>
    <s v="Male"/>
    <n v="78"/>
    <n v="2"/>
    <n v="1"/>
    <s v="Laboratory Technician"/>
    <s v="Low"/>
    <s v="Married"/>
    <n v="3196"/>
    <s v="Low (&lt;5k)"/>
    <n v="12449"/>
    <n v="1"/>
    <x v="0"/>
    <n v="12"/>
    <n v="3"/>
    <n v="3"/>
    <n v="3"/>
    <n v="6"/>
    <n v="2"/>
    <s v="Better"/>
    <n v="6"/>
    <x v="1"/>
    <n v="5"/>
    <n v="3"/>
    <n v="3"/>
  </r>
  <r>
    <n v="28"/>
    <s v="Young Adults"/>
    <n v="0"/>
    <s v="Travel_Frequently"/>
    <n v="791"/>
    <x v="0"/>
    <n v="1"/>
    <s v="Near Office"/>
    <s v="Master"/>
    <s v="Medical"/>
    <n v="4"/>
    <s v="Male"/>
    <n v="44"/>
    <n v="3"/>
    <n v="1"/>
    <s v="Laboratory Technician"/>
    <s v="High"/>
    <s v="Single"/>
    <n v="2154"/>
    <s v="Low (&lt;5k)"/>
    <n v="6842"/>
    <n v="0"/>
    <x v="1"/>
    <n v="11"/>
    <n v="3"/>
    <n v="3"/>
    <n v="0"/>
    <n v="5"/>
    <n v="2"/>
    <s v="Good"/>
    <n v="4"/>
    <x v="1"/>
    <n v="2"/>
    <n v="0"/>
    <n v="2"/>
  </r>
  <r>
    <n v="28"/>
    <s v="Young Adults"/>
    <n v="0"/>
    <s v="Travel_Frequently"/>
    <n v="193"/>
    <x v="0"/>
    <n v="2"/>
    <s v="Near Office"/>
    <s v="Bachelor"/>
    <s v="Life Sciences"/>
    <n v="4"/>
    <s v="Male"/>
    <n v="52"/>
    <n v="2"/>
    <n v="1"/>
    <s v="Laboratory Technician"/>
    <s v="Very High"/>
    <s v="Married"/>
    <n v="3867"/>
    <s v="Low (&lt;5k)"/>
    <n v="14222"/>
    <n v="1"/>
    <x v="1"/>
    <n v="12"/>
    <n v="3"/>
    <n v="2"/>
    <n v="1"/>
    <n v="2"/>
    <n v="2"/>
    <s v="Better"/>
    <n v="2"/>
    <x v="0"/>
    <n v="2"/>
    <n v="2"/>
    <n v="2"/>
  </r>
  <r>
    <n v="28"/>
    <s v="Young Adults"/>
    <n v="0"/>
    <s v="Travel_Rarely"/>
    <n v="640"/>
    <x v="0"/>
    <n v="1"/>
    <s v="Near Office"/>
    <s v="Bachelor"/>
    <s v="Technical Degree"/>
    <n v="4"/>
    <s v="Male"/>
    <n v="84"/>
    <n v="3"/>
    <n v="1"/>
    <s v="Research Scientist"/>
    <s v="Low"/>
    <s v="Single"/>
    <n v="2080"/>
    <s v="Low (&lt;5k)"/>
    <n v="4732"/>
    <n v="2"/>
    <x v="0"/>
    <n v="11"/>
    <n v="3"/>
    <n v="2"/>
    <n v="0"/>
    <n v="5"/>
    <n v="2"/>
    <s v="Good"/>
    <n v="3"/>
    <x v="1"/>
    <n v="2"/>
    <n v="1"/>
    <n v="2"/>
  </r>
  <r>
    <n v="28"/>
    <s v="Young Adults"/>
    <n v="0"/>
    <s v="Non-Travel"/>
    <n v="1476"/>
    <x v="0"/>
    <n v="1"/>
    <s v="Near Office"/>
    <s v="Bachelor"/>
    <s v="Life Sciences"/>
    <n v="3"/>
    <s v="Female"/>
    <n v="55"/>
    <n v="1"/>
    <n v="2"/>
    <s v="Laboratory Technician"/>
    <s v="Very High"/>
    <s v="Married"/>
    <n v="6674"/>
    <s v="Medium (5k-10k)"/>
    <n v="16392"/>
    <n v="0"/>
    <x v="0"/>
    <n v="11"/>
    <n v="3"/>
    <n v="1"/>
    <n v="3"/>
    <n v="10"/>
    <n v="6"/>
    <s v="Better"/>
    <n v="9"/>
    <x v="1"/>
    <n v="8"/>
    <n v="7"/>
    <n v="5"/>
  </r>
  <r>
    <n v="28"/>
    <s v="Young Adults"/>
    <n v="0"/>
    <s v="Travel_Rarely"/>
    <n v="736"/>
    <x v="1"/>
    <n v="26"/>
    <s v="Long Commute"/>
    <s v="Bachelor"/>
    <s v="Life Sciences"/>
    <n v="3"/>
    <s v="Male"/>
    <n v="48"/>
    <n v="2"/>
    <n v="2"/>
    <s v="Sales Executive"/>
    <s v="Low"/>
    <s v="Married"/>
    <n v="4724"/>
    <s v="Low (&lt;5k)"/>
    <n v="24232"/>
    <n v="1"/>
    <x v="0"/>
    <n v="11"/>
    <n v="3"/>
    <n v="3"/>
    <n v="1"/>
    <n v="5"/>
    <n v="0"/>
    <s v="Better"/>
    <n v="5"/>
    <x v="1"/>
    <n v="3"/>
    <n v="0"/>
    <n v="4"/>
  </r>
  <r>
    <n v="28"/>
    <s v="Young Adults"/>
    <n v="0"/>
    <s v="Travel_Rarely"/>
    <n v="866"/>
    <x v="1"/>
    <n v="5"/>
    <s v="Near Office"/>
    <s v="Bachelor"/>
    <s v="Medical"/>
    <n v="4"/>
    <s v="Male"/>
    <n v="84"/>
    <n v="3"/>
    <n v="2"/>
    <s v="Sales Executive"/>
    <s v="Low"/>
    <s v="Single"/>
    <n v="8463"/>
    <s v="Medium (5k-10k)"/>
    <n v="23490"/>
    <n v="0"/>
    <x v="0"/>
    <n v="18"/>
    <n v="3"/>
    <n v="4"/>
    <n v="0"/>
    <n v="6"/>
    <n v="4"/>
    <s v="Better"/>
    <n v="5"/>
    <x v="1"/>
    <n v="4"/>
    <n v="1"/>
    <n v="3"/>
  </r>
  <r>
    <n v="28"/>
    <s v="Young Adults"/>
    <n v="1"/>
    <s v="Travel_Frequently"/>
    <n v="1496"/>
    <x v="1"/>
    <n v="1"/>
    <s v="Near Office"/>
    <s v="Bachelor"/>
    <s v="Technical Degree"/>
    <n v="1"/>
    <s v="Male"/>
    <n v="92"/>
    <n v="3"/>
    <n v="1"/>
    <s v="Sales Representative"/>
    <s v="High"/>
    <s v="Married"/>
    <n v="2909"/>
    <s v="Low (&lt;5k)"/>
    <n v="15747"/>
    <n v="3"/>
    <x v="0"/>
    <n v="15"/>
    <n v="3"/>
    <n v="4"/>
    <n v="1"/>
    <n v="5"/>
    <n v="3"/>
    <s v="Best"/>
    <n v="3"/>
    <x v="1"/>
    <n v="2"/>
    <n v="1"/>
    <n v="2"/>
  </r>
  <r>
    <n v="28"/>
    <s v="Young Adults"/>
    <n v="1"/>
    <s v="Travel_Frequently"/>
    <n v="289"/>
    <x v="0"/>
    <n v="2"/>
    <s v="Near Office"/>
    <s v="College"/>
    <s v="Medical"/>
    <n v="3"/>
    <s v="Male"/>
    <n v="38"/>
    <n v="2"/>
    <n v="1"/>
    <s v="Laboratory Technician"/>
    <s v="Low"/>
    <s v="Single"/>
    <n v="2561"/>
    <s v="Low (&lt;5k)"/>
    <n v="5355"/>
    <n v="7"/>
    <x v="0"/>
    <n v="11"/>
    <n v="3"/>
    <n v="3"/>
    <n v="0"/>
    <n v="8"/>
    <n v="2"/>
    <s v="Good"/>
    <n v="0"/>
    <x v="0"/>
    <n v="0"/>
    <n v="0"/>
    <n v="0"/>
  </r>
  <r>
    <n v="28"/>
    <s v="Young Adults"/>
    <n v="0"/>
    <s v="Travel_Rarely"/>
    <n v="1423"/>
    <x v="0"/>
    <n v="1"/>
    <s v="Near Office"/>
    <s v="Bachelor"/>
    <s v="Life Sciences"/>
    <n v="1"/>
    <s v="Male"/>
    <n v="72"/>
    <n v="2"/>
    <n v="1"/>
    <s v="Research Scientist"/>
    <s v="High"/>
    <s v="Divorced"/>
    <n v="1563"/>
    <s v="Low (&lt;5k)"/>
    <n v="12530"/>
    <n v="1"/>
    <x v="0"/>
    <n v="14"/>
    <n v="3"/>
    <n v="4"/>
    <n v="1"/>
    <n v="1"/>
    <n v="2"/>
    <s v="Bad"/>
    <n v="1"/>
    <x v="0"/>
    <n v="0"/>
    <n v="0"/>
    <n v="0"/>
  </r>
  <r>
    <n v="28"/>
    <s v="Young Adults"/>
    <n v="0"/>
    <s v="Travel_Frequently"/>
    <n v="467"/>
    <x v="1"/>
    <n v="7"/>
    <s v="Moderate"/>
    <s v="Bachelor"/>
    <s v="Life Sciences"/>
    <n v="3"/>
    <s v="Male"/>
    <n v="55"/>
    <n v="3"/>
    <n v="2"/>
    <s v="Sales Executive"/>
    <s v="Low"/>
    <s v="Single"/>
    <n v="4898"/>
    <s v="Low (&lt;5k)"/>
    <n v="11827"/>
    <n v="0"/>
    <x v="0"/>
    <n v="14"/>
    <n v="3"/>
    <n v="4"/>
    <n v="0"/>
    <n v="5"/>
    <n v="5"/>
    <s v="Better"/>
    <n v="4"/>
    <x v="1"/>
    <n v="2"/>
    <n v="1"/>
    <n v="3"/>
  </r>
  <r>
    <n v="28"/>
    <s v="Young Adults"/>
    <n v="0"/>
    <s v="Travel_Rarely"/>
    <n v="1083"/>
    <x v="0"/>
    <n v="29"/>
    <s v="Long Commute"/>
    <s v="Below College"/>
    <s v="Life Sciences"/>
    <n v="3"/>
    <s v="Male"/>
    <n v="96"/>
    <n v="1"/>
    <n v="2"/>
    <s v="Manufacturing Director"/>
    <s v="Medium"/>
    <s v="Married"/>
    <n v="6549"/>
    <s v="Medium (5k-10k)"/>
    <n v="3173"/>
    <n v="1"/>
    <x v="0"/>
    <n v="14"/>
    <n v="3"/>
    <n v="2"/>
    <n v="2"/>
    <n v="8"/>
    <n v="2"/>
    <s v="Good"/>
    <n v="8"/>
    <x v="1"/>
    <n v="6"/>
    <n v="1"/>
    <n v="7"/>
  </r>
  <r>
    <n v="28"/>
    <s v="Young Adults"/>
    <n v="1"/>
    <s v="Travel_Rarely"/>
    <n v="329"/>
    <x v="0"/>
    <n v="24"/>
    <s v="Long Commute"/>
    <s v="Bachelor"/>
    <s v="Medical"/>
    <n v="3"/>
    <s v="Male"/>
    <n v="51"/>
    <n v="3"/>
    <n v="1"/>
    <s v="Laboratory Technician"/>
    <s v="Medium"/>
    <s v="Married"/>
    <n v="2408"/>
    <s v="Low (&lt;5k)"/>
    <n v="7324"/>
    <n v="1"/>
    <x v="1"/>
    <n v="17"/>
    <n v="3"/>
    <n v="3"/>
    <n v="3"/>
    <n v="1"/>
    <n v="3"/>
    <s v="Better"/>
    <n v="1"/>
    <x v="0"/>
    <n v="1"/>
    <n v="0"/>
    <n v="0"/>
  </r>
  <r>
    <n v="28"/>
    <s v="Young Adults"/>
    <n v="0"/>
    <s v="Travel_Rarely"/>
    <n v="580"/>
    <x v="0"/>
    <n v="27"/>
    <s v="Long Commute"/>
    <s v="Bachelor"/>
    <s v="Medical"/>
    <n v="2"/>
    <s v="Female"/>
    <n v="39"/>
    <n v="1"/>
    <n v="2"/>
    <s v="Manufacturing Director"/>
    <s v="Low"/>
    <s v="Divorced"/>
    <n v="4877"/>
    <s v="Low (&lt;5k)"/>
    <n v="20460"/>
    <n v="0"/>
    <x v="0"/>
    <n v="21"/>
    <n v="4"/>
    <n v="2"/>
    <n v="1"/>
    <n v="6"/>
    <n v="5"/>
    <s v="Good"/>
    <n v="5"/>
    <x v="1"/>
    <n v="3"/>
    <n v="0"/>
    <n v="0"/>
  </r>
  <r>
    <n v="28"/>
    <s v="Young Adults"/>
    <n v="0"/>
    <s v="Travel_Rarely"/>
    <n v="1181"/>
    <x v="0"/>
    <n v="1"/>
    <s v="Near Office"/>
    <s v="Bachelor"/>
    <s v="Life Sciences"/>
    <n v="3"/>
    <s v="Male"/>
    <n v="82"/>
    <n v="3"/>
    <n v="1"/>
    <s v="Research Scientist"/>
    <s v="Very High"/>
    <s v="Married"/>
    <n v="2044"/>
    <s v="Low (&lt;5k)"/>
    <n v="5531"/>
    <n v="1"/>
    <x v="0"/>
    <n v="11"/>
    <n v="3"/>
    <n v="3"/>
    <n v="1"/>
    <n v="5"/>
    <n v="6"/>
    <s v="Best"/>
    <n v="5"/>
    <x v="1"/>
    <n v="3"/>
    <n v="0"/>
    <n v="3"/>
  </r>
  <r>
    <n v="28"/>
    <s v="Young Adults"/>
    <n v="0"/>
    <s v="Travel_Rarely"/>
    <n v="1217"/>
    <x v="0"/>
    <n v="1"/>
    <s v="Near Office"/>
    <s v="Bachelor"/>
    <s v="Medical"/>
    <n v="3"/>
    <s v="Female"/>
    <n v="67"/>
    <n v="3"/>
    <n v="1"/>
    <s v="Research Scientist"/>
    <s v="Low"/>
    <s v="Married"/>
    <n v="3591"/>
    <s v="Low (&lt;5k)"/>
    <n v="12719"/>
    <n v="1"/>
    <x v="0"/>
    <n v="25"/>
    <n v="4"/>
    <n v="3"/>
    <n v="1"/>
    <n v="3"/>
    <n v="3"/>
    <s v="Better"/>
    <n v="3"/>
    <x v="1"/>
    <n v="2"/>
    <n v="1"/>
    <n v="2"/>
  </r>
  <r>
    <n v="28"/>
    <s v="Young Adults"/>
    <n v="0"/>
    <s v="Non-Travel"/>
    <n v="280"/>
    <x v="2"/>
    <n v="1"/>
    <s v="Near Office"/>
    <s v="College"/>
    <s v="Life Sciences"/>
    <n v="3"/>
    <s v="Male"/>
    <n v="43"/>
    <n v="3"/>
    <n v="1"/>
    <s v="Human Resources"/>
    <s v="Very High"/>
    <s v="Divorced"/>
    <n v="2706"/>
    <s v="Low (&lt;5k)"/>
    <n v="10494"/>
    <n v="1"/>
    <x v="0"/>
    <n v="15"/>
    <n v="3"/>
    <n v="2"/>
    <n v="1"/>
    <n v="3"/>
    <n v="2"/>
    <s v="Better"/>
    <n v="3"/>
    <x v="1"/>
    <n v="2"/>
    <n v="2"/>
    <n v="2"/>
  </r>
  <r>
    <n v="28"/>
    <s v="Young Adults"/>
    <n v="0"/>
    <s v="Travel_Rarely"/>
    <n v="1172"/>
    <x v="1"/>
    <n v="3"/>
    <s v="Near Office"/>
    <s v="Bachelor"/>
    <s v="Medical"/>
    <n v="2"/>
    <s v="Female"/>
    <n v="78"/>
    <n v="3"/>
    <n v="1"/>
    <s v="Sales Representative"/>
    <s v="Medium"/>
    <s v="Married"/>
    <n v="2856"/>
    <s v="Low (&lt;5k)"/>
    <n v="3692"/>
    <n v="1"/>
    <x v="0"/>
    <n v="19"/>
    <n v="3"/>
    <n v="4"/>
    <n v="1"/>
    <n v="1"/>
    <n v="3"/>
    <s v="Better"/>
    <n v="1"/>
    <x v="0"/>
    <n v="0"/>
    <n v="0"/>
    <n v="0"/>
  </r>
  <r>
    <n v="28"/>
    <s v="Young Adults"/>
    <n v="0"/>
    <s v="Travel_Frequently"/>
    <n v="783"/>
    <x v="1"/>
    <n v="1"/>
    <s v="Near Office"/>
    <s v="College"/>
    <s v="Life Sciences"/>
    <n v="3"/>
    <s v="Male"/>
    <n v="42"/>
    <n v="2"/>
    <n v="2"/>
    <s v="Sales Executive"/>
    <s v="Very High"/>
    <s v="Married"/>
    <n v="6834"/>
    <s v="Medium (5k-10k)"/>
    <n v="19255"/>
    <n v="1"/>
    <x v="1"/>
    <n v="12"/>
    <n v="3"/>
    <n v="3"/>
    <n v="1"/>
    <n v="7"/>
    <n v="2"/>
    <s v="Better"/>
    <n v="7"/>
    <x v="1"/>
    <n v="7"/>
    <n v="0"/>
    <n v="7"/>
  </r>
  <r>
    <n v="28"/>
    <s v="Young Adults"/>
    <n v="1"/>
    <s v="Travel_Rarely"/>
    <n v="1475"/>
    <x v="1"/>
    <n v="13"/>
    <s v="Moderate"/>
    <s v="College"/>
    <s v="Marketing"/>
    <n v="4"/>
    <s v="Female"/>
    <n v="84"/>
    <n v="3"/>
    <n v="2"/>
    <s v="Sales Executive"/>
    <s v="High"/>
    <s v="Single"/>
    <n v="9854"/>
    <s v="Medium (5k-10k)"/>
    <n v="23352"/>
    <n v="3"/>
    <x v="1"/>
    <n v="11"/>
    <n v="3"/>
    <n v="4"/>
    <n v="0"/>
    <n v="6"/>
    <n v="0"/>
    <s v="Better"/>
    <n v="2"/>
    <x v="0"/>
    <n v="0"/>
    <n v="2"/>
    <n v="2"/>
  </r>
  <r>
    <n v="28"/>
    <s v="Young Adults"/>
    <n v="0"/>
    <s v="Non-Travel"/>
    <n v="1103"/>
    <x v="0"/>
    <n v="16"/>
    <s v="Long Commute"/>
    <s v="Bachelor"/>
    <s v="Medical"/>
    <n v="3"/>
    <s v="Male"/>
    <n v="49"/>
    <n v="3"/>
    <n v="1"/>
    <s v="Research Scientist"/>
    <s v="High"/>
    <s v="Single"/>
    <n v="2144"/>
    <s v="Low (&lt;5k)"/>
    <n v="2122"/>
    <n v="1"/>
    <x v="0"/>
    <n v="14"/>
    <n v="3"/>
    <n v="3"/>
    <n v="0"/>
    <n v="5"/>
    <n v="3"/>
    <s v="Good"/>
    <n v="5"/>
    <x v="1"/>
    <n v="3"/>
    <n v="1"/>
    <n v="4"/>
  </r>
  <r>
    <n v="28"/>
    <s v="Young Adults"/>
    <n v="1"/>
    <s v="Travel_Rarely"/>
    <n v="1404"/>
    <x v="0"/>
    <n v="17"/>
    <s v="Long Commute"/>
    <s v="Bachelor"/>
    <s v="Technical Degree"/>
    <n v="3"/>
    <s v="Male"/>
    <n v="32"/>
    <n v="2"/>
    <n v="1"/>
    <s v="Laboratory Technician"/>
    <s v="Very High"/>
    <s v="Divorced"/>
    <n v="2367"/>
    <s v="Low (&lt;5k)"/>
    <n v="18779"/>
    <n v="5"/>
    <x v="0"/>
    <n v="12"/>
    <n v="3"/>
    <n v="1"/>
    <n v="1"/>
    <n v="6"/>
    <n v="2"/>
    <s v="Good"/>
    <n v="4"/>
    <x v="1"/>
    <n v="1"/>
    <n v="0"/>
    <n v="3"/>
  </r>
  <r>
    <n v="29"/>
    <s v="Young Adults"/>
    <n v="0"/>
    <s v="Travel_Rarely"/>
    <n v="153"/>
    <x v="0"/>
    <n v="15"/>
    <s v="Moderate"/>
    <s v="College"/>
    <s v="Life Sciences"/>
    <n v="4"/>
    <s v="Female"/>
    <n v="49"/>
    <n v="2"/>
    <n v="2"/>
    <s v="Laboratory Technician"/>
    <s v="High"/>
    <s v="Single"/>
    <n v="4193"/>
    <s v="Low (&lt;5k)"/>
    <n v="12682"/>
    <n v="0"/>
    <x v="1"/>
    <n v="12"/>
    <n v="3"/>
    <n v="4"/>
    <n v="0"/>
    <n v="10"/>
    <n v="3"/>
    <s v="Better"/>
    <n v="9"/>
    <x v="1"/>
    <n v="5"/>
    <n v="0"/>
    <n v="8"/>
  </r>
  <r>
    <n v="29"/>
    <s v="Young Adults"/>
    <n v="0"/>
    <s v="Travel_Rarely"/>
    <n v="1389"/>
    <x v="0"/>
    <n v="21"/>
    <s v="Long Commute"/>
    <s v="Master"/>
    <s v="Life Sciences"/>
    <n v="2"/>
    <s v="Female"/>
    <n v="51"/>
    <n v="4"/>
    <n v="3"/>
    <s v="Manufacturing Director"/>
    <s v="Low"/>
    <s v="Divorced"/>
    <n v="9980"/>
    <s v="Medium (5k-10k)"/>
    <n v="10195"/>
    <n v="1"/>
    <x v="0"/>
    <n v="11"/>
    <n v="3"/>
    <n v="3"/>
    <n v="1"/>
    <n v="10"/>
    <n v="1"/>
    <s v="Better"/>
    <n v="10"/>
    <x v="2"/>
    <n v="9"/>
    <n v="8"/>
    <n v="8"/>
  </r>
  <r>
    <n v="29"/>
    <s v="Young Adults"/>
    <n v="0"/>
    <s v="Travel_Rarely"/>
    <n v="1328"/>
    <x v="0"/>
    <n v="2"/>
    <s v="Near Office"/>
    <s v="Bachelor"/>
    <s v="Life Sciences"/>
    <n v="3"/>
    <s v="Male"/>
    <n v="76"/>
    <n v="3"/>
    <n v="1"/>
    <s v="Research Scientist"/>
    <s v="Medium"/>
    <s v="Married"/>
    <n v="2703"/>
    <s v="Low (&lt;5k)"/>
    <n v="4956"/>
    <n v="0"/>
    <x v="0"/>
    <n v="23"/>
    <n v="4"/>
    <n v="4"/>
    <n v="1"/>
    <n v="6"/>
    <n v="3"/>
    <s v="Better"/>
    <n v="5"/>
    <x v="1"/>
    <n v="4"/>
    <n v="0"/>
    <n v="4"/>
  </r>
  <r>
    <n v="29"/>
    <s v="Young Adults"/>
    <n v="0"/>
    <s v="Non-Travel"/>
    <n v="1496"/>
    <x v="0"/>
    <n v="1"/>
    <s v="Near Office"/>
    <s v="Below College"/>
    <s v="Technical Degree"/>
    <n v="4"/>
    <s v="Male"/>
    <n v="41"/>
    <n v="3"/>
    <n v="2"/>
    <s v="Manufacturing Director"/>
    <s v="High"/>
    <s v="Married"/>
    <n v="4319"/>
    <s v="Low (&lt;5k)"/>
    <n v="26283"/>
    <n v="1"/>
    <x v="0"/>
    <n v="13"/>
    <n v="3"/>
    <n v="1"/>
    <n v="1"/>
    <n v="10"/>
    <n v="1"/>
    <s v="Better"/>
    <n v="10"/>
    <x v="2"/>
    <n v="7"/>
    <n v="0"/>
    <n v="9"/>
  </r>
  <r>
    <n v="29"/>
    <s v="Young Adults"/>
    <n v="1"/>
    <s v="Travel_Rarely"/>
    <n v="121"/>
    <x v="1"/>
    <n v="27"/>
    <s v="Long Commute"/>
    <s v="Bachelor"/>
    <s v="Marketing"/>
    <n v="2"/>
    <s v="Female"/>
    <n v="35"/>
    <n v="3"/>
    <n v="3"/>
    <s v="Sales Executive"/>
    <s v="Very High"/>
    <s v="Married"/>
    <n v="7639"/>
    <s v="Medium (5k-10k)"/>
    <n v="24525"/>
    <n v="1"/>
    <x v="0"/>
    <n v="22"/>
    <n v="4"/>
    <n v="4"/>
    <n v="3"/>
    <n v="10"/>
    <n v="3"/>
    <s v="Good"/>
    <n v="10"/>
    <x v="2"/>
    <n v="4"/>
    <n v="1"/>
    <n v="9"/>
  </r>
  <r>
    <n v="29"/>
    <s v="Young Adults"/>
    <n v="1"/>
    <s v="Travel_Rarely"/>
    <n v="992"/>
    <x v="0"/>
    <n v="1"/>
    <s v="Near Office"/>
    <s v="Bachelor"/>
    <s v="Technical Degree"/>
    <n v="3"/>
    <s v="Male"/>
    <n v="85"/>
    <n v="3"/>
    <n v="1"/>
    <s v="Research Scientist"/>
    <s v="High"/>
    <s v="Single"/>
    <n v="2058"/>
    <s v="Low (&lt;5k)"/>
    <n v="19757"/>
    <n v="0"/>
    <x v="0"/>
    <n v="14"/>
    <n v="3"/>
    <n v="4"/>
    <n v="0"/>
    <n v="7"/>
    <n v="1"/>
    <s v="Good"/>
    <n v="6"/>
    <x v="1"/>
    <n v="2"/>
    <n v="1"/>
    <n v="5"/>
  </r>
  <r>
    <n v="29"/>
    <s v="Young Adults"/>
    <n v="0"/>
    <s v="Travel_Frequently"/>
    <n v="1413"/>
    <x v="1"/>
    <n v="1"/>
    <s v="Near Office"/>
    <s v="Below College"/>
    <s v="Medical"/>
    <n v="2"/>
    <s v="Female"/>
    <n v="42"/>
    <n v="3"/>
    <n v="3"/>
    <s v="Sales Executive"/>
    <s v="Very High"/>
    <s v="Married"/>
    <n v="7918"/>
    <s v="Medium (5k-10k)"/>
    <n v="6599"/>
    <n v="1"/>
    <x v="0"/>
    <n v="14"/>
    <n v="3"/>
    <n v="4"/>
    <n v="1"/>
    <n v="11"/>
    <n v="5"/>
    <s v="Better"/>
    <n v="11"/>
    <x v="2"/>
    <n v="10"/>
    <n v="4"/>
    <n v="1"/>
  </r>
  <r>
    <n v="29"/>
    <s v="Young Adults"/>
    <n v="1"/>
    <s v="Travel_Rarely"/>
    <n v="896"/>
    <x v="0"/>
    <n v="18"/>
    <s v="Long Commute"/>
    <s v="Below College"/>
    <s v="Medical"/>
    <n v="3"/>
    <s v="Male"/>
    <n v="86"/>
    <n v="2"/>
    <n v="1"/>
    <s v="Research Scientist"/>
    <s v="Very High"/>
    <s v="Single"/>
    <n v="2389"/>
    <s v="Low (&lt;5k)"/>
    <n v="14961"/>
    <n v="1"/>
    <x v="1"/>
    <n v="13"/>
    <n v="3"/>
    <n v="3"/>
    <n v="0"/>
    <n v="4"/>
    <n v="3"/>
    <s v="Good"/>
    <n v="4"/>
    <x v="1"/>
    <n v="3"/>
    <n v="0"/>
    <n v="1"/>
  </r>
  <r>
    <n v="29"/>
    <s v="Young Adults"/>
    <n v="0"/>
    <s v="Travel_Rarely"/>
    <n v="665"/>
    <x v="0"/>
    <n v="15"/>
    <s v="Moderate"/>
    <s v="Bachelor"/>
    <s v="Life Sciences"/>
    <n v="3"/>
    <s v="Male"/>
    <n v="60"/>
    <n v="3"/>
    <n v="1"/>
    <s v="Research Scientist"/>
    <s v="Very High"/>
    <s v="Single"/>
    <n v="2340"/>
    <s v="Low (&lt;5k)"/>
    <n v="22673"/>
    <n v="1"/>
    <x v="0"/>
    <n v="19"/>
    <n v="3"/>
    <n v="1"/>
    <n v="0"/>
    <n v="6"/>
    <n v="1"/>
    <s v="Better"/>
    <n v="6"/>
    <x v="1"/>
    <n v="5"/>
    <n v="1"/>
    <n v="5"/>
  </r>
  <r>
    <n v="29"/>
    <s v="Young Adults"/>
    <n v="0"/>
    <s v="Travel_Rarely"/>
    <n v="1247"/>
    <x v="1"/>
    <n v="20"/>
    <s v="Long Commute"/>
    <s v="College"/>
    <s v="Marketing"/>
    <n v="4"/>
    <s v="Male"/>
    <n v="45"/>
    <n v="3"/>
    <n v="2"/>
    <s v="Sales Executive"/>
    <s v="Very High"/>
    <s v="Divorced"/>
    <n v="6931"/>
    <s v="Medium (5k-10k)"/>
    <n v="10732"/>
    <n v="2"/>
    <x v="0"/>
    <n v="14"/>
    <n v="3"/>
    <n v="4"/>
    <n v="1"/>
    <n v="10"/>
    <n v="2"/>
    <s v="Better"/>
    <n v="3"/>
    <x v="1"/>
    <n v="2"/>
    <n v="0"/>
    <n v="2"/>
  </r>
  <r>
    <n v="29"/>
    <s v="Young Adults"/>
    <n v="0"/>
    <s v="Travel_Rarely"/>
    <n v="1210"/>
    <x v="1"/>
    <n v="2"/>
    <s v="Near Office"/>
    <s v="Bachelor"/>
    <s v="Medical"/>
    <n v="1"/>
    <s v="Male"/>
    <n v="78"/>
    <n v="2"/>
    <n v="2"/>
    <s v="Sales Executive"/>
    <s v="Medium"/>
    <s v="Married"/>
    <n v="6644"/>
    <s v="Medium (5k-10k)"/>
    <n v="3687"/>
    <n v="2"/>
    <x v="0"/>
    <n v="19"/>
    <n v="3"/>
    <n v="2"/>
    <n v="2"/>
    <n v="10"/>
    <n v="2"/>
    <s v="Better"/>
    <n v="0"/>
    <x v="0"/>
    <n v="0"/>
    <n v="0"/>
    <n v="0"/>
  </r>
  <r>
    <n v="29"/>
    <s v="Young Adults"/>
    <n v="0"/>
    <s v="Travel_Frequently"/>
    <n v="442"/>
    <x v="1"/>
    <n v="2"/>
    <s v="Near Office"/>
    <s v="College"/>
    <s v="Life Sciences"/>
    <n v="2"/>
    <s v="Male"/>
    <n v="44"/>
    <n v="3"/>
    <n v="2"/>
    <s v="Sales Executive"/>
    <s v="Very High"/>
    <s v="Single"/>
    <n v="4554"/>
    <s v="Low (&lt;5k)"/>
    <n v="20260"/>
    <n v="1"/>
    <x v="0"/>
    <n v="18"/>
    <n v="3"/>
    <n v="1"/>
    <n v="0"/>
    <n v="10"/>
    <n v="3"/>
    <s v="Good"/>
    <n v="10"/>
    <x v="2"/>
    <n v="7"/>
    <n v="0"/>
    <n v="9"/>
  </r>
  <r>
    <n v="29"/>
    <s v="Young Adults"/>
    <n v="1"/>
    <s v="Travel_Rarely"/>
    <n v="318"/>
    <x v="0"/>
    <n v="8"/>
    <s v="Moderate"/>
    <s v="Master"/>
    <s v="Other"/>
    <n v="2"/>
    <s v="Male"/>
    <n v="77"/>
    <n v="1"/>
    <n v="1"/>
    <s v="Laboratory Technician"/>
    <s v="Low"/>
    <s v="Married"/>
    <n v="2119"/>
    <s v="Low (&lt;5k)"/>
    <n v="4759"/>
    <n v="1"/>
    <x v="1"/>
    <n v="11"/>
    <n v="3"/>
    <n v="4"/>
    <n v="0"/>
    <n v="7"/>
    <n v="4"/>
    <s v="Good"/>
    <n v="7"/>
    <x v="1"/>
    <n v="7"/>
    <n v="0"/>
    <n v="7"/>
  </r>
  <r>
    <n v="29"/>
    <s v="Young Adults"/>
    <n v="0"/>
    <s v="Travel_Rarely"/>
    <n v="738"/>
    <x v="0"/>
    <n v="9"/>
    <s v="Moderate"/>
    <s v="Doctor"/>
    <s v="Other"/>
    <n v="2"/>
    <s v="Male"/>
    <n v="30"/>
    <n v="2"/>
    <n v="1"/>
    <s v="Laboratory Technician"/>
    <s v="Very High"/>
    <s v="Single"/>
    <n v="3983"/>
    <s v="Low (&lt;5k)"/>
    <n v="7621"/>
    <n v="0"/>
    <x v="0"/>
    <n v="17"/>
    <n v="3"/>
    <n v="3"/>
    <n v="0"/>
    <n v="4"/>
    <n v="2"/>
    <s v="Better"/>
    <n v="3"/>
    <x v="1"/>
    <n v="2"/>
    <n v="2"/>
    <n v="2"/>
  </r>
  <r>
    <n v="29"/>
    <s v="Young Adults"/>
    <n v="0"/>
    <s v="Travel_Rarely"/>
    <n v="144"/>
    <x v="1"/>
    <n v="10"/>
    <s v="Moderate"/>
    <s v="Below College"/>
    <s v="Marketing"/>
    <n v="4"/>
    <s v="Female"/>
    <n v="39"/>
    <n v="2"/>
    <n v="2"/>
    <s v="Sales Executive"/>
    <s v="Medium"/>
    <s v="Divorced"/>
    <n v="8268"/>
    <s v="Medium (5k-10k)"/>
    <n v="11866"/>
    <n v="1"/>
    <x v="1"/>
    <n v="14"/>
    <n v="3"/>
    <n v="1"/>
    <n v="2"/>
    <n v="7"/>
    <n v="2"/>
    <s v="Better"/>
    <n v="7"/>
    <x v="1"/>
    <n v="7"/>
    <n v="1"/>
    <n v="7"/>
  </r>
  <r>
    <n v="29"/>
    <s v="Young Adults"/>
    <n v="0"/>
    <s v="Non-Travel"/>
    <n v="746"/>
    <x v="1"/>
    <n v="2"/>
    <s v="Near Office"/>
    <s v="Bachelor"/>
    <s v="Life Sciences"/>
    <n v="4"/>
    <s v="Male"/>
    <n v="61"/>
    <n v="3"/>
    <n v="2"/>
    <s v="Sales Executive"/>
    <s v="High"/>
    <s v="Married"/>
    <n v="4649"/>
    <s v="Low (&lt;5k)"/>
    <n v="16928"/>
    <n v="1"/>
    <x v="0"/>
    <n v="14"/>
    <n v="3"/>
    <n v="1"/>
    <n v="1"/>
    <n v="4"/>
    <n v="3"/>
    <s v="Good"/>
    <n v="4"/>
    <x v="1"/>
    <n v="3"/>
    <n v="0"/>
    <n v="2"/>
  </r>
  <r>
    <n v="29"/>
    <s v="Young Adults"/>
    <n v="0"/>
    <s v="Travel_Rarely"/>
    <n v="1283"/>
    <x v="0"/>
    <n v="23"/>
    <s v="Long Commute"/>
    <s v="Bachelor"/>
    <s v="Life Sciences"/>
    <n v="4"/>
    <s v="Male"/>
    <n v="54"/>
    <n v="3"/>
    <n v="1"/>
    <s v="Research Scientist"/>
    <s v="Very High"/>
    <s v="Single"/>
    <n v="2201"/>
    <s v="Low (&lt;5k)"/>
    <n v="18168"/>
    <n v="9"/>
    <x v="0"/>
    <n v="16"/>
    <n v="3"/>
    <n v="4"/>
    <n v="0"/>
    <n v="6"/>
    <n v="4"/>
    <s v="Better"/>
    <n v="3"/>
    <x v="1"/>
    <n v="2"/>
    <n v="1"/>
    <n v="2"/>
  </r>
  <r>
    <n v="29"/>
    <s v="Young Adults"/>
    <n v="0"/>
    <s v="Travel_Rarely"/>
    <n v="986"/>
    <x v="0"/>
    <n v="3"/>
    <s v="Near Office"/>
    <s v="Master"/>
    <s v="Medical"/>
    <n v="2"/>
    <s v="Male"/>
    <n v="93"/>
    <n v="2"/>
    <n v="3"/>
    <s v="Research Director"/>
    <s v="High"/>
    <s v="Married"/>
    <n v="11935"/>
    <s v="High (&gt;10k)"/>
    <n v="21526"/>
    <n v="1"/>
    <x v="0"/>
    <n v="18"/>
    <n v="3"/>
    <n v="3"/>
    <n v="0"/>
    <n v="10"/>
    <n v="2"/>
    <s v="Better"/>
    <n v="10"/>
    <x v="2"/>
    <n v="2"/>
    <n v="0"/>
    <n v="7"/>
  </r>
  <r>
    <n v="29"/>
    <s v="Young Adults"/>
    <n v="1"/>
    <s v="Travel_Rarely"/>
    <n v="408"/>
    <x v="0"/>
    <n v="25"/>
    <s v="Long Commute"/>
    <s v="Doctor"/>
    <s v="Technical Degree"/>
    <n v="3"/>
    <s v="Female"/>
    <n v="71"/>
    <n v="2"/>
    <n v="1"/>
    <s v="Research Scientist"/>
    <s v="Medium"/>
    <s v="Married"/>
    <n v="2546"/>
    <s v="Low (&lt;5k)"/>
    <n v="18300"/>
    <n v="5"/>
    <x v="0"/>
    <n v="16"/>
    <n v="3"/>
    <n v="2"/>
    <n v="0"/>
    <n v="6"/>
    <n v="2"/>
    <s v="Best"/>
    <n v="2"/>
    <x v="0"/>
    <n v="2"/>
    <n v="1"/>
    <n v="1"/>
  </r>
  <r>
    <n v="29"/>
    <s v="Young Adults"/>
    <n v="0"/>
    <s v="Travel_Rarely"/>
    <n v="232"/>
    <x v="0"/>
    <n v="19"/>
    <s v="Long Commute"/>
    <s v="Bachelor"/>
    <s v="Technical Degree"/>
    <n v="4"/>
    <s v="Male"/>
    <n v="34"/>
    <n v="3"/>
    <n v="2"/>
    <s v="Manufacturing Director"/>
    <s v="Very High"/>
    <s v="Divorced"/>
    <n v="4262"/>
    <s v="Low (&lt;5k)"/>
    <n v="22645"/>
    <n v="4"/>
    <x v="0"/>
    <n v="12"/>
    <n v="3"/>
    <n v="2"/>
    <n v="2"/>
    <n v="8"/>
    <n v="2"/>
    <s v="Best"/>
    <n v="3"/>
    <x v="1"/>
    <n v="2"/>
    <n v="1"/>
    <n v="2"/>
  </r>
  <r>
    <n v="29"/>
    <s v="Young Adults"/>
    <n v="0"/>
    <s v="Travel_Rarely"/>
    <n v="1176"/>
    <x v="1"/>
    <n v="3"/>
    <s v="Near Office"/>
    <s v="College"/>
    <s v="Medical"/>
    <n v="2"/>
    <s v="Female"/>
    <n v="62"/>
    <n v="3"/>
    <n v="2"/>
    <s v="Sales Executive"/>
    <s v="High"/>
    <s v="Married"/>
    <n v="5561"/>
    <s v="Medium (5k-10k)"/>
    <n v="3487"/>
    <n v="1"/>
    <x v="0"/>
    <n v="14"/>
    <n v="3"/>
    <n v="1"/>
    <n v="1"/>
    <n v="6"/>
    <n v="5"/>
    <s v="Good"/>
    <n v="6"/>
    <x v="1"/>
    <n v="0"/>
    <n v="1"/>
    <n v="2"/>
  </r>
  <r>
    <n v="29"/>
    <s v="Young Adults"/>
    <n v="0"/>
    <s v="Travel_Frequently"/>
    <n v="806"/>
    <x v="0"/>
    <n v="1"/>
    <s v="Near Office"/>
    <s v="Master"/>
    <s v="Life Sciences"/>
    <n v="2"/>
    <s v="Male"/>
    <n v="76"/>
    <n v="1"/>
    <n v="1"/>
    <s v="Research Scientist"/>
    <s v="Very High"/>
    <s v="Divorced"/>
    <n v="2720"/>
    <s v="Low (&lt;5k)"/>
    <n v="18959"/>
    <n v="1"/>
    <x v="0"/>
    <n v="18"/>
    <n v="3"/>
    <n v="4"/>
    <n v="1"/>
    <n v="10"/>
    <n v="5"/>
    <s v="Better"/>
    <n v="10"/>
    <x v="2"/>
    <n v="7"/>
    <n v="2"/>
    <n v="8"/>
  </r>
  <r>
    <n v="29"/>
    <s v="Young Adults"/>
    <n v="0"/>
    <s v="Travel_Rarely"/>
    <n v="1396"/>
    <x v="1"/>
    <n v="10"/>
    <s v="Moderate"/>
    <s v="Bachelor"/>
    <s v="Life Sciences"/>
    <n v="3"/>
    <s v="Male"/>
    <n v="99"/>
    <n v="3"/>
    <n v="1"/>
    <s v="Sales Representative"/>
    <s v="High"/>
    <s v="Single"/>
    <n v="2642"/>
    <s v="Low (&lt;5k)"/>
    <n v="2755"/>
    <n v="1"/>
    <x v="0"/>
    <n v="11"/>
    <n v="3"/>
    <n v="3"/>
    <n v="0"/>
    <n v="1"/>
    <n v="6"/>
    <s v="Better"/>
    <n v="1"/>
    <x v="0"/>
    <n v="0"/>
    <n v="0"/>
    <n v="0"/>
  </r>
  <r>
    <n v="29"/>
    <s v="Young Adults"/>
    <n v="0"/>
    <s v="Travel_Rarely"/>
    <n v="1090"/>
    <x v="1"/>
    <n v="10"/>
    <s v="Moderate"/>
    <s v="Bachelor"/>
    <s v="Marketing"/>
    <n v="4"/>
    <s v="Male"/>
    <n v="83"/>
    <n v="3"/>
    <n v="1"/>
    <s v="Sales Representative"/>
    <s v="Medium"/>
    <s v="Divorced"/>
    <n v="2297"/>
    <s v="Low (&lt;5k)"/>
    <n v="17967"/>
    <n v="1"/>
    <x v="0"/>
    <n v="14"/>
    <n v="3"/>
    <n v="4"/>
    <n v="2"/>
    <n v="2"/>
    <n v="2"/>
    <s v="Better"/>
    <n v="2"/>
    <x v="0"/>
    <n v="2"/>
    <n v="2"/>
    <n v="2"/>
  </r>
  <r>
    <n v="29"/>
    <s v="Young Adults"/>
    <n v="0"/>
    <s v="Travel_Rarely"/>
    <n v="657"/>
    <x v="0"/>
    <n v="27"/>
    <s v="Long Commute"/>
    <s v="Bachelor"/>
    <s v="Medical"/>
    <n v="2"/>
    <s v="Female"/>
    <n v="66"/>
    <n v="3"/>
    <n v="2"/>
    <s v="Healthcare Representative"/>
    <s v="High"/>
    <s v="Married"/>
    <n v="4335"/>
    <s v="Low (&lt;5k)"/>
    <n v="25549"/>
    <n v="4"/>
    <x v="0"/>
    <n v="12"/>
    <n v="3"/>
    <n v="1"/>
    <n v="1"/>
    <n v="11"/>
    <n v="3"/>
    <s v="Good"/>
    <n v="8"/>
    <x v="1"/>
    <n v="7"/>
    <n v="1"/>
    <n v="1"/>
  </r>
  <r>
    <n v="29"/>
    <s v="Young Adults"/>
    <n v="1"/>
    <s v="Travel_Rarely"/>
    <n v="805"/>
    <x v="0"/>
    <n v="1"/>
    <s v="Near Office"/>
    <s v="College"/>
    <s v="Life Sciences"/>
    <n v="2"/>
    <s v="Female"/>
    <n v="36"/>
    <n v="2"/>
    <n v="1"/>
    <s v="Laboratory Technician"/>
    <s v="Low"/>
    <s v="Married"/>
    <n v="2319"/>
    <s v="Low (&lt;5k)"/>
    <n v="6689"/>
    <n v="1"/>
    <x v="1"/>
    <n v="11"/>
    <n v="3"/>
    <n v="4"/>
    <n v="1"/>
    <n v="1"/>
    <n v="1"/>
    <s v="Better"/>
    <n v="1"/>
    <x v="0"/>
    <n v="0"/>
    <n v="0"/>
    <n v="0"/>
  </r>
  <r>
    <n v="29"/>
    <s v="Young Adults"/>
    <n v="0"/>
    <s v="Travel_Rarely"/>
    <n v="1252"/>
    <x v="0"/>
    <n v="23"/>
    <s v="Long Commute"/>
    <s v="College"/>
    <s v="Life Sciences"/>
    <n v="3"/>
    <s v="Male"/>
    <n v="81"/>
    <n v="4"/>
    <n v="1"/>
    <s v="Research Scientist"/>
    <s v="High"/>
    <s v="Married"/>
    <n v="2700"/>
    <s v="Low (&lt;5k)"/>
    <n v="23779"/>
    <n v="1"/>
    <x v="0"/>
    <n v="24"/>
    <n v="4"/>
    <n v="3"/>
    <n v="1"/>
    <n v="10"/>
    <n v="3"/>
    <s v="Better"/>
    <n v="10"/>
    <x v="2"/>
    <n v="7"/>
    <n v="0"/>
    <n v="7"/>
  </r>
  <r>
    <n v="29"/>
    <s v="Young Adults"/>
    <n v="1"/>
    <s v="Travel_Rarely"/>
    <n v="341"/>
    <x v="1"/>
    <n v="1"/>
    <s v="Near Office"/>
    <s v="Bachelor"/>
    <s v="Medical"/>
    <n v="2"/>
    <s v="Female"/>
    <n v="48"/>
    <n v="2"/>
    <n v="1"/>
    <s v="Sales Representative"/>
    <s v="High"/>
    <s v="Divorced"/>
    <n v="2800"/>
    <s v="Low (&lt;5k)"/>
    <n v="23522"/>
    <n v="6"/>
    <x v="1"/>
    <n v="19"/>
    <n v="3"/>
    <n v="3"/>
    <n v="3"/>
    <n v="5"/>
    <n v="3"/>
    <s v="Better"/>
    <n v="3"/>
    <x v="1"/>
    <n v="2"/>
    <n v="0"/>
    <n v="2"/>
  </r>
  <r>
    <n v="29"/>
    <s v="Young Adults"/>
    <n v="0"/>
    <s v="Travel_Rarely"/>
    <n v="1086"/>
    <x v="0"/>
    <n v="7"/>
    <s v="Moderate"/>
    <s v="Below College"/>
    <s v="Medical"/>
    <n v="1"/>
    <s v="Female"/>
    <n v="62"/>
    <n v="2"/>
    <n v="1"/>
    <s v="Laboratory Technician"/>
    <s v="Very High"/>
    <s v="Divorced"/>
    <n v="2532"/>
    <s v="Low (&lt;5k)"/>
    <n v="6054"/>
    <n v="6"/>
    <x v="0"/>
    <n v="14"/>
    <n v="3"/>
    <n v="3"/>
    <n v="3"/>
    <n v="8"/>
    <n v="5"/>
    <s v="Better"/>
    <n v="4"/>
    <x v="1"/>
    <n v="3"/>
    <n v="0"/>
    <n v="3"/>
  </r>
  <r>
    <n v="29"/>
    <s v="Young Adults"/>
    <n v="0"/>
    <s v="Travel_Frequently"/>
    <n v="1404"/>
    <x v="1"/>
    <n v="20"/>
    <s v="Long Commute"/>
    <s v="Bachelor"/>
    <s v="Technical Degree"/>
    <n v="3"/>
    <s v="Female"/>
    <n v="84"/>
    <n v="3"/>
    <n v="1"/>
    <s v="Sales Representative"/>
    <s v="Very High"/>
    <s v="Married"/>
    <n v="2157"/>
    <s v="Low (&lt;5k)"/>
    <n v="18203"/>
    <n v="1"/>
    <x v="0"/>
    <n v="15"/>
    <n v="3"/>
    <n v="2"/>
    <n v="1"/>
    <n v="3"/>
    <n v="5"/>
    <s v="Better"/>
    <n v="3"/>
    <x v="1"/>
    <n v="1"/>
    <n v="0"/>
    <n v="2"/>
  </r>
  <r>
    <n v="29"/>
    <s v="Young Adults"/>
    <n v="1"/>
    <s v="Travel_Rarely"/>
    <n v="906"/>
    <x v="0"/>
    <n v="10"/>
    <s v="Moderate"/>
    <s v="Bachelor"/>
    <s v="Life Sciences"/>
    <n v="4"/>
    <s v="Female"/>
    <n v="92"/>
    <n v="2"/>
    <n v="1"/>
    <s v="Research Scientist"/>
    <s v="Low"/>
    <s v="Single"/>
    <n v="2404"/>
    <s v="Low (&lt;5k)"/>
    <n v="11479"/>
    <n v="6"/>
    <x v="1"/>
    <n v="20"/>
    <n v="4"/>
    <n v="3"/>
    <n v="0"/>
    <n v="3"/>
    <n v="5"/>
    <s v="Better"/>
    <n v="0"/>
    <x v="0"/>
    <n v="0"/>
    <n v="0"/>
    <n v="0"/>
  </r>
  <r>
    <n v="29"/>
    <s v="Young Adults"/>
    <n v="0"/>
    <s v="Travel_Rarely"/>
    <n v="1107"/>
    <x v="0"/>
    <n v="28"/>
    <s v="Long Commute"/>
    <s v="Master"/>
    <s v="Life Sciences"/>
    <n v="3"/>
    <s v="Female"/>
    <n v="93"/>
    <n v="3"/>
    <n v="1"/>
    <s v="Research Scientist"/>
    <s v="Very High"/>
    <s v="Divorced"/>
    <n v="2514"/>
    <s v="Low (&lt;5k)"/>
    <n v="26968"/>
    <n v="4"/>
    <x v="0"/>
    <n v="22"/>
    <n v="4"/>
    <n v="1"/>
    <n v="1"/>
    <n v="11"/>
    <n v="1"/>
    <s v="Better"/>
    <n v="7"/>
    <x v="1"/>
    <n v="5"/>
    <n v="1"/>
    <n v="7"/>
  </r>
  <r>
    <n v="29"/>
    <s v="Young Adults"/>
    <n v="0"/>
    <s v="Travel_Frequently"/>
    <n v="490"/>
    <x v="0"/>
    <n v="10"/>
    <s v="Moderate"/>
    <s v="Bachelor"/>
    <s v="Life Sciences"/>
    <n v="4"/>
    <s v="Female"/>
    <n v="61"/>
    <n v="3"/>
    <n v="1"/>
    <s v="Research Scientist"/>
    <s v="Medium"/>
    <s v="Divorced"/>
    <n v="3291"/>
    <s v="Low (&lt;5k)"/>
    <n v="17940"/>
    <n v="0"/>
    <x v="0"/>
    <n v="14"/>
    <n v="3"/>
    <n v="4"/>
    <n v="2"/>
    <n v="8"/>
    <n v="2"/>
    <s v="Good"/>
    <n v="7"/>
    <x v="1"/>
    <n v="5"/>
    <n v="1"/>
    <n v="1"/>
  </r>
  <r>
    <n v="29"/>
    <s v="Young Adults"/>
    <n v="0"/>
    <s v="Travel_Rarely"/>
    <n v="718"/>
    <x v="0"/>
    <n v="8"/>
    <s v="Moderate"/>
    <s v="Below College"/>
    <s v="Medical"/>
    <n v="2"/>
    <s v="Male"/>
    <n v="79"/>
    <n v="2"/>
    <n v="2"/>
    <s v="Manufacturing Director"/>
    <s v="Very High"/>
    <s v="Married"/>
    <n v="5056"/>
    <s v="Medium (5k-10k)"/>
    <n v="17689"/>
    <n v="1"/>
    <x v="1"/>
    <n v="15"/>
    <n v="3"/>
    <n v="3"/>
    <n v="1"/>
    <n v="10"/>
    <n v="2"/>
    <s v="Good"/>
    <n v="10"/>
    <x v="2"/>
    <n v="7"/>
    <n v="1"/>
    <n v="2"/>
  </r>
  <r>
    <n v="29"/>
    <s v="Young Adults"/>
    <n v="1"/>
    <s v="Travel_Rarely"/>
    <n v="408"/>
    <x v="1"/>
    <n v="23"/>
    <s v="Long Commute"/>
    <s v="Below College"/>
    <s v="Life Sciences"/>
    <n v="4"/>
    <s v="Female"/>
    <n v="45"/>
    <n v="2"/>
    <n v="3"/>
    <s v="Sales Executive"/>
    <s v="Low"/>
    <s v="Married"/>
    <n v="7336"/>
    <s v="Medium (5k-10k)"/>
    <n v="11162"/>
    <n v="1"/>
    <x v="0"/>
    <n v="13"/>
    <n v="3"/>
    <n v="1"/>
    <n v="1"/>
    <n v="11"/>
    <n v="3"/>
    <s v="Bad"/>
    <n v="11"/>
    <x v="2"/>
    <n v="8"/>
    <n v="3"/>
    <n v="10"/>
  </r>
  <r>
    <n v="29"/>
    <s v="Young Adults"/>
    <n v="0"/>
    <s v="Travel_Rarely"/>
    <n v="1401"/>
    <x v="0"/>
    <n v="6"/>
    <s v="Moderate"/>
    <s v="Below College"/>
    <s v="Medical"/>
    <n v="2"/>
    <s v="Female"/>
    <n v="54"/>
    <n v="3"/>
    <n v="1"/>
    <s v="Laboratory Technician"/>
    <s v="Very High"/>
    <s v="Married"/>
    <n v="3131"/>
    <s v="Low (&lt;5k)"/>
    <n v="26342"/>
    <n v="1"/>
    <x v="0"/>
    <n v="13"/>
    <n v="3"/>
    <n v="1"/>
    <n v="1"/>
    <n v="10"/>
    <n v="5"/>
    <s v="Better"/>
    <n v="10"/>
    <x v="2"/>
    <n v="8"/>
    <n v="0"/>
    <n v="8"/>
  </r>
  <r>
    <n v="29"/>
    <s v="Young Adults"/>
    <n v="0"/>
    <s v="Travel_Rarely"/>
    <n v="942"/>
    <x v="0"/>
    <n v="15"/>
    <s v="Moderate"/>
    <s v="Below College"/>
    <s v="Life Sciences"/>
    <n v="2"/>
    <s v="Female"/>
    <n v="69"/>
    <n v="1"/>
    <n v="1"/>
    <s v="Research Scientist"/>
    <s v="Very High"/>
    <s v="Married"/>
    <n v="2168"/>
    <s v="Low (&lt;5k)"/>
    <n v="26933"/>
    <n v="0"/>
    <x v="1"/>
    <n v="18"/>
    <n v="3"/>
    <n v="1"/>
    <n v="1"/>
    <n v="6"/>
    <n v="2"/>
    <s v="Good"/>
    <n v="5"/>
    <x v="1"/>
    <n v="4"/>
    <n v="1"/>
    <n v="3"/>
  </r>
  <r>
    <n v="29"/>
    <s v="Young Adults"/>
    <n v="0"/>
    <s v="Travel_Rarely"/>
    <n v="1010"/>
    <x v="0"/>
    <n v="1"/>
    <s v="Near Office"/>
    <s v="Bachelor"/>
    <s v="Life Sciences"/>
    <n v="1"/>
    <s v="Female"/>
    <n v="97"/>
    <n v="3"/>
    <n v="1"/>
    <s v="Research Scientist"/>
    <s v="Very High"/>
    <s v="Divorced"/>
    <n v="3760"/>
    <s v="Low (&lt;5k)"/>
    <n v="5598"/>
    <n v="1"/>
    <x v="0"/>
    <n v="15"/>
    <n v="3"/>
    <n v="1"/>
    <n v="3"/>
    <n v="3"/>
    <n v="5"/>
    <s v="Better"/>
    <n v="3"/>
    <x v="1"/>
    <n v="2"/>
    <n v="1"/>
    <n v="2"/>
  </r>
  <r>
    <n v="29"/>
    <s v="Young Adults"/>
    <n v="0"/>
    <s v="Travel_Rarely"/>
    <n v="1329"/>
    <x v="0"/>
    <n v="7"/>
    <s v="Moderate"/>
    <s v="Bachelor"/>
    <s v="Life Sciences"/>
    <n v="3"/>
    <s v="Male"/>
    <n v="82"/>
    <n v="3"/>
    <n v="2"/>
    <s v="Healthcare Representative"/>
    <s v="Very High"/>
    <s v="Divorced"/>
    <n v="6623"/>
    <s v="Medium (5k-10k)"/>
    <n v="4204"/>
    <n v="1"/>
    <x v="1"/>
    <n v="11"/>
    <n v="3"/>
    <n v="2"/>
    <n v="2"/>
    <n v="6"/>
    <n v="2"/>
    <s v="Better"/>
    <n v="6"/>
    <x v="1"/>
    <n v="0"/>
    <n v="1"/>
    <n v="0"/>
  </r>
  <r>
    <n v="29"/>
    <s v="Young Adults"/>
    <n v="0"/>
    <s v="Travel_Rarely"/>
    <n v="694"/>
    <x v="0"/>
    <n v="1"/>
    <s v="Near Office"/>
    <s v="Bachelor"/>
    <s v="Life Sciences"/>
    <n v="4"/>
    <s v="Female"/>
    <n v="87"/>
    <n v="2"/>
    <n v="4"/>
    <s v="Research Director"/>
    <s v="Very High"/>
    <s v="Divorced"/>
    <n v="16124"/>
    <s v="High (&gt;10k)"/>
    <n v="3423"/>
    <n v="3"/>
    <x v="0"/>
    <n v="14"/>
    <n v="3"/>
    <n v="2"/>
    <n v="2"/>
    <n v="9"/>
    <n v="2"/>
    <s v="Good"/>
    <n v="7"/>
    <x v="1"/>
    <n v="7"/>
    <n v="1"/>
    <n v="7"/>
  </r>
  <r>
    <n v="29"/>
    <s v="Young Adults"/>
    <n v="1"/>
    <s v="Travel_Rarely"/>
    <n v="806"/>
    <x v="0"/>
    <n v="7"/>
    <s v="Moderate"/>
    <s v="Bachelor"/>
    <s v="Technical Degree"/>
    <n v="2"/>
    <s v="Female"/>
    <n v="39"/>
    <n v="3"/>
    <n v="1"/>
    <s v="Laboratory Technician"/>
    <s v="High"/>
    <s v="Divorced"/>
    <n v="3339"/>
    <s v="Low (&lt;5k)"/>
    <n v="17285"/>
    <n v="3"/>
    <x v="1"/>
    <n v="13"/>
    <n v="3"/>
    <n v="1"/>
    <n v="2"/>
    <n v="10"/>
    <n v="2"/>
    <s v="Better"/>
    <n v="7"/>
    <x v="1"/>
    <n v="7"/>
    <n v="7"/>
    <n v="7"/>
  </r>
  <r>
    <n v="29"/>
    <s v="Young Adults"/>
    <n v="0"/>
    <s v="Travel_Rarely"/>
    <n v="332"/>
    <x v="2"/>
    <n v="17"/>
    <s v="Long Commute"/>
    <s v="Bachelor"/>
    <s v="Other"/>
    <n v="2"/>
    <s v="Male"/>
    <n v="51"/>
    <n v="2"/>
    <n v="3"/>
    <s v="Human Resources"/>
    <s v="Low"/>
    <s v="Single"/>
    <n v="7988"/>
    <s v="Medium (5k-10k)"/>
    <n v="9769"/>
    <n v="1"/>
    <x v="0"/>
    <n v="13"/>
    <n v="3"/>
    <n v="1"/>
    <n v="0"/>
    <n v="10"/>
    <n v="3"/>
    <s v="Good"/>
    <n v="10"/>
    <x v="2"/>
    <n v="9"/>
    <n v="0"/>
    <n v="9"/>
  </r>
  <r>
    <n v="29"/>
    <s v="Young Adults"/>
    <n v="1"/>
    <s v="Travel_Frequently"/>
    <n v="337"/>
    <x v="0"/>
    <n v="14"/>
    <s v="Moderate"/>
    <s v="Below College"/>
    <s v="Other"/>
    <n v="3"/>
    <s v="Female"/>
    <n v="84"/>
    <n v="3"/>
    <n v="3"/>
    <s v="Healthcare Representative"/>
    <s v="Very High"/>
    <s v="Single"/>
    <n v="7553"/>
    <s v="Medium (5k-10k)"/>
    <n v="22930"/>
    <n v="0"/>
    <x v="1"/>
    <n v="12"/>
    <n v="3"/>
    <n v="1"/>
    <n v="0"/>
    <n v="9"/>
    <n v="1"/>
    <s v="Better"/>
    <n v="8"/>
    <x v="1"/>
    <n v="7"/>
    <n v="7"/>
    <n v="7"/>
  </r>
  <r>
    <n v="29"/>
    <s v="Young Adults"/>
    <n v="1"/>
    <s v="Travel_Frequently"/>
    <n v="115"/>
    <x v="1"/>
    <n v="13"/>
    <s v="Moderate"/>
    <s v="Bachelor"/>
    <s v="Technical Degree"/>
    <n v="1"/>
    <s v="Female"/>
    <n v="51"/>
    <n v="3"/>
    <n v="2"/>
    <s v="Sales Executive"/>
    <s v="Medium"/>
    <s v="Single"/>
    <n v="5765"/>
    <s v="Medium (5k-10k)"/>
    <n v="17485"/>
    <n v="5"/>
    <x v="0"/>
    <n v="11"/>
    <n v="3"/>
    <n v="1"/>
    <n v="0"/>
    <n v="7"/>
    <n v="4"/>
    <s v="Bad"/>
    <n v="5"/>
    <x v="1"/>
    <n v="3"/>
    <n v="0"/>
    <n v="0"/>
  </r>
  <r>
    <n v="29"/>
    <s v="Young Adults"/>
    <n v="0"/>
    <s v="Travel_Rarely"/>
    <n v="1246"/>
    <x v="1"/>
    <n v="19"/>
    <s v="Long Commute"/>
    <s v="Bachelor"/>
    <s v="Life Sciences"/>
    <n v="3"/>
    <s v="Male"/>
    <n v="77"/>
    <n v="2"/>
    <n v="2"/>
    <s v="Sales Executive"/>
    <s v="High"/>
    <s v="Divorced"/>
    <n v="8620"/>
    <s v="Medium (5k-10k)"/>
    <n v="23757"/>
    <n v="1"/>
    <x v="0"/>
    <n v="14"/>
    <n v="3"/>
    <n v="3"/>
    <n v="2"/>
    <n v="10"/>
    <n v="3"/>
    <s v="Better"/>
    <n v="10"/>
    <x v="2"/>
    <n v="7"/>
    <n v="0"/>
    <n v="4"/>
  </r>
  <r>
    <n v="29"/>
    <s v="Young Adults"/>
    <n v="0"/>
    <s v="Travel_Frequently"/>
    <n v="410"/>
    <x v="0"/>
    <n v="2"/>
    <s v="Near Office"/>
    <s v="Below College"/>
    <s v="Life Sciences"/>
    <n v="4"/>
    <s v="Female"/>
    <n v="97"/>
    <n v="3"/>
    <n v="1"/>
    <s v="Laboratory Technician"/>
    <s v="Medium"/>
    <s v="Married"/>
    <n v="3180"/>
    <s v="Low (&lt;5k)"/>
    <n v="4668"/>
    <n v="0"/>
    <x v="0"/>
    <n v="13"/>
    <n v="3"/>
    <n v="3"/>
    <n v="3"/>
    <n v="4"/>
    <n v="3"/>
    <s v="Better"/>
    <n v="3"/>
    <x v="1"/>
    <n v="2"/>
    <n v="0"/>
    <n v="2"/>
  </r>
  <r>
    <n v="29"/>
    <s v="Young Adults"/>
    <n v="1"/>
    <s v="Travel_Rarely"/>
    <n v="224"/>
    <x v="0"/>
    <n v="1"/>
    <s v="Near Office"/>
    <s v="Master"/>
    <s v="Technical Degree"/>
    <n v="1"/>
    <s v="Male"/>
    <n v="100"/>
    <n v="2"/>
    <n v="1"/>
    <s v="Research Scientist"/>
    <s v="Low"/>
    <s v="Single"/>
    <n v="2362"/>
    <s v="Low (&lt;5k)"/>
    <n v="7568"/>
    <n v="6"/>
    <x v="0"/>
    <n v="13"/>
    <n v="3"/>
    <n v="3"/>
    <n v="0"/>
    <n v="11"/>
    <n v="2"/>
    <s v="Bad"/>
    <n v="9"/>
    <x v="1"/>
    <n v="7"/>
    <n v="0"/>
    <n v="7"/>
  </r>
  <r>
    <n v="29"/>
    <s v="Young Adults"/>
    <n v="0"/>
    <s v="Travel_Rarely"/>
    <n v="441"/>
    <x v="0"/>
    <n v="8"/>
    <s v="Moderate"/>
    <s v="Below College"/>
    <s v="Other"/>
    <n v="3"/>
    <s v="Female"/>
    <n v="39"/>
    <n v="1"/>
    <n v="2"/>
    <s v="Healthcare Representative"/>
    <s v="Low"/>
    <s v="Married"/>
    <n v="9715"/>
    <s v="Medium (5k-10k)"/>
    <n v="7288"/>
    <n v="3"/>
    <x v="0"/>
    <n v="13"/>
    <n v="3"/>
    <n v="3"/>
    <n v="1"/>
    <n v="9"/>
    <n v="3"/>
    <s v="Better"/>
    <n v="7"/>
    <x v="1"/>
    <n v="7"/>
    <n v="0"/>
    <n v="7"/>
  </r>
  <r>
    <n v="29"/>
    <s v="Young Adults"/>
    <n v="0"/>
    <s v="Travel_Rarely"/>
    <n v="598"/>
    <x v="0"/>
    <n v="9"/>
    <s v="Moderate"/>
    <s v="Bachelor"/>
    <s v="Life Sciences"/>
    <n v="3"/>
    <s v="Male"/>
    <n v="91"/>
    <n v="4"/>
    <n v="1"/>
    <s v="Research Scientist"/>
    <s v="High"/>
    <s v="Married"/>
    <n v="2451"/>
    <s v="Low (&lt;5k)"/>
    <n v="22376"/>
    <n v="6"/>
    <x v="0"/>
    <n v="18"/>
    <n v="3"/>
    <n v="1"/>
    <n v="2"/>
    <n v="5"/>
    <n v="2"/>
    <s v="Good"/>
    <n v="1"/>
    <x v="0"/>
    <n v="0"/>
    <n v="0"/>
    <n v="0"/>
  </r>
  <r>
    <n v="29"/>
    <s v="Young Adults"/>
    <n v="0"/>
    <s v="Travel_Rarely"/>
    <n v="1370"/>
    <x v="0"/>
    <n v="3"/>
    <s v="Near Office"/>
    <s v="Below College"/>
    <s v="Medical"/>
    <n v="2"/>
    <s v="Male"/>
    <n v="87"/>
    <n v="3"/>
    <n v="1"/>
    <s v="Laboratory Technician"/>
    <s v="Low"/>
    <s v="Single"/>
    <n v="4723"/>
    <s v="Low (&lt;5k)"/>
    <n v="16213"/>
    <n v="1"/>
    <x v="1"/>
    <n v="18"/>
    <n v="3"/>
    <n v="4"/>
    <n v="0"/>
    <n v="10"/>
    <n v="3"/>
    <s v="Better"/>
    <n v="10"/>
    <x v="2"/>
    <n v="9"/>
    <n v="1"/>
    <n v="5"/>
  </r>
  <r>
    <n v="29"/>
    <s v="Young Adults"/>
    <n v="0"/>
    <s v="Travel_Frequently"/>
    <n v="995"/>
    <x v="0"/>
    <n v="2"/>
    <s v="Near Office"/>
    <s v="Below College"/>
    <s v="Life Sciences"/>
    <n v="1"/>
    <s v="Male"/>
    <n v="87"/>
    <n v="3"/>
    <n v="2"/>
    <s v="Healthcare Representative"/>
    <s v="Very High"/>
    <s v="Divorced"/>
    <n v="8853"/>
    <s v="Medium (5k-10k)"/>
    <n v="24483"/>
    <n v="1"/>
    <x v="0"/>
    <n v="19"/>
    <n v="3"/>
    <n v="4"/>
    <n v="1"/>
    <n v="6"/>
    <n v="0"/>
    <s v="Best"/>
    <n v="6"/>
    <x v="1"/>
    <n v="4"/>
    <n v="1"/>
    <n v="3"/>
  </r>
  <r>
    <n v="29"/>
    <s v="Young Adults"/>
    <n v="0"/>
    <s v="Travel_Rarely"/>
    <n v="469"/>
    <x v="1"/>
    <n v="10"/>
    <s v="Moderate"/>
    <s v="Bachelor"/>
    <s v="Medical"/>
    <n v="3"/>
    <s v="Male"/>
    <n v="42"/>
    <n v="2"/>
    <n v="2"/>
    <s v="Sales Executive"/>
    <s v="High"/>
    <s v="Single"/>
    <n v="5869"/>
    <s v="Medium (5k-10k)"/>
    <n v="23413"/>
    <n v="9"/>
    <x v="0"/>
    <n v="11"/>
    <n v="3"/>
    <n v="3"/>
    <n v="0"/>
    <n v="8"/>
    <n v="2"/>
    <s v="Better"/>
    <n v="5"/>
    <x v="1"/>
    <n v="2"/>
    <n v="1"/>
    <n v="4"/>
  </r>
  <r>
    <n v="29"/>
    <s v="Young Adults"/>
    <n v="0"/>
    <s v="Travel_Rarely"/>
    <n v="991"/>
    <x v="1"/>
    <n v="5"/>
    <s v="Near Office"/>
    <s v="Bachelor"/>
    <s v="Medical"/>
    <n v="1"/>
    <s v="Male"/>
    <n v="43"/>
    <n v="2"/>
    <n v="2"/>
    <s v="Sales Executive"/>
    <s v="Medium"/>
    <s v="Divorced"/>
    <n v="4187"/>
    <s v="Low (&lt;5k)"/>
    <n v="3356"/>
    <n v="1"/>
    <x v="1"/>
    <n v="13"/>
    <n v="3"/>
    <n v="2"/>
    <n v="1"/>
    <n v="10"/>
    <n v="3"/>
    <s v="Good"/>
    <n v="10"/>
    <x v="2"/>
    <n v="0"/>
    <n v="0"/>
    <n v="9"/>
  </r>
  <r>
    <n v="29"/>
    <s v="Young Adults"/>
    <n v="0"/>
    <s v="Travel_Rarely"/>
    <n v="1082"/>
    <x v="0"/>
    <n v="9"/>
    <s v="Moderate"/>
    <s v="Master"/>
    <s v="Medical"/>
    <n v="4"/>
    <s v="Female"/>
    <n v="43"/>
    <n v="3"/>
    <n v="1"/>
    <s v="Laboratory Technician"/>
    <s v="High"/>
    <s v="Married"/>
    <n v="2974"/>
    <s v="Low (&lt;5k)"/>
    <n v="25412"/>
    <n v="9"/>
    <x v="0"/>
    <n v="17"/>
    <n v="3"/>
    <n v="3"/>
    <n v="1"/>
    <n v="9"/>
    <n v="2"/>
    <s v="Better"/>
    <n v="5"/>
    <x v="1"/>
    <n v="3"/>
    <n v="1"/>
    <n v="2"/>
  </r>
  <r>
    <n v="29"/>
    <s v="Young Adults"/>
    <n v="1"/>
    <s v="Travel_Rarely"/>
    <n v="428"/>
    <x v="1"/>
    <n v="9"/>
    <s v="Moderate"/>
    <s v="Bachelor"/>
    <s v="Marketing"/>
    <n v="2"/>
    <s v="Female"/>
    <n v="52"/>
    <n v="1"/>
    <n v="1"/>
    <s v="Sales Representative"/>
    <s v="Medium"/>
    <s v="Single"/>
    <n v="2760"/>
    <s v="Low (&lt;5k)"/>
    <n v="14630"/>
    <n v="1"/>
    <x v="0"/>
    <n v="13"/>
    <n v="3"/>
    <n v="3"/>
    <n v="0"/>
    <n v="2"/>
    <n v="3"/>
    <s v="Better"/>
    <n v="2"/>
    <x v="0"/>
    <n v="2"/>
    <n v="2"/>
    <n v="2"/>
  </r>
  <r>
    <n v="29"/>
    <s v="Young Adults"/>
    <n v="0"/>
    <s v="Travel_Frequently"/>
    <n v="461"/>
    <x v="0"/>
    <n v="1"/>
    <s v="Near Office"/>
    <s v="Bachelor"/>
    <s v="Life Sciences"/>
    <n v="4"/>
    <s v="Male"/>
    <n v="70"/>
    <n v="4"/>
    <n v="2"/>
    <s v="Healthcare Representative"/>
    <s v="High"/>
    <s v="Single"/>
    <n v="6294"/>
    <s v="Medium (5k-10k)"/>
    <n v="23060"/>
    <n v="8"/>
    <x v="1"/>
    <n v="12"/>
    <n v="3"/>
    <n v="4"/>
    <n v="0"/>
    <n v="10"/>
    <n v="5"/>
    <s v="Best"/>
    <n v="3"/>
    <x v="1"/>
    <n v="2"/>
    <n v="0"/>
    <n v="2"/>
  </r>
  <r>
    <n v="29"/>
    <s v="Young Adults"/>
    <n v="0"/>
    <s v="Travel_Rarely"/>
    <n v="590"/>
    <x v="0"/>
    <n v="4"/>
    <s v="Near Office"/>
    <s v="Bachelor"/>
    <s v="Technical Degree"/>
    <n v="4"/>
    <s v="Female"/>
    <n v="91"/>
    <n v="2"/>
    <n v="1"/>
    <s v="Research Scientist"/>
    <s v="Low"/>
    <s v="Divorced"/>
    <n v="2109"/>
    <s v="Low (&lt;5k)"/>
    <n v="10007"/>
    <n v="1"/>
    <x v="0"/>
    <n v="13"/>
    <n v="3"/>
    <n v="3"/>
    <n v="1"/>
    <n v="1"/>
    <n v="2"/>
    <s v="Better"/>
    <n v="1"/>
    <x v="0"/>
    <n v="0"/>
    <n v="0"/>
    <n v="0"/>
  </r>
  <r>
    <n v="29"/>
    <s v="Young Adults"/>
    <n v="1"/>
    <s v="Travel_Rarely"/>
    <n v="350"/>
    <x v="2"/>
    <n v="13"/>
    <s v="Moderate"/>
    <s v="Bachelor"/>
    <s v="Human Resources"/>
    <n v="1"/>
    <s v="Male"/>
    <n v="56"/>
    <n v="2"/>
    <n v="1"/>
    <s v="Human Resources"/>
    <s v="Low"/>
    <s v="Divorced"/>
    <n v="2335"/>
    <s v="Low (&lt;5k)"/>
    <n v="3157"/>
    <n v="4"/>
    <x v="1"/>
    <n v="15"/>
    <n v="3"/>
    <n v="4"/>
    <n v="3"/>
    <n v="4"/>
    <n v="3"/>
    <s v="Better"/>
    <n v="2"/>
    <x v="0"/>
    <n v="2"/>
    <n v="2"/>
    <n v="0"/>
  </r>
  <r>
    <n v="29"/>
    <s v="Young Adults"/>
    <n v="0"/>
    <s v="Travel_Frequently"/>
    <n v="574"/>
    <x v="0"/>
    <n v="20"/>
    <s v="Long Commute"/>
    <s v="Below College"/>
    <s v="Medical"/>
    <n v="4"/>
    <s v="Male"/>
    <n v="40"/>
    <n v="3"/>
    <n v="1"/>
    <s v="Laboratory Technician"/>
    <s v="Very High"/>
    <s v="Married"/>
    <n v="3812"/>
    <s v="Low (&lt;5k)"/>
    <n v="7003"/>
    <n v="1"/>
    <x v="0"/>
    <n v="13"/>
    <n v="3"/>
    <n v="2"/>
    <n v="0"/>
    <n v="11"/>
    <n v="3"/>
    <s v="Best"/>
    <n v="11"/>
    <x v="2"/>
    <n v="8"/>
    <n v="3"/>
    <n v="10"/>
  </r>
  <r>
    <n v="29"/>
    <s v="Young Adults"/>
    <n v="0"/>
    <s v="Travel_Rarely"/>
    <n v="726"/>
    <x v="0"/>
    <n v="29"/>
    <s v="Long Commute"/>
    <s v="Below College"/>
    <s v="Life Sciences"/>
    <n v="4"/>
    <s v="Male"/>
    <n v="93"/>
    <n v="1"/>
    <n v="2"/>
    <s v="Healthcare Representative"/>
    <s v="High"/>
    <s v="Divorced"/>
    <n v="6384"/>
    <s v="Medium (5k-10k)"/>
    <n v="21143"/>
    <n v="8"/>
    <x v="0"/>
    <n v="17"/>
    <n v="3"/>
    <n v="4"/>
    <n v="2"/>
    <n v="11"/>
    <n v="3"/>
    <s v="Better"/>
    <n v="7"/>
    <x v="1"/>
    <n v="0"/>
    <n v="1"/>
    <n v="6"/>
  </r>
  <r>
    <n v="29"/>
    <s v="Young Adults"/>
    <n v="0"/>
    <s v="Travel_Rarely"/>
    <n v="352"/>
    <x v="2"/>
    <n v="6"/>
    <s v="Moderate"/>
    <s v="Below College"/>
    <s v="Medical"/>
    <n v="4"/>
    <s v="Male"/>
    <n v="87"/>
    <n v="2"/>
    <n v="1"/>
    <s v="Human Resources"/>
    <s v="Medium"/>
    <s v="Married"/>
    <n v="2804"/>
    <s v="Low (&lt;5k)"/>
    <n v="15434"/>
    <n v="1"/>
    <x v="0"/>
    <n v="11"/>
    <n v="3"/>
    <n v="4"/>
    <n v="0"/>
    <n v="1"/>
    <n v="3"/>
    <s v="Better"/>
    <n v="1"/>
    <x v="0"/>
    <n v="0"/>
    <n v="0"/>
    <n v="0"/>
  </r>
  <r>
    <n v="29"/>
    <s v="Young Adults"/>
    <n v="1"/>
    <s v="Travel_Frequently"/>
    <n v="459"/>
    <x v="0"/>
    <n v="24"/>
    <s v="Long Commute"/>
    <s v="College"/>
    <s v="Life Sciences"/>
    <n v="4"/>
    <s v="Male"/>
    <n v="73"/>
    <n v="2"/>
    <n v="1"/>
    <s v="Research Scientist"/>
    <s v="Very High"/>
    <s v="Single"/>
    <n v="2439"/>
    <s v="Low (&lt;5k)"/>
    <n v="14753"/>
    <n v="1"/>
    <x v="1"/>
    <n v="24"/>
    <n v="4"/>
    <n v="2"/>
    <n v="0"/>
    <n v="1"/>
    <n v="3"/>
    <s v="Good"/>
    <n v="1"/>
    <x v="0"/>
    <n v="0"/>
    <n v="1"/>
    <n v="0"/>
  </r>
  <r>
    <n v="29"/>
    <s v="Young Adults"/>
    <n v="0"/>
    <s v="Travel_Rarely"/>
    <n v="592"/>
    <x v="0"/>
    <n v="7"/>
    <s v="Moderate"/>
    <s v="Bachelor"/>
    <s v="Life Sciences"/>
    <n v="4"/>
    <s v="Male"/>
    <n v="59"/>
    <n v="3"/>
    <n v="1"/>
    <s v="Laboratory Technician"/>
    <s v="Low"/>
    <s v="Single"/>
    <n v="2062"/>
    <s v="Low (&lt;5k)"/>
    <n v="19384"/>
    <n v="3"/>
    <x v="0"/>
    <n v="14"/>
    <n v="3"/>
    <n v="2"/>
    <n v="0"/>
    <n v="11"/>
    <n v="2"/>
    <s v="Better"/>
    <n v="3"/>
    <x v="1"/>
    <n v="2"/>
    <n v="1"/>
    <n v="2"/>
  </r>
  <r>
    <n v="29"/>
    <s v="Young Adults"/>
    <n v="1"/>
    <s v="Travel_Frequently"/>
    <n v="746"/>
    <x v="1"/>
    <n v="24"/>
    <s v="Long Commute"/>
    <s v="Bachelor"/>
    <s v="Technical Degree"/>
    <n v="3"/>
    <s v="Male"/>
    <n v="45"/>
    <n v="4"/>
    <n v="1"/>
    <s v="Sales Representative"/>
    <s v="Low"/>
    <s v="Single"/>
    <n v="1091"/>
    <s v="Low (&lt;5k)"/>
    <n v="10642"/>
    <n v="1"/>
    <x v="0"/>
    <n v="17"/>
    <n v="3"/>
    <n v="4"/>
    <n v="0"/>
    <n v="1"/>
    <n v="3"/>
    <s v="Better"/>
    <n v="1"/>
    <x v="0"/>
    <n v="0"/>
    <n v="0"/>
    <n v="0"/>
  </r>
  <r>
    <n v="29"/>
    <s v="Young Adults"/>
    <n v="0"/>
    <s v="Travel_Rarely"/>
    <n v="136"/>
    <x v="0"/>
    <n v="1"/>
    <s v="Near Office"/>
    <s v="Bachelor"/>
    <s v="Life Sciences"/>
    <n v="1"/>
    <s v="Male"/>
    <n v="89"/>
    <n v="3"/>
    <n v="2"/>
    <s v="Healthcare Representative"/>
    <s v="Low"/>
    <s v="Married"/>
    <n v="5373"/>
    <s v="Medium (5k-10k)"/>
    <n v="6225"/>
    <n v="0"/>
    <x v="0"/>
    <n v="12"/>
    <n v="3"/>
    <n v="1"/>
    <n v="1"/>
    <n v="6"/>
    <n v="5"/>
    <s v="Good"/>
    <n v="5"/>
    <x v="1"/>
    <n v="3"/>
    <n v="0"/>
    <n v="2"/>
  </r>
  <r>
    <n v="29"/>
    <s v="Young Adults"/>
    <n v="1"/>
    <s v="Travel_Rarely"/>
    <n v="1092"/>
    <x v="0"/>
    <n v="1"/>
    <s v="Near Office"/>
    <s v="Master"/>
    <s v="Medical"/>
    <n v="1"/>
    <s v="Male"/>
    <n v="36"/>
    <n v="3"/>
    <n v="1"/>
    <s v="Research Scientist"/>
    <s v="Very High"/>
    <s v="Married"/>
    <n v="4787"/>
    <s v="Low (&lt;5k)"/>
    <n v="26124"/>
    <n v="9"/>
    <x v="1"/>
    <n v="14"/>
    <n v="3"/>
    <n v="2"/>
    <n v="3"/>
    <n v="4"/>
    <n v="3"/>
    <s v="Best"/>
    <n v="2"/>
    <x v="0"/>
    <n v="2"/>
    <n v="2"/>
    <n v="2"/>
  </r>
  <r>
    <n v="29"/>
    <s v="Young Adults"/>
    <n v="0"/>
    <s v="Travel_Rarely"/>
    <n v="1378"/>
    <x v="0"/>
    <n v="13"/>
    <s v="Moderate"/>
    <s v="College"/>
    <s v="Other"/>
    <n v="4"/>
    <s v="Male"/>
    <n v="46"/>
    <n v="2"/>
    <n v="2"/>
    <s v="Laboratory Technician"/>
    <s v="Medium"/>
    <s v="Married"/>
    <n v="4025"/>
    <s v="Low (&lt;5k)"/>
    <n v="23679"/>
    <n v="4"/>
    <x v="1"/>
    <n v="13"/>
    <n v="3"/>
    <n v="1"/>
    <n v="1"/>
    <n v="10"/>
    <n v="2"/>
    <s v="Better"/>
    <n v="4"/>
    <x v="1"/>
    <n v="3"/>
    <n v="0"/>
    <n v="3"/>
  </r>
  <r>
    <n v="29"/>
    <s v="Young Adults"/>
    <n v="0"/>
    <s v="Travel_Rarely"/>
    <n v="468"/>
    <x v="0"/>
    <n v="28"/>
    <s v="Long Commute"/>
    <s v="Master"/>
    <s v="Medical"/>
    <n v="4"/>
    <s v="Female"/>
    <n v="73"/>
    <n v="2"/>
    <n v="1"/>
    <s v="Research Scientist"/>
    <s v="Low"/>
    <s v="Single"/>
    <n v="3785"/>
    <s v="Low (&lt;5k)"/>
    <n v="8489"/>
    <n v="1"/>
    <x v="0"/>
    <n v="14"/>
    <n v="3"/>
    <n v="2"/>
    <n v="0"/>
    <n v="5"/>
    <n v="3"/>
    <s v="Bad"/>
    <n v="5"/>
    <x v="1"/>
    <n v="4"/>
    <n v="0"/>
    <n v="4"/>
  </r>
  <r>
    <n v="30"/>
    <s v="Middle Aged"/>
    <n v="0"/>
    <s v="Travel_Rarely"/>
    <n v="1358"/>
    <x v="0"/>
    <n v="24"/>
    <s v="Long Commute"/>
    <s v="Below College"/>
    <s v="Life Sciences"/>
    <n v="4"/>
    <s v="Male"/>
    <n v="67"/>
    <n v="3"/>
    <n v="1"/>
    <s v="Laboratory Technician"/>
    <s v="High"/>
    <s v="Divorced"/>
    <n v="2693"/>
    <s v="Low (&lt;5k)"/>
    <n v="13335"/>
    <n v="1"/>
    <x v="0"/>
    <n v="22"/>
    <n v="4"/>
    <n v="2"/>
    <n v="1"/>
    <n v="1"/>
    <n v="2"/>
    <s v="Better"/>
    <n v="1"/>
    <x v="0"/>
    <n v="0"/>
    <n v="0"/>
    <n v="0"/>
  </r>
  <r>
    <n v="30"/>
    <s v="Middle Aged"/>
    <n v="0"/>
    <s v="Travel_Rarely"/>
    <n v="125"/>
    <x v="0"/>
    <n v="9"/>
    <s v="Moderate"/>
    <s v="College"/>
    <s v="Medical"/>
    <n v="4"/>
    <s v="Male"/>
    <n v="83"/>
    <n v="2"/>
    <n v="1"/>
    <s v="Laboratory Technician"/>
    <s v="High"/>
    <s v="Single"/>
    <n v="2206"/>
    <s v="Low (&lt;5k)"/>
    <n v="16117"/>
    <n v="1"/>
    <x v="0"/>
    <n v="13"/>
    <n v="3"/>
    <n v="1"/>
    <n v="0"/>
    <n v="10"/>
    <n v="5"/>
    <s v="Better"/>
    <n v="10"/>
    <x v="2"/>
    <n v="0"/>
    <n v="1"/>
    <n v="8"/>
  </r>
  <r>
    <n v="30"/>
    <s v="Middle Aged"/>
    <n v="0"/>
    <s v="Travel_Frequently"/>
    <n v="721"/>
    <x v="0"/>
    <n v="1"/>
    <s v="Near Office"/>
    <s v="College"/>
    <s v="Medical"/>
    <n v="3"/>
    <s v="Female"/>
    <n v="58"/>
    <n v="3"/>
    <n v="2"/>
    <s v="Laboratory Technician"/>
    <s v="Very High"/>
    <s v="Single"/>
    <n v="4011"/>
    <s v="Low (&lt;5k)"/>
    <n v="10781"/>
    <n v="1"/>
    <x v="0"/>
    <n v="23"/>
    <n v="4"/>
    <n v="4"/>
    <n v="0"/>
    <n v="12"/>
    <n v="2"/>
    <s v="Better"/>
    <n v="12"/>
    <x v="2"/>
    <n v="8"/>
    <n v="3"/>
    <n v="7"/>
  </r>
  <r>
    <n v="30"/>
    <s v="Middle Aged"/>
    <n v="0"/>
    <s v="Travel_Rarely"/>
    <n v="852"/>
    <x v="0"/>
    <n v="1"/>
    <s v="Near Office"/>
    <s v="Below College"/>
    <s v="Life Sciences"/>
    <n v="4"/>
    <s v="Male"/>
    <n v="55"/>
    <n v="2"/>
    <n v="2"/>
    <s v="Laboratory Technician"/>
    <s v="Very High"/>
    <s v="Married"/>
    <n v="5126"/>
    <s v="Medium (5k-10k)"/>
    <n v="15998"/>
    <n v="1"/>
    <x v="1"/>
    <n v="12"/>
    <n v="3"/>
    <n v="3"/>
    <n v="2"/>
    <n v="10"/>
    <n v="1"/>
    <s v="Good"/>
    <n v="10"/>
    <x v="2"/>
    <n v="8"/>
    <n v="3"/>
    <n v="0"/>
  </r>
  <r>
    <n v="30"/>
    <s v="Middle Aged"/>
    <n v="0"/>
    <s v="Travel_Rarely"/>
    <n v="288"/>
    <x v="0"/>
    <n v="2"/>
    <s v="Near Office"/>
    <s v="Bachelor"/>
    <s v="Life Sciences"/>
    <n v="3"/>
    <s v="Male"/>
    <n v="99"/>
    <n v="2"/>
    <n v="2"/>
    <s v="Healthcare Representative"/>
    <s v="Very High"/>
    <s v="Married"/>
    <n v="4152"/>
    <s v="Low (&lt;5k)"/>
    <n v="15830"/>
    <n v="1"/>
    <x v="0"/>
    <n v="19"/>
    <n v="3"/>
    <n v="1"/>
    <n v="3"/>
    <n v="11"/>
    <n v="3"/>
    <s v="Better"/>
    <n v="11"/>
    <x v="2"/>
    <n v="10"/>
    <n v="10"/>
    <n v="8"/>
  </r>
  <r>
    <n v="30"/>
    <s v="Middle Aged"/>
    <n v="0"/>
    <s v="Travel_Rarely"/>
    <n v="1334"/>
    <x v="1"/>
    <n v="4"/>
    <s v="Near Office"/>
    <s v="College"/>
    <s v="Medical"/>
    <n v="3"/>
    <s v="Female"/>
    <n v="63"/>
    <n v="2"/>
    <n v="2"/>
    <s v="Sales Executive"/>
    <s v="Medium"/>
    <s v="Divorced"/>
    <n v="5209"/>
    <s v="Medium (5k-10k)"/>
    <n v="19760"/>
    <n v="1"/>
    <x v="1"/>
    <n v="12"/>
    <n v="3"/>
    <n v="2"/>
    <n v="3"/>
    <n v="11"/>
    <n v="4"/>
    <s v="Good"/>
    <n v="11"/>
    <x v="2"/>
    <n v="8"/>
    <n v="2"/>
    <n v="7"/>
  </r>
  <r>
    <n v="30"/>
    <s v="Middle Aged"/>
    <n v="0"/>
    <s v="Travel_Frequently"/>
    <n v="1312"/>
    <x v="0"/>
    <n v="23"/>
    <s v="Long Commute"/>
    <s v="Bachelor"/>
    <s v="Life Sciences"/>
    <n v="1"/>
    <s v="Male"/>
    <n v="96"/>
    <n v="1"/>
    <n v="1"/>
    <s v="Research Scientist"/>
    <s v="High"/>
    <s v="Divorced"/>
    <n v="2613"/>
    <s v="Low (&lt;5k)"/>
    <n v="22310"/>
    <n v="1"/>
    <x v="0"/>
    <n v="25"/>
    <n v="4"/>
    <n v="3"/>
    <n v="3"/>
    <n v="10"/>
    <n v="2"/>
    <s v="Good"/>
    <n v="10"/>
    <x v="2"/>
    <n v="7"/>
    <n v="0"/>
    <n v="9"/>
  </r>
  <r>
    <n v="30"/>
    <s v="Middle Aged"/>
    <n v="0"/>
    <s v="Travel_Rarely"/>
    <n v="1240"/>
    <x v="2"/>
    <n v="9"/>
    <s v="Moderate"/>
    <s v="Bachelor"/>
    <s v="Human Resources"/>
    <n v="3"/>
    <s v="Male"/>
    <n v="48"/>
    <n v="3"/>
    <n v="2"/>
    <s v="Human Resources"/>
    <s v="Very High"/>
    <s v="Married"/>
    <n v="6347"/>
    <s v="Medium (5k-10k)"/>
    <n v="13982"/>
    <n v="0"/>
    <x v="1"/>
    <n v="19"/>
    <n v="3"/>
    <n v="4"/>
    <n v="0"/>
    <n v="12"/>
    <n v="2"/>
    <s v="Bad"/>
    <n v="11"/>
    <x v="2"/>
    <n v="9"/>
    <n v="4"/>
    <n v="7"/>
  </r>
  <r>
    <n v="30"/>
    <s v="Middle Aged"/>
    <n v="0"/>
    <s v="Travel_Rarely"/>
    <n v="438"/>
    <x v="0"/>
    <n v="18"/>
    <s v="Long Commute"/>
    <s v="Bachelor"/>
    <s v="Life Sciences"/>
    <n v="1"/>
    <s v="Female"/>
    <n v="75"/>
    <n v="3"/>
    <n v="1"/>
    <s v="Research Scientist"/>
    <s v="High"/>
    <s v="Single"/>
    <n v="2632"/>
    <s v="Low (&lt;5k)"/>
    <n v="23910"/>
    <n v="1"/>
    <x v="0"/>
    <n v="14"/>
    <n v="3"/>
    <n v="3"/>
    <n v="0"/>
    <n v="5"/>
    <n v="4"/>
    <s v="Good"/>
    <n v="5"/>
    <x v="1"/>
    <n v="4"/>
    <n v="0"/>
    <n v="4"/>
  </r>
  <r>
    <n v="30"/>
    <s v="Middle Aged"/>
    <n v="0"/>
    <s v="Travel_Rarely"/>
    <n v="201"/>
    <x v="0"/>
    <n v="5"/>
    <s v="Near Office"/>
    <s v="Bachelor"/>
    <s v="Technical Degree"/>
    <n v="4"/>
    <s v="Female"/>
    <n v="84"/>
    <n v="3"/>
    <n v="1"/>
    <s v="Research Scientist"/>
    <s v="Low"/>
    <s v="Divorced"/>
    <n v="3204"/>
    <s v="Low (&lt;5k)"/>
    <n v="10415"/>
    <n v="5"/>
    <x v="0"/>
    <n v="14"/>
    <n v="3"/>
    <n v="4"/>
    <n v="1"/>
    <n v="8"/>
    <n v="3"/>
    <s v="Better"/>
    <n v="3"/>
    <x v="1"/>
    <n v="2"/>
    <n v="2"/>
    <n v="2"/>
  </r>
  <r>
    <n v="30"/>
    <s v="Middle Aged"/>
    <n v="0"/>
    <s v="Travel_Rarely"/>
    <n v="1427"/>
    <x v="0"/>
    <n v="2"/>
    <s v="Near Office"/>
    <s v="Below College"/>
    <s v="Medical"/>
    <n v="2"/>
    <s v="Male"/>
    <n v="35"/>
    <n v="2"/>
    <n v="1"/>
    <s v="Laboratory Technician"/>
    <s v="Very High"/>
    <s v="Single"/>
    <n v="2720"/>
    <s v="Low (&lt;5k)"/>
    <n v="11162"/>
    <n v="0"/>
    <x v="0"/>
    <n v="13"/>
    <n v="3"/>
    <n v="4"/>
    <n v="0"/>
    <n v="6"/>
    <n v="3"/>
    <s v="Better"/>
    <n v="5"/>
    <x v="1"/>
    <n v="3"/>
    <n v="1"/>
    <n v="2"/>
  </r>
  <r>
    <n v="30"/>
    <s v="Middle Aged"/>
    <n v="0"/>
    <s v="Travel_Rarely"/>
    <n v="1339"/>
    <x v="1"/>
    <n v="5"/>
    <s v="Near Office"/>
    <s v="Bachelor"/>
    <s v="Life Sciences"/>
    <n v="2"/>
    <s v="Female"/>
    <n v="41"/>
    <n v="3"/>
    <n v="3"/>
    <s v="Sales Executive"/>
    <s v="Very High"/>
    <s v="Married"/>
    <n v="9419"/>
    <s v="Medium (5k-10k)"/>
    <n v="8053"/>
    <n v="2"/>
    <x v="0"/>
    <n v="12"/>
    <n v="3"/>
    <n v="3"/>
    <n v="1"/>
    <n v="12"/>
    <n v="2"/>
    <s v="Better"/>
    <n v="10"/>
    <x v="2"/>
    <n v="9"/>
    <n v="7"/>
    <n v="4"/>
  </r>
  <r>
    <n v="30"/>
    <s v="Middle Aged"/>
    <n v="0"/>
    <s v="Non-Travel"/>
    <n v="111"/>
    <x v="0"/>
    <n v="9"/>
    <s v="Moderate"/>
    <s v="Bachelor"/>
    <s v="Medical"/>
    <n v="3"/>
    <s v="Male"/>
    <n v="66"/>
    <n v="3"/>
    <n v="2"/>
    <s v="Laboratory Technician"/>
    <s v="Low"/>
    <s v="Divorced"/>
    <n v="3072"/>
    <s v="Low (&lt;5k)"/>
    <n v="11012"/>
    <n v="1"/>
    <x v="0"/>
    <n v="11"/>
    <n v="3"/>
    <n v="3"/>
    <n v="2"/>
    <n v="12"/>
    <n v="4"/>
    <s v="Better"/>
    <n v="12"/>
    <x v="2"/>
    <n v="9"/>
    <n v="6"/>
    <n v="10"/>
  </r>
  <r>
    <n v="30"/>
    <s v="Middle Aged"/>
    <n v="0"/>
    <s v="Non-Travel"/>
    <n v="829"/>
    <x v="0"/>
    <n v="1"/>
    <s v="Near Office"/>
    <s v="Below College"/>
    <s v="Life Sciences"/>
    <n v="3"/>
    <s v="Male"/>
    <n v="88"/>
    <n v="2"/>
    <n v="3"/>
    <s v="Manufacturing Director"/>
    <s v="High"/>
    <s v="Single"/>
    <n v="8474"/>
    <s v="Medium (5k-10k)"/>
    <n v="20925"/>
    <n v="1"/>
    <x v="0"/>
    <n v="22"/>
    <n v="4"/>
    <n v="3"/>
    <n v="0"/>
    <n v="12"/>
    <n v="2"/>
    <s v="Better"/>
    <n v="11"/>
    <x v="2"/>
    <n v="8"/>
    <n v="5"/>
    <n v="8"/>
  </r>
  <r>
    <n v="30"/>
    <s v="Middle Aged"/>
    <n v="1"/>
    <s v="Travel_Rarely"/>
    <n v="1005"/>
    <x v="0"/>
    <n v="3"/>
    <s v="Near Office"/>
    <s v="Bachelor"/>
    <s v="Technical Degree"/>
    <n v="4"/>
    <s v="Female"/>
    <n v="88"/>
    <n v="3"/>
    <n v="1"/>
    <s v="Research Scientist"/>
    <s v="Low"/>
    <s v="Single"/>
    <n v="2657"/>
    <s v="Low (&lt;5k)"/>
    <n v="8556"/>
    <n v="5"/>
    <x v="1"/>
    <n v="11"/>
    <n v="3"/>
    <n v="3"/>
    <n v="0"/>
    <n v="8"/>
    <n v="5"/>
    <s v="Better"/>
    <n v="5"/>
    <x v="1"/>
    <n v="2"/>
    <n v="0"/>
    <n v="4"/>
  </r>
  <r>
    <n v="30"/>
    <s v="Middle Aged"/>
    <n v="1"/>
    <s v="Travel_Frequently"/>
    <n v="334"/>
    <x v="1"/>
    <n v="26"/>
    <s v="Long Commute"/>
    <s v="Master"/>
    <s v="Marketing"/>
    <n v="3"/>
    <s v="Female"/>
    <n v="52"/>
    <n v="2"/>
    <n v="2"/>
    <s v="Sales Executive"/>
    <s v="Low"/>
    <s v="Single"/>
    <n v="6696"/>
    <s v="Medium (5k-10k)"/>
    <n v="22967"/>
    <n v="5"/>
    <x v="0"/>
    <n v="15"/>
    <n v="3"/>
    <n v="3"/>
    <n v="0"/>
    <n v="9"/>
    <n v="5"/>
    <s v="Good"/>
    <n v="6"/>
    <x v="1"/>
    <n v="3"/>
    <n v="0"/>
    <n v="1"/>
  </r>
  <r>
    <n v="30"/>
    <s v="Middle Aged"/>
    <n v="0"/>
    <s v="Travel_Rarely"/>
    <n v="1275"/>
    <x v="0"/>
    <n v="28"/>
    <s v="Long Commute"/>
    <s v="College"/>
    <s v="Medical"/>
    <n v="4"/>
    <s v="Female"/>
    <n v="64"/>
    <n v="3"/>
    <n v="2"/>
    <s v="Research Scientist"/>
    <s v="Very High"/>
    <s v="Married"/>
    <n v="5775"/>
    <s v="Medium (5k-10k)"/>
    <n v="11934"/>
    <n v="1"/>
    <x v="0"/>
    <n v="13"/>
    <n v="3"/>
    <n v="4"/>
    <n v="2"/>
    <n v="11"/>
    <n v="2"/>
    <s v="Better"/>
    <n v="10"/>
    <x v="2"/>
    <n v="8"/>
    <n v="1"/>
    <n v="9"/>
  </r>
  <r>
    <n v="30"/>
    <s v="Middle Aged"/>
    <n v="0"/>
    <s v="Travel_Rarely"/>
    <n v="570"/>
    <x v="1"/>
    <n v="5"/>
    <s v="Near Office"/>
    <s v="Bachelor"/>
    <s v="Marketing"/>
    <n v="4"/>
    <s v="Female"/>
    <n v="30"/>
    <n v="2"/>
    <n v="2"/>
    <s v="Sales Executive"/>
    <s v="High"/>
    <s v="Divorced"/>
    <n v="6118"/>
    <s v="Medium (5k-10k)"/>
    <n v="5431"/>
    <n v="1"/>
    <x v="0"/>
    <n v="13"/>
    <n v="3"/>
    <n v="3"/>
    <n v="3"/>
    <n v="10"/>
    <n v="2"/>
    <s v="Better"/>
    <n v="10"/>
    <x v="2"/>
    <n v="9"/>
    <n v="1"/>
    <n v="2"/>
  </r>
  <r>
    <n v="30"/>
    <s v="Middle Aged"/>
    <n v="0"/>
    <s v="Non-Travel"/>
    <n v="641"/>
    <x v="1"/>
    <n v="25"/>
    <s v="Long Commute"/>
    <s v="College"/>
    <s v="Technical Degree"/>
    <n v="4"/>
    <s v="Female"/>
    <n v="85"/>
    <n v="3"/>
    <n v="2"/>
    <s v="Sales Executive"/>
    <s v="High"/>
    <s v="Married"/>
    <n v="4736"/>
    <s v="Low (&lt;5k)"/>
    <n v="6069"/>
    <n v="7"/>
    <x v="1"/>
    <n v="12"/>
    <n v="3"/>
    <n v="2"/>
    <n v="1"/>
    <n v="4"/>
    <n v="2"/>
    <s v="Best"/>
    <n v="2"/>
    <x v="0"/>
    <n v="2"/>
    <n v="2"/>
    <n v="2"/>
  </r>
  <r>
    <n v="30"/>
    <s v="Middle Aged"/>
    <n v="0"/>
    <s v="Travel_Rarely"/>
    <n v="202"/>
    <x v="1"/>
    <n v="2"/>
    <s v="Near Office"/>
    <s v="Below College"/>
    <s v="Technical Degree"/>
    <n v="3"/>
    <s v="Male"/>
    <n v="72"/>
    <n v="3"/>
    <n v="1"/>
    <s v="Sales Representative"/>
    <s v="Medium"/>
    <s v="Married"/>
    <n v="2476"/>
    <s v="Low (&lt;5k)"/>
    <n v="17434"/>
    <n v="1"/>
    <x v="0"/>
    <n v="18"/>
    <n v="3"/>
    <n v="1"/>
    <n v="1"/>
    <n v="1"/>
    <n v="3"/>
    <s v="Better"/>
    <n v="1"/>
    <x v="0"/>
    <n v="0"/>
    <n v="0"/>
    <n v="0"/>
  </r>
  <r>
    <n v="30"/>
    <s v="Middle Aged"/>
    <n v="1"/>
    <s v="Travel_Frequently"/>
    <n v="464"/>
    <x v="0"/>
    <n v="4"/>
    <s v="Near Office"/>
    <s v="Bachelor"/>
    <s v="Technical Degree"/>
    <n v="3"/>
    <s v="Male"/>
    <n v="40"/>
    <n v="3"/>
    <n v="1"/>
    <s v="Research Scientist"/>
    <s v="Very High"/>
    <s v="Single"/>
    <n v="2285"/>
    <s v="Low (&lt;5k)"/>
    <n v="3427"/>
    <n v="9"/>
    <x v="1"/>
    <n v="23"/>
    <n v="4"/>
    <n v="3"/>
    <n v="0"/>
    <n v="3"/>
    <n v="4"/>
    <s v="Better"/>
    <n v="1"/>
    <x v="0"/>
    <n v="0"/>
    <n v="0"/>
    <n v="0"/>
  </r>
  <r>
    <n v="30"/>
    <s v="Middle Aged"/>
    <n v="0"/>
    <s v="Travel_Rarely"/>
    <n v="1082"/>
    <x v="1"/>
    <n v="12"/>
    <s v="Moderate"/>
    <s v="Bachelor"/>
    <s v="Technical Degree"/>
    <n v="2"/>
    <s v="Female"/>
    <n v="83"/>
    <n v="3"/>
    <n v="2"/>
    <s v="Sales Executive"/>
    <s v="High"/>
    <s v="Single"/>
    <n v="6577"/>
    <s v="Medium (5k-10k)"/>
    <n v="19558"/>
    <n v="0"/>
    <x v="0"/>
    <n v="11"/>
    <n v="3"/>
    <n v="2"/>
    <n v="0"/>
    <n v="6"/>
    <n v="6"/>
    <s v="Better"/>
    <n v="5"/>
    <x v="1"/>
    <n v="4"/>
    <n v="4"/>
    <n v="4"/>
  </r>
  <r>
    <n v="30"/>
    <s v="Middle Aged"/>
    <n v="0"/>
    <s v="Travel_Rarely"/>
    <n v="317"/>
    <x v="0"/>
    <n v="2"/>
    <s v="Near Office"/>
    <s v="Bachelor"/>
    <s v="Life Sciences"/>
    <n v="3"/>
    <s v="Female"/>
    <n v="43"/>
    <n v="1"/>
    <n v="2"/>
    <s v="Manufacturing Director"/>
    <s v="Very High"/>
    <s v="Single"/>
    <n v="6091"/>
    <s v="Medium (5k-10k)"/>
    <n v="24793"/>
    <n v="2"/>
    <x v="0"/>
    <n v="20"/>
    <n v="4"/>
    <n v="3"/>
    <n v="0"/>
    <n v="11"/>
    <n v="2"/>
    <s v="Better"/>
    <n v="5"/>
    <x v="1"/>
    <n v="4"/>
    <n v="0"/>
    <n v="2"/>
  </r>
  <r>
    <n v="30"/>
    <s v="Middle Aged"/>
    <n v="0"/>
    <s v="Non-Travel"/>
    <n v="1400"/>
    <x v="0"/>
    <n v="3"/>
    <s v="Near Office"/>
    <s v="Bachelor"/>
    <s v="Life Sciences"/>
    <n v="3"/>
    <s v="Male"/>
    <n v="53"/>
    <n v="3"/>
    <n v="1"/>
    <s v="Laboratory Technician"/>
    <s v="Very High"/>
    <s v="Married"/>
    <n v="2097"/>
    <s v="Low (&lt;5k)"/>
    <n v="16734"/>
    <n v="4"/>
    <x v="0"/>
    <n v="15"/>
    <n v="3"/>
    <n v="3"/>
    <n v="1"/>
    <n v="9"/>
    <n v="3"/>
    <s v="Bad"/>
    <n v="5"/>
    <x v="1"/>
    <n v="3"/>
    <n v="1"/>
    <n v="4"/>
  </r>
  <r>
    <n v="30"/>
    <s v="Middle Aged"/>
    <n v="0"/>
    <s v="Non-Travel"/>
    <n v="1398"/>
    <x v="1"/>
    <n v="22"/>
    <s v="Long Commute"/>
    <s v="Master"/>
    <s v="Other"/>
    <n v="3"/>
    <s v="Female"/>
    <n v="69"/>
    <n v="3"/>
    <n v="3"/>
    <s v="Sales Executive"/>
    <s v="Low"/>
    <s v="Married"/>
    <n v="8412"/>
    <s v="Medium (5k-10k)"/>
    <n v="2890"/>
    <n v="0"/>
    <x v="0"/>
    <n v="11"/>
    <n v="3"/>
    <n v="3"/>
    <n v="0"/>
    <n v="10"/>
    <n v="3"/>
    <s v="Better"/>
    <n v="9"/>
    <x v="1"/>
    <n v="8"/>
    <n v="7"/>
    <n v="8"/>
  </r>
  <r>
    <n v="30"/>
    <s v="Middle Aged"/>
    <n v="0"/>
    <s v="Non-Travel"/>
    <n v="1116"/>
    <x v="0"/>
    <n v="2"/>
    <s v="Near Office"/>
    <s v="Bachelor"/>
    <s v="Medical"/>
    <n v="3"/>
    <s v="Female"/>
    <n v="49"/>
    <n v="3"/>
    <n v="1"/>
    <s v="Laboratory Technician"/>
    <s v="Very High"/>
    <s v="Single"/>
    <n v="2564"/>
    <s v="Low (&lt;5k)"/>
    <n v="7181"/>
    <n v="0"/>
    <x v="0"/>
    <n v="14"/>
    <n v="3"/>
    <n v="3"/>
    <n v="0"/>
    <n v="12"/>
    <n v="2"/>
    <s v="Good"/>
    <n v="11"/>
    <x v="2"/>
    <n v="7"/>
    <n v="6"/>
    <n v="7"/>
  </r>
  <r>
    <n v="30"/>
    <s v="Middle Aged"/>
    <n v="0"/>
    <s v="Travel_Rarely"/>
    <n v="413"/>
    <x v="1"/>
    <n v="7"/>
    <s v="Moderate"/>
    <s v="Below College"/>
    <s v="Marketing"/>
    <n v="4"/>
    <s v="Male"/>
    <n v="57"/>
    <n v="3"/>
    <n v="1"/>
    <s v="Sales Representative"/>
    <s v="Medium"/>
    <s v="Single"/>
    <n v="2983"/>
    <s v="Low (&lt;5k)"/>
    <n v="18398"/>
    <n v="0"/>
    <x v="0"/>
    <n v="14"/>
    <n v="3"/>
    <n v="1"/>
    <n v="0"/>
    <n v="4"/>
    <n v="3"/>
    <s v="Better"/>
    <n v="3"/>
    <x v="1"/>
    <n v="2"/>
    <n v="1"/>
    <n v="2"/>
  </r>
  <r>
    <n v="30"/>
    <s v="Middle Aged"/>
    <n v="1"/>
    <s v="Travel_Frequently"/>
    <n v="448"/>
    <x v="1"/>
    <n v="12"/>
    <s v="Moderate"/>
    <s v="Master"/>
    <s v="Life Sciences"/>
    <n v="2"/>
    <s v="Male"/>
    <n v="74"/>
    <n v="2"/>
    <n v="1"/>
    <s v="Sales Representative"/>
    <s v="Low"/>
    <s v="Married"/>
    <n v="2033"/>
    <s v="Low (&lt;5k)"/>
    <n v="14470"/>
    <n v="1"/>
    <x v="0"/>
    <n v="18"/>
    <n v="3"/>
    <n v="3"/>
    <n v="1"/>
    <n v="1"/>
    <n v="2"/>
    <s v="Best"/>
    <n v="1"/>
    <x v="0"/>
    <n v="0"/>
    <n v="0"/>
    <n v="0"/>
  </r>
  <r>
    <n v="30"/>
    <s v="Middle Aged"/>
    <n v="0"/>
    <s v="Travel_Frequently"/>
    <n v="160"/>
    <x v="0"/>
    <n v="3"/>
    <s v="Near Office"/>
    <s v="Bachelor"/>
    <s v="Medical"/>
    <n v="3"/>
    <s v="Female"/>
    <n v="71"/>
    <n v="3"/>
    <n v="1"/>
    <s v="Research Scientist"/>
    <s v="High"/>
    <s v="Divorced"/>
    <n v="2083"/>
    <s v="Low (&lt;5k)"/>
    <n v="22653"/>
    <n v="1"/>
    <x v="0"/>
    <n v="20"/>
    <n v="4"/>
    <n v="3"/>
    <n v="1"/>
    <n v="1"/>
    <n v="2"/>
    <s v="Better"/>
    <n v="1"/>
    <x v="0"/>
    <n v="0"/>
    <n v="0"/>
    <n v="0"/>
  </r>
  <r>
    <n v="30"/>
    <s v="Middle Aged"/>
    <n v="0"/>
    <s v="Travel_Rarely"/>
    <n v="501"/>
    <x v="1"/>
    <n v="27"/>
    <s v="Long Commute"/>
    <s v="Doctor"/>
    <s v="Marketing"/>
    <n v="3"/>
    <s v="Male"/>
    <n v="99"/>
    <n v="3"/>
    <n v="2"/>
    <s v="Sales Executive"/>
    <s v="Very High"/>
    <s v="Divorced"/>
    <n v="5304"/>
    <s v="Medium (5k-10k)"/>
    <n v="25275"/>
    <n v="7"/>
    <x v="0"/>
    <n v="23"/>
    <n v="4"/>
    <n v="4"/>
    <n v="1"/>
    <n v="10"/>
    <n v="2"/>
    <s v="Good"/>
    <n v="8"/>
    <x v="1"/>
    <n v="7"/>
    <n v="7"/>
    <n v="7"/>
  </r>
  <r>
    <n v="30"/>
    <s v="Middle Aged"/>
    <n v="0"/>
    <s v="Travel_Rarely"/>
    <n v="921"/>
    <x v="0"/>
    <n v="1"/>
    <s v="Near Office"/>
    <s v="Bachelor"/>
    <s v="Life Sciences"/>
    <n v="4"/>
    <s v="Male"/>
    <n v="38"/>
    <n v="1"/>
    <n v="1"/>
    <s v="Laboratory Technician"/>
    <s v="High"/>
    <s v="Married"/>
    <n v="3833"/>
    <s v="Low (&lt;5k)"/>
    <n v="24375"/>
    <n v="3"/>
    <x v="0"/>
    <n v="21"/>
    <n v="4"/>
    <n v="3"/>
    <n v="2"/>
    <n v="7"/>
    <n v="2"/>
    <s v="Better"/>
    <n v="2"/>
    <x v="0"/>
    <n v="2"/>
    <n v="0"/>
    <n v="2"/>
  </r>
  <r>
    <n v="30"/>
    <s v="Middle Aged"/>
    <n v="0"/>
    <s v="Travel_Rarely"/>
    <n v="946"/>
    <x v="0"/>
    <n v="2"/>
    <s v="Near Office"/>
    <s v="Bachelor"/>
    <s v="Medical"/>
    <n v="3"/>
    <s v="Female"/>
    <n v="52"/>
    <n v="2"/>
    <n v="2"/>
    <s v="Manufacturing Director"/>
    <s v="Very High"/>
    <s v="Single"/>
    <n v="6877"/>
    <s v="Medium (5k-10k)"/>
    <n v="20234"/>
    <n v="5"/>
    <x v="1"/>
    <n v="24"/>
    <n v="4"/>
    <n v="2"/>
    <n v="0"/>
    <n v="12"/>
    <n v="4"/>
    <s v="Good"/>
    <n v="0"/>
    <x v="0"/>
    <n v="0"/>
    <n v="0"/>
    <n v="0"/>
  </r>
  <r>
    <n v="30"/>
    <s v="Middle Aged"/>
    <n v="0"/>
    <s v="Travel_Frequently"/>
    <n v="1012"/>
    <x v="0"/>
    <n v="5"/>
    <s v="Near Office"/>
    <s v="Master"/>
    <s v="Life Sciences"/>
    <n v="2"/>
    <s v="Male"/>
    <n v="75"/>
    <n v="2"/>
    <n v="1"/>
    <s v="Research Scientist"/>
    <s v="Very High"/>
    <s v="Divorced"/>
    <n v="3761"/>
    <s v="Low (&lt;5k)"/>
    <n v="2373"/>
    <n v="9"/>
    <x v="0"/>
    <n v="12"/>
    <n v="3"/>
    <n v="2"/>
    <n v="1"/>
    <n v="10"/>
    <n v="3"/>
    <s v="Good"/>
    <n v="5"/>
    <x v="1"/>
    <n v="4"/>
    <n v="0"/>
    <n v="3"/>
  </r>
  <r>
    <n v="30"/>
    <s v="Middle Aged"/>
    <n v="0"/>
    <s v="Travel_Rarely"/>
    <n v="231"/>
    <x v="1"/>
    <n v="8"/>
    <s v="Moderate"/>
    <s v="College"/>
    <s v="Other"/>
    <n v="3"/>
    <s v="Male"/>
    <n v="62"/>
    <n v="3"/>
    <n v="3"/>
    <s v="Sales Executive"/>
    <s v="High"/>
    <s v="Divorced"/>
    <n v="7264"/>
    <s v="Medium (5k-10k)"/>
    <n v="9977"/>
    <n v="5"/>
    <x v="0"/>
    <n v="11"/>
    <n v="3"/>
    <n v="1"/>
    <n v="1"/>
    <n v="10"/>
    <n v="2"/>
    <s v="Best"/>
    <n v="8"/>
    <x v="1"/>
    <n v="4"/>
    <n v="7"/>
    <n v="7"/>
  </r>
  <r>
    <n v="30"/>
    <s v="Middle Aged"/>
    <n v="1"/>
    <s v="Travel_Rarely"/>
    <n v="138"/>
    <x v="0"/>
    <n v="22"/>
    <s v="Long Commute"/>
    <s v="Bachelor"/>
    <s v="Life Sciences"/>
    <n v="1"/>
    <s v="Female"/>
    <n v="48"/>
    <n v="3"/>
    <n v="1"/>
    <s v="Research Scientist"/>
    <s v="High"/>
    <s v="Married"/>
    <n v="2132"/>
    <s v="Low (&lt;5k)"/>
    <n v="11539"/>
    <n v="4"/>
    <x v="1"/>
    <n v="11"/>
    <n v="3"/>
    <n v="2"/>
    <n v="0"/>
    <n v="7"/>
    <n v="2"/>
    <s v="Better"/>
    <n v="5"/>
    <x v="1"/>
    <n v="2"/>
    <n v="0"/>
    <n v="1"/>
  </r>
  <r>
    <n v="30"/>
    <s v="Middle Aged"/>
    <n v="0"/>
    <s v="Travel_Rarely"/>
    <n v="153"/>
    <x v="0"/>
    <n v="8"/>
    <s v="Moderate"/>
    <s v="College"/>
    <s v="Life Sciences"/>
    <n v="2"/>
    <s v="Female"/>
    <n v="73"/>
    <n v="4"/>
    <n v="3"/>
    <s v="Research Director"/>
    <s v="Low"/>
    <s v="Married"/>
    <n v="11416"/>
    <s v="High (&gt;10k)"/>
    <n v="17802"/>
    <n v="0"/>
    <x v="1"/>
    <n v="12"/>
    <n v="3"/>
    <n v="3"/>
    <n v="3"/>
    <n v="9"/>
    <n v="4"/>
    <s v="Good"/>
    <n v="8"/>
    <x v="1"/>
    <n v="7"/>
    <n v="1"/>
    <n v="7"/>
  </r>
  <r>
    <n v="30"/>
    <s v="Middle Aged"/>
    <n v="1"/>
    <s v="Travel_Frequently"/>
    <n v="109"/>
    <x v="0"/>
    <n v="5"/>
    <s v="Near Office"/>
    <s v="Bachelor"/>
    <s v="Medical"/>
    <n v="2"/>
    <s v="Female"/>
    <n v="60"/>
    <n v="3"/>
    <n v="1"/>
    <s v="Laboratory Technician"/>
    <s v="Medium"/>
    <s v="Single"/>
    <n v="2422"/>
    <s v="Low (&lt;5k)"/>
    <n v="25725"/>
    <n v="0"/>
    <x v="0"/>
    <n v="17"/>
    <n v="3"/>
    <n v="1"/>
    <n v="0"/>
    <n v="4"/>
    <n v="3"/>
    <s v="Better"/>
    <n v="3"/>
    <x v="1"/>
    <n v="2"/>
    <n v="1"/>
    <n v="2"/>
  </r>
  <r>
    <n v="30"/>
    <s v="Middle Aged"/>
    <n v="0"/>
    <s v="Travel_Rarely"/>
    <n v="1176"/>
    <x v="0"/>
    <n v="20"/>
    <s v="Long Commute"/>
    <s v="Bachelor"/>
    <s v="Other"/>
    <n v="3"/>
    <s v="Male"/>
    <n v="85"/>
    <n v="3"/>
    <n v="2"/>
    <s v="Manufacturing Director"/>
    <s v="Low"/>
    <s v="Married"/>
    <n v="9957"/>
    <s v="Medium (5k-10k)"/>
    <n v="9096"/>
    <n v="0"/>
    <x v="0"/>
    <n v="15"/>
    <n v="3"/>
    <n v="3"/>
    <n v="1"/>
    <n v="7"/>
    <n v="1"/>
    <s v="Good"/>
    <n v="6"/>
    <x v="1"/>
    <n v="2"/>
    <n v="0"/>
    <n v="2"/>
  </r>
  <r>
    <n v="30"/>
    <s v="Middle Aged"/>
    <n v="0"/>
    <s v="Travel_Rarely"/>
    <n v="852"/>
    <x v="1"/>
    <n v="10"/>
    <s v="Moderate"/>
    <s v="Bachelor"/>
    <s v="Marketing"/>
    <n v="3"/>
    <s v="Male"/>
    <n v="72"/>
    <n v="2"/>
    <n v="2"/>
    <s v="Sales Executive"/>
    <s v="High"/>
    <s v="Married"/>
    <n v="6578"/>
    <s v="Medium (5k-10k)"/>
    <n v="2706"/>
    <n v="1"/>
    <x v="0"/>
    <n v="18"/>
    <n v="3"/>
    <n v="1"/>
    <n v="1"/>
    <n v="10"/>
    <n v="3"/>
    <s v="Better"/>
    <n v="10"/>
    <x v="2"/>
    <n v="3"/>
    <n v="1"/>
    <n v="4"/>
  </r>
  <r>
    <n v="30"/>
    <s v="Middle Aged"/>
    <n v="0"/>
    <s v="Travel_Rarely"/>
    <n v="1329"/>
    <x v="1"/>
    <n v="29"/>
    <s v="Long Commute"/>
    <s v="Master"/>
    <s v="Life Sciences"/>
    <n v="3"/>
    <s v="Male"/>
    <n v="61"/>
    <n v="3"/>
    <n v="2"/>
    <s v="Sales Executive"/>
    <s v="Low"/>
    <s v="Divorced"/>
    <n v="4115"/>
    <s v="Low (&lt;5k)"/>
    <n v="13192"/>
    <n v="8"/>
    <x v="0"/>
    <n v="19"/>
    <n v="3"/>
    <n v="3"/>
    <n v="3"/>
    <n v="8"/>
    <n v="3"/>
    <s v="Better"/>
    <n v="4"/>
    <x v="1"/>
    <n v="3"/>
    <n v="0"/>
    <n v="3"/>
  </r>
  <r>
    <n v="30"/>
    <s v="Middle Aged"/>
    <n v="0"/>
    <s v="Travel_Rarely"/>
    <n v="853"/>
    <x v="0"/>
    <n v="7"/>
    <s v="Moderate"/>
    <s v="Master"/>
    <s v="Life Sciences"/>
    <n v="3"/>
    <s v="Male"/>
    <n v="49"/>
    <n v="3"/>
    <n v="2"/>
    <s v="Laboratory Technician"/>
    <s v="High"/>
    <s v="Divorced"/>
    <n v="3491"/>
    <s v="Low (&lt;5k)"/>
    <n v="11309"/>
    <n v="1"/>
    <x v="0"/>
    <n v="13"/>
    <n v="3"/>
    <n v="1"/>
    <n v="3"/>
    <n v="10"/>
    <n v="4"/>
    <s v="Good"/>
    <n v="10"/>
    <x v="2"/>
    <n v="7"/>
    <n v="8"/>
    <n v="9"/>
  </r>
  <r>
    <n v="30"/>
    <s v="Middle Aged"/>
    <n v="0"/>
    <s v="Travel_Rarely"/>
    <n v="1465"/>
    <x v="0"/>
    <n v="1"/>
    <s v="Near Office"/>
    <s v="Bachelor"/>
    <s v="Medical"/>
    <n v="4"/>
    <s v="Male"/>
    <n v="63"/>
    <n v="3"/>
    <n v="1"/>
    <s v="Research Scientist"/>
    <s v="Medium"/>
    <s v="Married"/>
    <n v="3579"/>
    <s v="Low (&lt;5k)"/>
    <n v="9369"/>
    <n v="0"/>
    <x v="1"/>
    <n v="21"/>
    <n v="4"/>
    <n v="1"/>
    <n v="1"/>
    <n v="12"/>
    <n v="2"/>
    <s v="Better"/>
    <n v="11"/>
    <x v="2"/>
    <n v="9"/>
    <n v="5"/>
    <n v="7"/>
  </r>
  <r>
    <n v="30"/>
    <s v="Middle Aged"/>
    <n v="0"/>
    <s v="Non-Travel"/>
    <n v="879"/>
    <x v="0"/>
    <n v="9"/>
    <s v="Moderate"/>
    <s v="College"/>
    <s v="Medical"/>
    <n v="3"/>
    <s v="Female"/>
    <n v="72"/>
    <n v="3"/>
    <n v="2"/>
    <s v="Manufacturing Director"/>
    <s v="High"/>
    <s v="Single"/>
    <n v="4695"/>
    <s v="Low (&lt;5k)"/>
    <n v="12858"/>
    <n v="7"/>
    <x v="1"/>
    <n v="18"/>
    <n v="3"/>
    <n v="3"/>
    <n v="0"/>
    <n v="10"/>
    <n v="3"/>
    <s v="Better"/>
    <n v="8"/>
    <x v="1"/>
    <n v="4"/>
    <n v="1"/>
    <n v="7"/>
  </r>
  <r>
    <n v="30"/>
    <s v="Middle Aged"/>
    <n v="0"/>
    <s v="Travel_Rarely"/>
    <n v="1138"/>
    <x v="0"/>
    <n v="6"/>
    <s v="Moderate"/>
    <s v="Bachelor"/>
    <s v="Technical Degree"/>
    <n v="1"/>
    <s v="Female"/>
    <n v="48"/>
    <n v="2"/>
    <n v="2"/>
    <s v="Laboratory Technician"/>
    <s v="Very High"/>
    <s v="Married"/>
    <n v="4627"/>
    <s v="Low (&lt;5k)"/>
    <n v="23631"/>
    <n v="0"/>
    <x v="0"/>
    <n v="12"/>
    <n v="3"/>
    <n v="1"/>
    <n v="1"/>
    <n v="10"/>
    <n v="6"/>
    <s v="Better"/>
    <n v="9"/>
    <x v="1"/>
    <n v="2"/>
    <n v="6"/>
    <n v="7"/>
  </r>
  <r>
    <n v="30"/>
    <s v="Middle Aged"/>
    <n v="0"/>
    <s v="Travel_Rarely"/>
    <n v="634"/>
    <x v="0"/>
    <n v="17"/>
    <s v="Long Commute"/>
    <s v="Master"/>
    <s v="Medical"/>
    <n v="2"/>
    <s v="Female"/>
    <n v="95"/>
    <n v="3"/>
    <n v="3"/>
    <s v="Manager"/>
    <s v="Low"/>
    <s v="Married"/>
    <n v="11916"/>
    <s v="High (&gt;10k)"/>
    <n v="25927"/>
    <n v="1"/>
    <x v="1"/>
    <n v="23"/>
    <n v="4"/>
    <n v="4"/>
    <n v="2"/>
    <n v="9"/>
    <n v="2"/>
    <s v="Better"/>
    <n v="9"/>
    <x v="1"/>
    <n v="1"/>
    <n v="0"/>
    <n v="8"/>
  </r>
  <r>
    <n v="30"/>
    <s v="Middle Aged"/>
    <n v="0"/>
    <s v="Travel_Rarely"/>
    <n v="855"/>
    <x v="1"/>
    <n v="7"/>
    <s v="Moderate"/>
    <s v="Master"/>
    <s v="Marketing"/>
    <n v="4"/>
    <s v="Female"/>
    <n v="73"/>
    <n v="3"/>
    <n v="2"/>
    <s v="Sales Executive"/>
    <s v="Low"/>
    <s v="Divorced"/>
    <n v="4779"/>
    <s v="Low (&lt;5k)"/>
    <n v="12761"/>
    <n v="7"/>
    <x v="0"/>
    <n v="14"/>
    <n v="3"/>
    <n v="2"/>
    <n v="2"/>
    <n v="8"/>
    <n v="3"/>
    <s v="Better"/>
    <n v="3"/>
    <x v="1"/>
    <n v="2"/>
    <n v="0"/>
    <n v="2"/>
  </r>
  <r>
    <n v="30"/>
    <s v="Middle Aged"/>
    <n v="0"/>
    <s v="Travel_Rarely"/>
    <n v="1358"/>
    <x v="1"/>
    <n v="16"/>
    <s v="Long Commute"/>
    <s v="Below College"/>
    <s v="Life Sciences"/>
    <n v="4"/>
    <s v="Male"/>
    <n v="96"/>
    <n v="3"/>
    <n v="2"/>
    <s v="Sales Executive"/>
    <s v="High"/>
    <s v="Married"/>
    <n v="5301"/>
    <s v="Medium (5k-10k)"/>
    <n v="2939"/>
    <n v="8"/>
    <x v="0"/>
    <n v="15"/>
    <n v="3"/>
    <n v="3"/>
    <n v="2"/>
    <n v="4"/>
    <n v="2"/>
    <s v="Good"/>
    <n v="2"/>
    <x v="0"/>
    <n v="1"/>
    <n v="2"/>
    <n v="2"/>
  </r>
  <r>
    <n v="30"/>
    <s v="Middle Aged"/>
    <n v="0"/>
    <s v="Non-Travel"/>
    <n v="990"/>
    <x v="0"/>
    <n v="7"/>
    <s v="Moderate"/>
    <s v="Bachelor"/>
    <s v="Technical Degree"/>
    <n v="3"/>
    <s v="Male"/>
    <n v="64"/>
    <n v="3"/>
    <n v="1"/>
    <s v="Research Scientist"/>
    <s v="High"/>
    <s v="Divorced"/>
    <n v="1274"/>
    <s v="Low (&lt;5k)"/>
    <n v="7152"/>
    <n v="1"/>
    <x v="0"/>
    <n v="13"/>
    <n v="3"/>
    <n v="2"/>
    <n v="2"/>
    <n v="1"/>
    <n v="2"/>
    <s v="Good"/>
    <n v="1"/>
    <x v="0"/>
    <n v="0"/>
    <n v="0"/>
    <n v="0"/>
  </r>
  <r>
    <n v="30"/>
    <s v="Middle Aged"/>
    <n v="0"/>
    <s v="Travel_Rarely"/>
    <n v="330"/>
    <x v="2"/>
    <n v="1"/>
    <s v="Near Office"/>
    <s v="Bachelor"/>
    <s v="Life Sciences"/>
    <n v="3"/>
    <s v="Male"/>
    <n v="46"/>
    <n v="3"/>
    <n v="1"/>
    <s v="Human Resources"/>
    <s v="High"/>
    <s v="Divorced"/>
    <n v="2064"/>
    <s v="Low (&lt;5k)"/>
    <n v="15428"/>
    <n v="0"/>
    <x v="0"/>
    <n v="21"/>
    <n v="4"/>
    <n v="1"/>
    <n v="1"/>
    <n v="6"/>
    <n v="3"/>
    <s v="Best"/>
    <n v="5"/>
    <x v="1"/>
    <n v="3"/>
    <n v="1"/>
    <n v="3"/>
  </r>
  <r>
    <n v="30"/>
    <s v="Middle Aged"/>
    <n v="1"/>
    <s v="Travel_Rarely"/>
    <n v="740"/>
    <x v="1"/>
    <n v="1"/>
    <s v="Near Office"/>
    <s v="Bachelor"/>
    <s v="Life Sciences"/>
    <n v="2"/>
    <s v="Male"/>
    <n v="64"/>
    <n v="2"/>
    <n v="2"/>
    <s v="Sales Executive"/>
    <s v="Low"/>
    <s v="Married"/>
    <n v="9714"/>
    <s v="Medium (5k-10k)"/>
    <n v="5323"/>
    <n v="1"/>
    <x v="0"/>
    <n v="11"/>
    <n v="3"/>
    <n v="4"/>
    <n v="1"/>
    <n v="10"/>
    <n v="4"/>
    <s v="Better"/>
    <n v="10"/>
    <x v="2"/>
    <n v="8"/>
    <n v="6"/>
    <n v="7"/>
  </r>
  <r>
    <n v="30"/>
    <s v="Middle Aged"/>
    <n v="0"/>
    <s v="Travel_Rarely"/>
    <n v="1288"/>
    <x v="1"/>
    <n v="29"/>
    <s v="Long Commute"/>
    <s v="Master"/>
    <s v="Technical Degree"/>
    <n v="3"/>
    <s v="Male"/>
    <n v="33"/>
    <n v="3"/>
    <n v="3"/>
    <s v="Sales Executive"/>
    <s v="Medium"/>
    <s v="Married"/>
    <n v="9250"/>
    <s v="Medium (5k-10k)"/>
    <n v="17799"/>
    <n v="3"/>
    <x v="0"/>
    <n v="12"/>
    <n v="3"/>
    <n v="2"/>
    <n v="1"/>
    <n v="9"/>
    <n v="3"/>
    <s v="Better"/>
    <n v="4"/>
    <x v="1"/>
    <n v="2"/>
    <n v="1"/>
    <n v="3"/>
  </r>
  <r>
    <n v="30"/>
    <s v="Middle Aged"/>
    <n v="0"/>
    <s v="Travel_Rarely"/>
    <n v="241"/>
    <x v="0"/>
    <n v="7"/>
    <s v="Moderate"/>
    <s v="Bachelor"/>
    <s v="Medical"/>
    <n v="2"/>
    <s v="Male"/>
    <n v="48"/>
    <n v="2"/>
    <n v="1"/>
    <s v="Research Scientist"/>
    <s v="Medium"/>
    <s v="Married"/>
    <n v="2141"/>
    <s v="Low (&lt;5k)"/>
    <n v="5348"/>
    <n v="1"/>
    <x v="0"/>
    <n v="12"/>
    <n v="3"/>
    <n v="2"/>
    <n v="1"/>
    <n v="6"/>
    <n v="3"/>
    <s v="Good"/>
    <n v="6"/>
    <x v="1"/>
    <n v="4"/>
    <n v="1"/>
    <n v="1"/>
  </r>
  <r>
    <n v="30"/>
    <s v="Middle Aged"/>
    <n v="0"/>
    <s v="Travel_Rarely"/>
    <n v="793"/>
    <x v="0"/>
    <n v="16"/>
    <s v="Long Commute"/>
    <s v="Below College"/>
    <s v="Life Sciences"/>
    <n v="2"/>
    <s v="Male"/>
    <n v="33"/>
    <n v="3"/>
    <n v="1"/>
    <s v="Research Scientist"/>
    <s v="Very High"/>
    <s v="Married"/>
    <n v="2862"/>
    <s v="Low (&lt;5k)"/>
    <n v="3811"/>
    <n v="1"/>
    <x v="0"/>
    <n v="12"/>
    <n v="3"/>
    <n v="2"/>
    <n v="1"/>
    <n v="10"/>
    <n v="2"/>
    <s v="Good"/>
    <n v="10"/>
    <x v="2"/>
    <n v="0"/>
    <n v="0"/>
    <n v="8"/>
  </r>
  <r>
    <n v="30"/>
    <s v="Middle Aged"/>
    <n v="0"/>
    <s v="Travel_Frequently"/>
    <n v="1312"/>
    <x v="0"/>
    <n v="2"/>
    <s v="Near Office"/>
    <s v="Master"/>
    <s v="Technical Degree"/>
    <n v="4"/>
    <s v="Female"/>
    <n v="78"/>
    <n v="2"/>
    <n v="1"/>
    <s v="Research Scientist"/>
    <s v="Low"/>
    <s v="Single"/>
    <n v="4968"/>
    <s v="Low (&lt;5k)"/>
    <n v="26427"/>
    <n v="0"/>
    <x v="0"/>
    <n v="16"/>
    <n v="3"/>
    <n v="4"/>
    <n v="0"/>
    <n v="10"/>
    <n v="2"/>
    <s v="Better"/>
    <n v="9"/>
    <x v="1"/>
    <n v="7"/>
    <n v="0"/>
    <n v="7"/>
  </r>
  <r>
    <n v="30"/>
    <s v="Middle Aged"/>
    <n v="1"/>
    <s v="Travel_Frequently"/>
    <n v="600"/>
    <x v="2"/>
    <n v="8"/>
    <s v="Moderate"/>
    <s v="Bachelor"/>
    <s v="Human Resources"/>
    <n v="3"/>
    <s v="Female"/>
    <n v="66"/>
    <n v="2"/>
    <n v="1"/>
    <s v="Human Resources"/>
    <s v="Very High"/>
    <s v="Divorced"/>
    <n v="2180"/>
    <s v="Low (&lt;5k)"/>
    <n v="9732"/>
    <n v="6"/>
    <x v="0"/>
    <n v="11"/>
    <n v="3"/>
    <n v="3"/>
    <n v="1"/>
    <n v="6"/>
    <n v="0"/>
    <s v="Good"/>
    <n v="4"/>
    <x v="1"/>
    <n v="2"/>
    <n v="1"/>
    <n v="2"/>
  </r>
  <r>
    <n v="30"/>
    <s v="Middle Aged"/>
    <n v="0"/>
    <s v="Travel_Rarely"/>
    <n v="979"/>
    <x v="1"/>
    <n v="15"/>
    <s v="Moderate"/>
    <s v="College"/>
    <s v="Marketing"/>
    <n v="3"/>
    <s v="Male"/>
    <n v="94"/>
    <n v="2"/>
    <n v="3"/>
    <s v="Sales Executive"/>
    <s v="Low"/>
    <s v="Divorced"/>
    <n v="7140"/>
    <s v="Medium (5k-10k)"/>
    <n v="3088"/>
    <n v="2"/>
    <x v="0"/>
    <n v="11"/>
    <n v="3"/>
    <n v="1"/>
    <n v="1"/>
    <n v="12"/>
    <n v="2"/>
    <s v="Better"/>
    <n v="7"/>
    <x v="1"/>
    <n v="7"/>
    <n v="1"/>
    <n v="7"/>
  </r>
  <r>
    <n v="30"/>
    <s v="Middle Aged"/>
    <n v="0"/>
    <s v="Travel_Rarely"/>
    <n v="305"/>
    <x v="0"/>
    <n v="16"/>
    <s v="Long Commute"/>
    <s v="Bachelor"/>
    <s v="Life Sciences"/>
    <n v="3"/>
    <s v="Male"/>
    <n v="58"/>
    <n v="4"/>
    <n v="2"/>
    <s v="Healthcare Representative"/>
    <s v="High"/>
    <s v="Married"/>
    <n v="5294"/>
    <s v="Medium (5k-10k)"/>
    <n v="9128"/>
    <n v="3"/>
    <x v="0"/>
    <n v="16"/>
    <n v="3"/>
    <n v="3"/>
    <n v="1"/>
    <n v="10"/>
    <n v="3"/>
    <s v="Better"/>
    <n v="7"/>
    <x v="1"/>
    <n v="0"/>
    <n v="1"/>
    <n v="7"/>
  </r>
  <r>
    <n v="30"/>
    <s v="Middle Aged"/>
    <n v="0"/>
    <s v="Travel_Rarely"/>
    <n v="1092"/>
    <x v="0"/>
    <n v="10"/>
    <s v="Moderate"/>
    <s v="Bachelor"/>
    <s v="Medical"/>
    <n v="1"/>
    <s v="Female"/>
    <n v="64"/>
    <n v="3"/>
    <n v="3"/>
    <s v="Manufacturing Director"/>
    <s v="High"/>
    <s v="Single"/>
    <n v="9667"/>
    <s v="Medium (5k-10k)"/>
    <n v="2739"/>
    <n v="9"/>
    <x v="0"/>
    <n v="14"/>
    <n v="3"/>
    <n v="2"/>
    <n v="0"/>
    <n v="9"/>
    <n v="3"/>
    <s v="Better"/>
    <n v="7"/>
    <x v="1"/>
    <n v="7"/>
    <n v="0"/>
    <n v="2"/>
  </r>
  <r>
    <n v="30"/>
    <s v="Middle Aged"/>
    <n v="1"/>
    <s v="Travel_Rarely"/>
    <n v="945"/>
    <x v="1"/>
    <n v="9"/>
    <s v="Moderate"/>
    <s v="Bachelor"/>
    <s v="Medical"/>
    <n v="2"/>
    <s v="Male"/>
    <n v="89"/>
    <n v="3"/>
    <n v="1"/>
    <s v="Sales Representative"/>
    <s v="Very High"/>
    <s v="Single"/>
    <n v="1081"/>
    <s v="Low (&lt;5k)"/>
    <n v="16019"/>
    <n v="1"/>
    <x v="0"/>
    <n v="13"/>
    <n v="3"/>
    <n v="3"/>
    <n v="0"/>
    <n v="1"/>
    <n v="3"/>
    <s v="Good"/>
    <n v="1"/>
    <x v="0"/>
    <n v="0"/>
    <n v="0"/>
    <n v="0"/>
  </r>
  <r>
    <n v="30"/>
    <s v="Middle Aged"/>
    <n v="0"/>
    <s v="Travel_Rarely"/>
    <n v="911"/>
    <x v="0"/>
    <n v="1"/>
    <s v="Near Office"/>
    <s v="College"/>
    <s v="Medical"/>
    <n v="4"/>
    <s v="Male"/>
    <n v="76"/>
    <n v="3"/>
    <n v="1"/>
    <s v="Laboratory Technician"/>
    <s v="Medium"/>
    <s v="Married"/>
    <n v="3748"/>
    <s v="Low (&lt;5k)"/>
    <n v="4077"/>
    <n v="1"/>
    <x v="0"/>
    <n v="13"/>
    <n v="3"/>
    <n v="3"/>
    <n v="0"/>
    <n v="12"/>
    <n v="6"/>
    <s v="Good"/>
    <n v="12"/>
    <x v="2"/>
    <n v="8"/>
    <n v="1"/>
    <n v="7"/>
  </r>
  <r>
    <n v="31"/>
    <s v="Middle Aged"/>
    <n v="0"/>
    <s v="Travel_Rarely"/>
    <n v="670"/>
    <x v="0"/>
    <n v="26"/>
    <s v="Long Commute"/>
    <s v="Below College"/>
    <s v="Life Sciences"/>
    <n v="1"/>
    <s v="Male"/>
    <n v="31"/>
    <n v="3"/>
    <n v="1"/>
    <s v="Research Scientist"/>
    <s v="High"/>
    <s v="Divorced"/>
    <n v="2911"/>
    <s v="Low (&lt;5k)"/>
    <n v="15170"/>
    <n v="1"/>
    <x v="0"/>
    <n v="17"/>
    <n v="3"/>
    <n v="4"/>
    <n v="1"/>
    <n v="5"/>
    <n v="1"/>
    <s v="Good"/>
    <n v="5"/>
    <x v="1"/>
    <n v="2"/>
    <n v="4"/>
    <n v="3"/>
  </r>
  <r>
    <n v="31"/>
    <s v="Middle Aged"/>
    <n v="0"/>
    <s v="Travel_Rarely"/>
    <n v="655"/>
    <x v="0"/>
    <n v="7"/>
    <s v="Moderate"/>
    <s v="Master"/>
    <s v="Life Sciences"/>
    <n v="4"/>
    <s v="Male"/>
    <n v="48"/>
    <n v="3"/>
    <n v="2"/>
    <s v="Laboratory Technician"/>
    <s v="Very High"/>
    <s v="Divorced"/>
    <n v="5915"/>
    <s v="Medium (5k-10k)"/>
    <n v="9528"/>
    <n v="3"/>
    <x v="0"/>
    <n v="22"/>
    <n v="4"/>
    <n v="4"/>
    <n v="1"/>
    <n v="10"/>
    <n v="3"/>
    <s v="Good"/>
    <n v="7"/>
    <x v="1"/>
    <n v="7"/>
    <n v="1"/>
    <n v="7"/>
  </r>
  <r>
    <n v="31"/>
    <s v="Middle Aged"/>
    <n v="0"/>
    <s v="Travel_Rarely"/>
    <n v="1082"/>
    <x v="0"/>
    <n v="1"/>
    <s v="Near Office"/>
    <s v="Master"/>
    <s v="Medical"/>
    <n v="3"/>
    <s v="Male"/>
    <n v="87"/>
    <n v="3"/>
    <n v="1"/>
    <s v="Research Scientist"/>
    <s v="Medium"/>
    <s v="Single"/>
    <n v="2501"/>
    <s v="Low (&lt;5k)"/>
    <n v="18775"/>
    <n v="1"/>
    <x v="0"/>
    <n v="17"/>
    <n v="3"/>
    <n v="2"/>
    <n v="0"/>
    <n v="1"/>
    <n v="4"/>
    <s v="Better"/>
    <n v="1"/>
    <x v="0"/>
    <n v="1"/>
    <n v="1"/>
    <n v="0"/>
  </r>
  <r>
    <n v="31"/>
    <s v="Middle Aged"/>
    <n v="0"/>
    <s v="Travel_Rarely"/>
    <n v="746"/>
    <x v="0"/>
    <n v="8"/>
    <s v="Moderate"/>
    <s v="Master"/>
    <s v="Life Sciences"/>
    <n v="3"/>
    <s v="Female"/>
    <n v="61"/>
    <n v="3"/>
    <n v="2"/>
    <s v="Manufacturing Director"/>
    <s v="Very High"/>
    <s v="Single"/>
    <n v="4424"/>
    <s v="Low (&lt;5k)"/>
    <n v="20682"/>
    <n v="1"/>
    <x v="0"/>
    <n v="23"/>
    <n v="4"/>
    <n v="4"/>
    <n v="0"/>
    <n v="11"/>
    <n v="2"/>
    <s v="Better"/>
    <n v="11"/>
    <x v="2"/>
    <n v="7"/>
    <n v="1"/>
    <n v="8"/>
  </r>
  <r>
    <n v="31"/>
    <s v="Middle Aged"/>
    <n v="1"/>
    <s v="Travel_Rarely"/>
    <n v="249"/>
    <x v="1"/>
    <n v="6"/>
    <s v="Moderate"/>
    <s v="Master"/>
    <s v="Life Sciences"/>
    <n v="2"/>
    <s v="Male"/>
    <n v="76"/>
    <n v="1"/>
    <n v="2"/>
    <s v="Sales Executive"/>
    <s v="High"/>
    <s v="Married"/>
    <n v="6172"/>
    <s v="Medium (5k-10k)"/>
    <n v="20739"/>
    <n v="4"/>
    <x v="1"/>
    <n v="18"/>
    <n v="3"/>
    <n v="2"/>
    <n v="0"/>
    <n v="12"/>
    <n v="3"/>
    <s v="Good"/>
    <n v="7"/>
    <x v="1"/>
    <n v="7"/>
    <n v="7"/>
    <n v="7"/>
  </r>
  <r>
    <n v="31"/>
    <s v="Middle Aged"/>
    <n v="1"/>
    <s v="Travel_Rarely"/>
    <n v="542"/>
    <x v="1"/>
    <n v="20"/>
    <s v="Long Commute"/>
    <s v="Bachelor"/>
    <s v="Life Sciences"/>
    <n v="2"/>
    <s v="Female"/>
    <n v="71"/>
    <n v="1"/>
    <n v="2"/>
    <s v="Sales Executive"/>
    <s v="High"/>
    <s v="Married"/>
    <n v="4559"/>
    <s v="Low (&lt;5k)"/>
    <n v="24788"/>
    <n v="3"/>
    <x v="1"/>
    <n v="11"/>
    <n v="3"/>
    <n v="3"/>
    <n v="1"/>
    <n v="4"/>
    <n v="2"/>
    <s v="Better"/>
    <n v="2"/>
    <x v="0"/>
    <n v="2"/>
    <n v="2"/>
    <n v="2"/>
  </r>
  <r>
    <n v="31"/>
    <s v="Middle Aged"/>
    <n v="0"/>
    <s v="Travel_Rarely"/>
    <n v="140"/>
    <x v="0"/>
    <n v="12"/>
    <s v="Moderate"/>
    <s v="Below College"/>
    <s v="Medical"/>
    <n v="3"/>
    <s v="Female"/>
    <n v="95"/>
    <n v="3"/>
    <n v="1"/>
    <s v="Research Scientist"/>
    <s v="Very High"/>
    <s v="Married"/>
    <n v="3929"/>
    <s v="Low (&lt;5k)"/>
    <n v="6984"/>
    <n v="8"/>
    <x v="1"/>
    <n v="23"/>
    <n v="4"/>
    <n v="3"/>
    <n v="1"/>
    <n v="7"/>
    <n v="0"/>
    <s v="Better"/>
    <n v="4"/>
    <x v="1"/>
    <n v="2"/>
    <n v="0"/>
    <n v="2"/>
  </r>
  <r>
    <n v="31"/>
    <s v="Middle Aged"/>
    <n v="0"/>
    <s v="Non-Travel"/>
    <n v="979"/>
    <x v="0"/>
    <n v="1"/>
    <s v="Near Office"/>
    <s v="Master"/>
    <s v="Medical"/>
    <n v="3"/>
    <s v="Male"/>
    <n v="90"/>
    <n v="1"/>
    <n v="2"/>
    <s v="Manufacturing Director"/>
    <s v="High"/>
    <s v="Married"/>
    <n v="4345"/>
    <s v="Low (&lt;5k)"/>
    <n v="4381"/>
    <n v="0"/>
    <x v="0"/>
    <n v="12"/>
    <n v="3"/>
    <n v="4"/>
    <n v="1"/>
    <n v="6"/>
    <n v="2"/>
    <s v="Better"/>
    <n v="5"/>
    <x v="1"/>
    <n v="4"/>
    <n v="1"/>
    <n v="4"/>
  </r>
  <r>
    <n v="31"/>
    <s v="Middle Aged"/>
    <n v="0"/>
    <s v="Travel_Frequently"/>
    <n v="1327"/>
    <x v="0"/>
    <n v="3"/>
    <s v="Near Office"/>
    <s v="Master"/>
    <s v="Medical"/>
    <n v="2"/>
    <s v="Male"/>
    <n v="73"/>
    <n v="3"/>
    <n v="3"/>
    <s v="Research Director"/>
    <s v="High"/>
    <s v="Divorced"/>
    <n v="13675"/>
    <s v="High (&gt;10k)"/>
    <n v="13523"/>
    <n v="9"/>
    <x v="0"/>
    <n v="12"/>
    <n v="3"/>
    <n v="1"/>
    <n v="1"/>
    <n v="9"/>
    <n v="3"/>
    <s v="Better"/>
    <n v="2"/>
    <x v="0"/>
    <n v="2"/>
    <n v="2"/>
    <n v="2"/>
  </r>
  <r>
    <n v="31"/>
    <s v="Middle Aged"/>
    <n v="1"/>
    <s v="Travel_Frequently"/>
    <n v="307"/>
    <x v="0"/>
    <n v="29"/>
    <s v="Long Commute"/>
    <s v="College"/>
    <s v="Medical"/>
    <n v="3"/>
    <s v="Male"/>
    <n v="71"/>
    <n v="2"/>
    <n v="1"/>
    <s v="Laboratory Technician"/>
    <s v="Medium"/>
    <s v="Single"/>
    <n v="3479"/>
    <s v="Low (&lt;5k)"/>
    <n v="11652"/>
    <n v="0"/>
    <x v="0"/>
    <n v="11"/>
    <n v="3"/>
    <n v="2"/>
    <n v="0"/>
    <n v="6"/>
    <n v="2"/>
    <s v="Best"/>
    <n v="5"/>
    <x v="1"/>
    <n v="4"/>
    <n v="1"/>
    <n v="4"/>
  </r>
  <r>
    <n v="31"/>
    <s v="Middle Aged"/>
    <n v="0"/>
    <s v="Travel_Rarely"/>
    <n v="1463"/>
    <x v="0"/>
    <n v="23"/>
    <s v="Long Commute"/>
    <s v="Bachelor"/>
    <s v="Medical"/>
    <n v="2"/>
    <s v="Male"/>
    <n v="64"/>
    <n v="2"/>
    <n v="2"/>
    <s v="Healthcare Representative"/>
    <s v="Very High"/>
    <s v="Married"/>
    <n v="5582"/>
    <s v="Medium (5k-10k)"/>
    <n v="14408"/>
    <n v="0"/>
    <x v="0"/>
    <n v="21"/>
    <n v="4"/>
    <n v="2"/>
    <n v="1"/>
    <n v="10"/>
    <n v="2"/>
    <s v="Better"/>
    <n v="9"/>
    <x v="1"/>
    <n v="0"/>
    <n v="7"/>
    <n v="8"/>
  </r>
  <r>
    <n v="31"/>
    <s v="Middle Aged"/>
    <n v="0"/>
    <s v="Travel_Frequently"/>
    <n v="444"/>
    <x v="1"/>
    <n v="5"/>
    <s v="Near Office"/>
    <s v="Bachelor"/>
    <s v="Marketing"/>
    <n v="4"/>
    <s v="Female"/>
    <n v="84"/>
    <n v="3"/>
    <n v="1"/>
    <s v="Sales Representative"/>
    <s v="Medium"/>
    <s v="Divorced"/>
    <n v="2789"/>
    <s v="Low (&lt;5k)"/>
    <n v="3909"/>
    <n v="1"/>
    <x v="0"/>
    <n v="11"/>
    <n v="3"/>
    <n v="3"/>
    <n v="1"/>
    <n v="2"/>
    <n v="5"/>
    <s v="Good"/>
    <n v="2"/>
    <x v="0"/>
    <n v="2"/>
    <n v="2"/>
    <n v="2"/>
  </r>
  <r>
    <n v="31"/>
    <s v="Middle Aged"/>
    <n v="0"/>
    <s v="Travel_Rarely"/>
    <n v="218"/>
    <x v="1"/>
    <n v="7"/>
    <s v="Moderate"/>
    <s v="Bachelor"/>
    <s v="Technical Degree"/>
    <n v="2"/>
    <s v="Male"/>
    <n v="100"/>
    <n v="4"/>
    <n v="2"/>
    <s v="Sales Executive"/>
    <s v="Very High"/>
    <s v="Married"/>
    <n v="6929"/>
    <s v="Medium (5k-10k)"/>
    <n v="12241"/>
    <n v="4"/>
    <x v="0"/>
    <n v="11"/>
    <n v="3"/>
    <n v="2"/>
    <n v="1"/>
    <n v="10"/>
    <n v="3"/>
    <s v="Good"/>
    <n v="8"/>
    <x v="1"/>
    <n v="7"/>
    <n v="7"/>
    <n v="7"/>
  </r>
  <r>
    <n v="31"/>
    <s v="Middle Aged"/>
    <n v="0"/>
    <s v="Travel_Rarely"/>
    <n v="691"/>
    <x v="0"/>
    <n v="5"/>
    <s v="Near Office"/>
    <s v="Master"/>
    <s v="Technical Degree"/>
    <n v="3"/>
    <s v="Male"/>
    <n v="86"/>
    <n v="3"/>
    <n v="1"/>
    <s v="Research Scientist"/>
    <s v="Very High"/>
    <s v="Married"/>
    <n v="4821"/>
    <s v="Low (&lt;5k)"/>
    <n v="10077"/>
    <n v="0"/>
    <x v="1"/>
    <n v="12"/>
    <n v="3"/>
    <n v="3"/>
    <n v="1"/>
    <n v="6"/>
    <n v="4"/>
    <s v="Better"/>
    <n v="5"/>
    <x v="1"/>
    <n v="2"/>
    <n v="0"/>
    <n v="3"/>
  </r>
  <r>
    <n v="31"/>
    <s v="Middle Aged"/>
    <n v="0"/>
    <s v="Travel_Rarely"/>
    <n v="106"/>
    <x v="2"/>
    <n v="2"/>
    <s v="Near Office"/>
    <s v="Bachelor"/>
    <s v="Human Resources"/>
    <n v="1"/>
    <s v="Male"/>
    <n v="62"/>
    <n v="2"/>
    <n v="2"/>
    <s v="Human Resources"/>
    <s v="Low"/>
    <s v="Married"/>
    <n v="6410"/>
    <s v="Medium (5k-10k)"/>
    <n v="17822"/>
    <n v="3"/>
    <x v="0"/>
    <n v="12"/>
    <n v="3"/>
    <n v="4"/>
    <n v="0"/>
    <n v="9"/>
    <n v="1"/>
    <s v="Better"/>
    <n v="2"/>
    <x v="0"/>
    <n v="2"/>
    <n v="1"/>
    <n v="0"/>
  </r>
  <r>
    <n v="31"/>
    <s v="Middle Aged"/>
    <n v="0"/>
    <s v="Travel_Rarely"/>
    <n v="192"/>
    <x v="0"/>
    <n v="2"/>
    <s v="Near Office"/>
    <s v="Master"/>
    <s v="Life Sciences"/>
    <n v="3"/>
    <s v="Male"/>
    <n v="32"/>
    <n v="3"/>
    <n v="1"/>
    <s v="Research Scientist"/>
    <s v="Very High"/>
    <s v="Divorced"/>
    <n v="2695"/>
    <s v="Low (&lt;5k)"/>
    <n v="7747"/>
    <n v="0"/>
    <x v="1"/>
    <n v="18"/>
    <n v="3"/>
    <n v="2"/>
    <n v="1"/>
    <n v="3"/>
    <n v="2"/>
    <s v="Bad"/>
    <n v="2"/>
    <x v="0"/>
    <n v="2"/>
    <n v="2"/>
    <n v="2"/>
  </r>
  <r>
    <n v="31"/>
    <s v="Middle Aged"/>
    <n v="0"/>
    <s v="Travel_Rarely"/>
    <n v="691"/>
    <x v="1"/>
    <n v="7"/>
    <s v="Moderate"/>
    <s v="Bachelor"/>
    <s v="Marketing"/>
    <n v="4"/>
    <s v="Male"/>
    <n v="73"/>
    <n v="3"/>
    <n v="2"/>
    <s v="Sales Executive"/>
    <s v="Very High"/>
    <s v="Divorced"/>
    <n v="7547"/>
    <s v="Medium (5k-10k)"/>
    <n v="7143"/>
    <n v="4"/>
    <x v="0"/>
    <n v="12"/>
    <n v="3"/>
    <n v="4"/>
    <n v="3"/>
    <n v="13"/>
    <n v="3"/>
    <s v="Better"/>
    <n v="7"/>
    <x v="1"/>
    <n v="7"/>
    <n v="1"/>
    <n v="7"/>
  </r>
  <r>
    <n v="31"/>
    <s v="Middle Aged"/>
    <n v="0"/>
    <s v="Travel_Frequently"/>
    <n v="798"/>
    <x v="0"/>
    <n v="7"/>
    <s v="Moderate"/>
    <s v="College"/>
    <s v="Life Sciences"/>
    <n v="3"/>
    <s v="Female"/>
    <n v="48"/>
    <n v="2"/>
    <n v="3"/>
    <s v="Manufacturing Director"/>
    <s v="High"/>
    <s v="Married"/>
    <n v="8943"/>
    <s v="Medium (5k-10k)"/>
    <n v="14034"/>
    <n v="1"/>
    <x v="0"/>
    <n v="24"/>
    <n v="4"/>
    <n v="1"/>
    <n v="1"/>
    <n v="10"/>
    <n v="2"/>
    <s v="Better"/>
    <n v="10"/>
    <x v="2"/>
    <n v="9"/>
    <n v="8"/>
    <n v="9"/>
  </r>
  <r>
    <n v="31"/>
    <s v="Middle Aged"/>
    <n v="0"/>
    <s v="Travel_Rarely"/>
    <n v="1232"/>
    <x v="0"/>
    <n v="7"/>
    <s v="Moderate"/>
    <s v="Master"/>
    <s v="Medical"/>
    <n v="3"/>
    <s v="Female"/>
    <n v="39"/>
    <n v="3"/>
    <n v="3"/>
    <s v="Manufacturing Director"/>
    <s v="Very High"/>
    <s v="Single"/>
    <n v="7143"/>
    <s v="Medium (5k-10k)"/>
    <n v="25713"/>
    <n v="1"/>
    <x v="1"/>
    <n v="14"/>
    <n v="3"/>
    <n v="3"/>
    <n v="0"/>
    <n v="11"/>
    <n v="2"/>
    <s v="Good"/>
    <n v="11"/>
    <x v="2"/>
    <n v="9"/>
    <n v="4"/>
    <n v="10"/>
  </r>
  <r>
    <n v="31"/>
    <s v="Middle Aged"/>
    <n v="0"/>
    <s v="Travel_Rarely"/>
    <n v="408"/>
    <x v="0"/>
    <n v="9"/>
    <s v="Moderate"/>
    <s v="Master"/>
    <s v="Life Sciences"/>
    <n v="3"/>
    <s v="Male"/>
    <n v="42"/>
    <n v="2"/>
    <n v="1"/>
    <s v="Research Scientist"/>
    <s v="Medium"/>
    <s v="Single"/>
    <n v="2657"/>
    <s v="Low (&lt;5k)"/>
    <n v="7551"/>
    <n v="0"/>
    <x v="1"/>
    <n v="16"/>
    <n v="3"/>
    <n v="4"/>
    <n v="0"/>
    <n v="3"/>
    <n v="5"/>
    <s v="Better"/>
    <n v="2"/>
    <x v="0"/>
    <n v="2"/>
    <n v="2"/>
    <n v="2"/>
  </r>
  <r>
    <n v="31"/>
    <s v="Middle Aged"/>
    <n v="0"/>
    <s v="Travel_Rarely"/>
    <n v="480"/>
    <x v="0"/>
    <n v="7"/>
    <s v="Moderate"/>
    <s v="College"/>
    <s v="Medical"/>
    <n v="2"/>
    <s v="Female"/>
    <n v="31"/>
    <n v="3"/>
    <n v="2"/>
    <s v="Manufacturing Director"/>
    <s v="Low"/>
    <s v="Married"/>
    <n v="4306"/>
    <s v="Low (&lt;5k)"/>
    <n v="4156"/>
    <n v="1"/>
    <x v="0"/>
    <n v="12"/>
    <n v="3"/>
    <n v="2"/>
    <n v="1"/>
    <n v="13"/>
    <n v="5"/>
    <s v="Bad"/>
    <n v="13"/>
    <x v="2"/>
    <n v="10"/>
    <n v="3"/>
    <n v="12"/>
  </r>
  <r>
    <n v="31"/>
    <s v="Middle Aged"/>
    <n v="0"/>
    <s v="Travel_Rarely"/>
    <n v="329"/>
    <x v="0"/>
    <n v="1"/>
    <s v="Near Office"/>
    <s v="College"/>
    <s v="Life Sciences"/>
    <n v="4"/>
    <s v="Male"/>
    <n v="98"/>
    <n v="2"/>
    <n v="1"/>
    <s v="Laboratory Technician"/>
    <s v="Low"/>
    <s v="Married"/>
    <n v="2218"/>
    <s v="Low (&lt;5k)"/>
    <n v="16193"/>
    <n v="1"/>
    <x v="0"/>
    <n v="12"/>
    <n v="3"/>
    <n v="3"/>
    <n v="1"/>
    <n v="4"/>
    <n v="3"/>
    <s v="Better"/>
    <n v="4"/>
    <x v="1"/>
    <n v="2"/>
    <n v="3"/>
    <n v="2"/>
  </r>
  <r>
    <n v="31"/>
    <s v="Middle Aged"/>
    <n v="0"/>
    <s v="Travel_Rarely"/>
    <n v="1274"/>
    <x v="0"/>
    <n v="9"/>
    <s v="Moderate"/>
    <s v="Below College"/>
    <s v="Life Sciences"/>
    <n v="3"/>
    <s v="Male"/>
    <n v="33"/>
    <n v="3"/>
    <n v="3"/>
    <s v="Manufacturing Director"/>
    <s v="Medium"/>
    <s v="Divorced"/>
    <n v="10648"/>
    <s v="High (&gt;10k)"/>
    <n v="14394"/>
    <n v="1"/>
    <x v="0"/>
    <n v="25"/>
    <n v="4"/>
    <n v="4"/>
    <n v="1"/>
    <n v="13"/>
    <n v="6"/>
    <s v="Best"/>
    <n v="13"/>
    <x v="2"/>
    <n v="8"/>
    <n v="0"/>
    <n v="8"/>
  </r>
  <r>
    <n v="31"/>
    <s v="Middle Aged"/>
    <n v="1"/>
    <s v="Travel_Frequently"/>
    <n v="534"/>
    <x v="0"/>
    <n v="20"/>
    <s v="Long Commute"/>
    <s v="Bachelor"/>
    <s v="Life Sciences"/>
    <n v="1"/>
    <s v="Male"/>
    <n v="66"/>
    <n v="3"/>
    <n v="3"/>
    <s v="Healthcare Representative"/>
    <s v="High"/>
    <s v="Married"/>
    <n v="9824"/>
    <s v="Medium (5k-10k)"/>
    <n v="22908"/>
    <n v="3"/>
    <x v="0"/>
    <n v="12"/>
    <n v="3"/>
    <n v="1"/>
    <n v="0"/>
    <n v="12"/>
    <n v="2"/>
    <s v="Better"/>
    <n v="1"/>
    <x v="0"/>
    <n v="0"/>
    <n v="0"/>
    <n v="0"/>
  </r>
  <r>
    <n v="31"/>
    <s v="Middle Aged"/>
    <n v="0"/>
    <s v="Travel_Rarely"/>
    <n v="828"/>
    <x v="1"/>
    <n v="2"/>
    <s v="Near Office"/>
    <s v="Below College"/>
    <s v="Life Sciences"/>
    <n v="2"/>
    <s v="Male"/>
    <n v="77"/>
    <n v="3"/>
    <n v="2"/>
    <s v="Sales Executive"/>
    <s v="Very High"/>
    <s v="Single"/>
    <n v="6582"/>
    <s v="Medium (5k-10k)"/>
    <n v="8346"/>
    <n v="4"/>
    <x v="1"/>
    <n v="13"/>
    <n v="3"/>
    <n v="3"/>
    <n v="0"/>
    <n v="10"/>
    <n v="2"/>
    <s v="Best"/>
    <n v="6"/>
    <x v="1"/>
    <n v="5"/>
    <n v="0"/>
    <n v="5"/>
  </r>
  <r>
    <n v="31"/>
    <s v="Middle Aged"/>
    <n v="0"/>
    <s v="Travel_Rarely"/>
    <n v="688"/>
    <x v="1"/>
    <n v="7"/>
    <s v="Moderate"/>
    <s v="Bachelor"/>
    <s v="Life Sciences"/>
    <n v="3"/>
    <s v="Male"/>
    <n v="44"/>
    <n v="2"/>
    <n v="3"/>
    <s v="Manager"/>
    <s v="Very High"/>
    <s v="Divorced"/>
    <n v="11557"/>
    <s v="High (&gt;10k)"/>
    <n v="25291"/>
    <n v="9"/>
    <x v="0"/>
    <n v="21"/>
    <n v="4"/>
    <n v="3"/>
    <n v="1"/>
    <n v="10"/>
    <n v="3"/>
    <s v="Good"/>
    <n v="5"/>
    <x v="1"/>
    <n v="4"/>
    <n v="0"/>
    <n v="1"/>
  </r>
  <r>
    <n v="31"/>
    <s v="Middle Aged"/>
    <n v="1"/>
    <s v="Travel_Rarely"/>
    <n v="1365"/>
    <x v="1"/>
    <n v="13"/>
    <s v="Moderate"/>
    <s v="Master"/>
    <s v="Medical"/>
    <n v="2"/>
    <s v="Male"/>
    <n v="46"/>
    <n v="3"/>
    <n v="2"/>
    <s v="Sales Executive"/>
    <s v="Low"/>
    <s v="Divorced"/>
    <n v="4233"/>
    <s v="Low (&lt;5k)"/>
    <n v="11512"/>
    <n v="2"/>
    <x v="0"/>
    <n v="17"/>
    <n v="3"/>
    <n v="3"/>
    <n v="0"/>
    <n v="9"/>
    <n v="2"/>
    <s v="Bad"/>
    <n v="3"/>
    <x v="1"/>
    <n v="1"/>
    <n v="1"/>
    <n v="2"/>
  </r>
  <r>
    <n v="31"/>
    <s v="Middle Aged"/>
    <n v="0"/>
    <s v="Travel_Rarely"/>
    <n v="525"/>
    <x v="1"/>
    <n v="6"/>
    <s v="Moderate"/>
    <s v="Master"/>
    <s v="Medical"/>
    <n v="1"/>
    <s v="Male"/>
    <n v="66"/>
    <n v="4"/>
    <n v="2"/>
    <s v="Sales Executive"/>
    <s v="Very High"/>
    <s v="Divorced"/>
    <n v="5460"/>
    <s v="Medium (5k-10k)"/>
    <n v="6219"/>
    <n v="4"/>
    <x v="0"/>
    <n v="22"/>
    <n v="4"/>
    <n v="4"/>
    <n v="2"/>
    <n v="13"/>
    <n v="4"/>
    <s v="Best"/>
    <n v="7"/>
    <x v="1"/>
    <n v="7"/>
    <n v="5"/>
    <n v="7"/>
  </r>
  <r>
    <n v="31"/>
    <s v="Middle Aged"/>
    <n v="0"/>
    <s v="Travel_Rarely"/>
    <n v="1222"/>
    <x v="0"/>
    <n v="11"/>
    <s v="Moderate"/>
    <s v="Master"/>
    <s v="Life Sciences"/>
    <n v="4"/>
    <s v="Male"/>
    <n v="48"/>
    <n v="3"/>
    <n v="1"/>
    <s v="Research Scientist"/>
    <s v="Very High"/>
    <s v="Married"/>
    <n v="2356"/>
    <s v="Low (&lt;5k)"/>
    <n v="14871"/>
    <n v="3"/>
    <x v="1"/>
    <n v="19"/>
    <n v="3"/>
    <n v="2"/>
    <n v="1"/>
    <n v="8"/>
    <n v="2"/>
    <s v="Better"/>
    <n v="6"/>
    <x v="1"/>
    <n v="4"/>
    <n v="0"/>
    <n v="2"/>
  </r>
  <r>
    <n v="31"/>
    <s v="Middle Aged"/>
    <n v="0"/>
    <s v="Travel_Rarely"/>
    <n v="154"/>
    <x v="1"/>
    <n v="7"/>
    <s v="Moderate"/>
    <s v="Master"/>
    <s v="Life Sciences"/>
    <n v="2"/>
    <s v="Male"/>
    <n v="41"/>
    <n v="2"/>
    <n v="1"/>
    <s v="Sales Representative"/>
    <s v="High"/>
    <s v="Married"/>
    <n v="2329"/>
    <s v="Low (&lt;5k)"/>
    <n v="11737"/>
    <n v="3"/>
    <x v="0"/>
    <n v="15"/>
    <n v="3"/>
    <n v="2"/>
    <n v="0"/>
    <n v="13"/>
    <n v="2"/>
    <s v="Best"/>
    <n v="7"/>
    <x v="1"/>
    <n v="7"/>
    <n v="5"/>
    <n v="2"/>
  </r>
  <r>
    <n v="31"/>
    <s v="Middle Aged"/>
    <n v="0"/>
    <s v="Non-Travel"/>
    <n v="1188"/>
    <x v="1"/>
    <n v="20"/>
    <s v="Long Commute"/>
    <s v="College"/>
    <s v="Marketing"/>
    <n v="4"/>
    <s v="Female"/>
    <n v="45"/>
    <n v="3"/>
    <n v="2"/>
    <s v="Sales Executive"/>
    <s v="High"/>
    <s v="Married"/>
    <n v="6932"/>
    <s v="Medium (5k-10k)"/>
    <n v="24406"/>
    <n v="1"/>
    <x v="0"/>
    <n v="13"/>
    <n v="3"/>
    <n v="4"/>
    <n v="1"/>
    <n v="9"/>
    <n v="2"/>
    <s v="Good"/>
    <n v="9"/>
    <x v="1"/>
    <n v="8"/>
    <n v="0"/>
    <n v="0"/>
  </r>
  <r>
    <n v="31"/>
    <s v="Middle Aged"/>
    <n v="0"/>
    <s v="Travel_Rarely"/>
    <n v="616"/>
    <x v="0"/>
    <n v="12"/>
    <s v="Moderate"/>
    <s v="Bachelor"/>
    <s v="Medical"/>
    <n v="4"/>
    <s v="Female"/>
    <n v="41"/>
    <n v="3"/>
    <n v="2"/>
    <s v="Healthcare Representative"/>
    <s v="Very High"/>
    <s v="Married"/>
    <n v="5855"/>
    <s v="Medium (5k-10k)"/>
    <n v="17369"/>
    <n v="0"/>
    <x v="1"/>
    <n v="11"/>
    <n v="3"/>
    <n v="3"/>
    <n v="2"/>
    <n v="10"/>
    <n v="2"/>
    <s v="Bad"/>
    <n v="9"/>
    <x v="1"/>
    <n v="7"/>
    <n v="8"/>
    <n v="5"/>
  </r>
  <r>
    <n v="31"/>
    <s v="Middle Aged"/>
    <n v="1"/>
    <s v="Non-Travel"/>
    <n v="335"/>
    <x v="0"/>
    <n v="9"/>
    <s v="Moderate"/>
    <s v="College"/>
    <s v="Medical"/>
    <n v="3"/>
    <s v="Male"/>
    <n v="46"/>
    <n v="2"/>
    <n v="1"/>
    <s v="Research Scientist"/>
    <s v="Low"/>
    <s v="Single"/>
    <n v="2321"/>
    <s v="Low (&lt;5k)"/>
    <n v="10322"/>
    <n v="0"/>
    <x v="1"/>
    <n v="22"/>
    <n v="4"/>
    <n v="1"/>
    <n v="0"/>
    <n v="4"/>
    <n v="0"/>
    <s v="Better"/>
    <n v="3"/>
    <x v="1"/>
    <n v="2"/>
    <n v="1"/>
    <n v="2"/>
  </r>
  <r>
    <n v="31"/>
    <s v="Middle Aged"/>
    <n v="0"/>
    <s v="Travel_Frequently"/>
    <n v="853"/>
    <x v="0"/>
    <n v="1"/>
    <s v="Near Office"/>
    <s v="Below College"/>
    <s v="Life Sciences"/>
    <n v="3"/>
    <s v="Female"/>
    <n v="96"/>
    <n v="3"/>
    <n v="2"/>
    <s v="Manufacturing Director"/>
    <s v="Low"/>
    <s v="Married"/>
    <n v="4148"/>
    <s v="Low (&lt;5k)"/>
    <n v="11275"/>
    <n v="1"/>
    <x v="0"/>
    <n v="12"/>
    <n v="3"/>
    <n v="3"/>
    <n v="1"/>
    <n v="4"/>
    <n v="1"/>
    <s v="Better"/>
    <n v="4"/>
    <x v="1"/>
    <n v="3"/>
    <n v="0"/>
    <n v="3"/>
  </r>
  <r>
    <n v="31"/>
    <s v="Middle Aged"/>
    <n v="0"/>
    <s v="Travel_Frequently"/>
    <n v="793"/>
    <x v="1"/>
    <n v="20"/>
    <s v="Long Commute"/>
    <s v="Bachelor"/>
    <s v="Life Sciences"/>
    <n v="3"/>
    <s v="Male"/>
    <n v="67"/>
    <n v="4"/>
    <n v="1"/>
    <s v="Sales Representative"/>
    <s v="Very High"/>
    <s v="Married"/>
    <n v="2791"/>
    <s v="Low (&lt;5k)"/>
    <n v="21981"/>
    <n v="0"/>
    <x v="0"/>
    <n v="12"/>
    <n v="3"/>
    <n v="1"/>
    <n v="1"/>
    <n v="3"/>
    <n v="4"/>
    <s v="Better"/>
    <n v="2"/>
    <x v="0"/>
    <n v="2"/>
    <n v="2"/>
    <n v="2"/>
  </r>
  <r>
    <n v="31"/>
    <s v="Middle Aged"/>
    <n v="1"/>
    <s v="Travel_Frequently"/>
    <n v="874"/>
    <x v="0"/>
    <n v="15"/>
    <s v="Moderate"/>
    <s v="Bachelor"/>
    <s v="Medical"/>
    <n v="3"/>
    <s v="Male"/>
    <n v="72"/>
    <n v="3"/>
    <n v="1"/>
    <s v="Laboratory Technician"/>
    <s v="High"/>
    <s v="Married"/>
    <n v="2610"/>
    <s v="Low (&lt;5k)"/>
    <n v="6233"/>
    <n v="1"/>
    <x v="0"/>
    <n v="12"/>
    <n v="3"/>
    <n v="3"/>
    <n v="1"/>
    <n v="2"/>
    <n v="5"/>
    <s v="Good"/>
    <n v="2"/>
    <x v="0"/>
    <n v="2"/>
    <n v="2"/>
    <n v="2"/>
  </r>
  <r>
    <n v="31"/>
    <s v="Middle Aged"/>
    <n v="0"/>
    <s v="Travel_Rarely"/>
    <n v="1332"/>
    <x v="0"/>
    <n v="11"/>
    <s v="Moderate"/>
    <s v="College"/>
    <s v="Medical"/>
    <n v="3"/>
    <s v="Male"/>
    <n v="80"/>
    <n v="3"/>
    <n v="2"/>
    <s v="Healthcare Representative"/>
    <s v="Low"/>
    <s v="Married"/>
    <n v="6833"/>
    <s v="Medium (5k-10k)"/>
    <n v="17089"/>
    <n v="1"/>
    <x v="1"/>
    <n v="12"/>
    <n v="3"/>
    <n v="4"/>
    <n v="0"/>
    <n v="6"/>
    <n v="2"/>
    <s v="Good"/>
    <n v="6"/>
    <x v="1"/>
    <n v="5"/>
    <n v="0"/>
    <n v="1"/>
  </r>
  <r>
    <n v="31"/>
    <s v="Middle Aged"/>
    <n v="0"/>
    <s v="Travel_Rarely"/>
    <n v="1062"/>
    <x v="0"/>
    <n v="24"/>
    <s v="Long Commute"/>
    <s v="Bachelor"/>
    <s v="Medical"/>
    <n v="3"/>
    <s v="Female"/>
    <n v="96"/>
    <n v="2"/>
    <n v="2"/>
    <s v="Healthcare Representative"/>
    <s v="Low"/>
    <s v="Single"/>
    <n v="6812"/>
    <s v="Medium (5k-10k)"/>
    <n v="17198"/>
    <n v="1"/>
    <x v="0"/>
    <n v="19"/>
    <n v="3"/>
    <n v="2"/>
    <n v="0"/>
    <n v="10"/>
    <n v="2"/>
    <s v="Better"/>
    <n v="10"/>
    <x v="2"/>
    <n v="9"/>
    <n v="1"/>
    <n v="8"/>
  </r>
  <r>
    <n v="31"/>
    <s v="Middle Aged"/>
    <n v="0"/>
    <s v="Non-Travel"/>
    <n v="587"/>
    <x v="1"/>
    <n v="2"/>
    <s v="Near Office"/>
    <s v="Master"/>
    <s v="Life Sciences"/>
    <n v="4"/>
    <s v="Female"/>
    <n v="57"/>
    <n v="3"/>
    <n v="3"/>
    <s v="Sales Executive"/>
    <s v="High"/>
    <s v="Divorced"/>
    <n v="9852"/>
    <s v="Medium (5k-10k)"/>
    <n v="8935"/>
    <n v="1"/>
    <x v="1"/>
    <n v="19"/>
    <n v="3"/>
    <n v="1"/>
    <n v="1"/>
    <n v="10"/>
    <n v="5"/>
    <s v="Good"/>
    <n v="10"/>
    <x v="2"/>
    <n v="8"/>
    <n v="9"/>
    <n v="6"/>
  </r>
  <r>
    <n v="31"/>
    <s v="Middle Aged"/>
    <n v="1"/>
    <s v="Travel_Frequently"/>
    <n v="1060"/>
    <x v="1"/>
    <n v="1"/>
    <s v="Near Office"/>
    <s v="Bachelor"/>
    <s v="Life Sciences"/>
    <n v="4"/>
    <s v="Female"/>
    <n v="54"/>
    <n v="3"/>
    <n v="1"/>
    <s v="Sales Representative"/>
    <s v="Medium"/>
    <s v="Single"/>
    <n v="2302"/>
    <s v="Low (&lt;5k)"/>
    <n v="8319"/>
    <n v="1"/>
    <x v="1"/>
    <n v="11"/>
    <n v="3"/>
    <n v="1"/>
    <n v="0"/>
    <n v="3"/>
    <n v="2"/>
    <s v="Best"/>
    <n v="3"/>
    <x v="1"/>
    <n v="2"/>
    <n v="2"/>
    <n v="2"/>
  </r>
  <r>
    <n v="31"/>
    <s v="Middle Aged"/>
    <n v="1"/>
    <s v="Travel_Frequently"/>
    <n v="703"/>
    <x v="1"/>
    <n v="2"/>
    <s v="Near Office"/>
    <s v="Bachelor"/>
    <s v="Life Sciences"/>
    <n v="3"/>
    <s v="Female"/>
    <n v="90"/>
    <n v="2"/>
    <n v="1"/>
    <s v="Sales Representative"/>
    <s v="Very High"/>
    <s v="Single"/>
    <n v="2785"/>
    <s v="Low (&lt;5k)"/>
    <n v="11882"/>
    <n v="7"/>
    <x v="0"/>
    <n v="14"/>
    <n v="3"/>
    <n v="3"/>
    <n v="0"/>
    <n v="3"/>
    <n v="3"/>
    <s v="Best"/>
    <n v="1"/>
    <x v="0"/>
    <n v="0"/>
    <n v="0"/>
    <n v="0"/>
  </r>
  <r>
    <n v="31"/>
    <s v="Middle Aged"/>
    <n v="1"/>
    <s v="Travel_Rarely"/>
    <n v="330"/>
    <x v="0"/>
    <n v="22"/>
    <s v="Long Commute"/>
    <s v="Master"/>
    <s v="Medical"/>
    <n v="4"/>
    <s v="Male"/>
    <n v="98"/>
    <n v="3"/>
    <n v="2"/>
    <s v="Manufacturing Director"/>
    <s v="High"/>
    <s v="Married"/>
    <n v="6179"/>
    <s v="Medium (5k-10k)"/>
    <n v="21057"/>
    <n v="1"/>
    <x v="1"/>
    <n v="15"/>
    <n v="3"/>
    <n v="4"/>
    <n v="2"/>
    <n v="10"/>
    <n v="3"/>
    <s v="Good"/>
    <n v="10"/>
    <x v="2"/>
    <n v="2"/>
    <n v="6"/>
    <n v="7"/>
  </r>
  <r>
    <n v="31"/>
    <s v="Middle Aged"/>
    <n v="1"/>
    <s v="Travel_Frequently"/>
    <n v="667"/>
    <x v="1"/>
    <n v="1"/>
    <s v="Near Office"/>
    <s v="Master"/>
    <s v="Life Sciences"/>
    <n v="2"/>
    <s v="Female"/>
    <n v="50"/>
    <n v="1"/>
    <n v="1"/>
    <s v="Sales Representative"/>
    <s v="High"/>
    <s v="Single"/>
    <n v="1359"/>
    <s v="Low (&lt;5k)"/>
    <n v="16154"/>
    <n v="1"/>
    <x v="0"/>
    <n v="12"/>
    <n v="3"/>
    <n v="2"/>
    <n v="0"/>
    <n v="1"/>
    <n v="3"/>
    <s v="Better"/>
    <n v="1"/>
    <x v="0"/>
    <n v="0"/>
    <n v="0"/>
    <n v="0"/>
  </r>
  <r>
    <n v="31"/>
    <s v="Middle Aged"/>
    <n v="0"/>
    <s v="Travel_Rarely"/>
    <n v="182"/>
    <x v="0"/>
    <n v="8"/>
    <s v="Moderate"/>
    <s v="Doctor"/>
    <s v="Life Sciences"/>
    <n v="1"/>
    <s v="Female"/>
    <n v="93"/>
    <n v="3"/>
    <n v="4"/>
    <s v="Research Director"/>
    <s v="Medium"/>
    <s v="Single"/>
    <n v="16422"/>
    <s v="High (&gt;10k)"/>
    <n v="8847"/>
    <n v="3"/>
    <x v="0"/>
    <n v="11"/>
    <n v="3"/>
    <n v="3"/>
    <n v="0"/>
    <n v="9"/>
    <n v="3"/>
    <s v="Best"/>
    <n v="3"/>
    <x v="1"/>
    <n v="2"/>
    <n v="1"/>
    <n v="0"/>
  </r>
  <r>
    <n v="31"/>
    <s v="Middle Aged"/>
    <n v="1"/>
    <s v="Travel_Rarely"/>
    <n v="202"/>
    <x v="0"/>
    <n v="8"/>
    <s v="Moderate"/>
    <s v="Bachelor"/>
    <s v="Life Sciences"/>
    <n v="1"/>
    <s v="Female"/>
    <n v="34"/>
    <n v="2"/>
    <n v="1"/>
    <s v="Research Scientist"/>
    <s v="Medium"/>
    <s v="Single"/>
    <n v="1261"/>
    <s v="Low (&lt;5k)"/>
    <n v="22262"/>
    <n v="1"/>
    <x v="0"/>
    <n v="12"/>
    <n v="3"/>
    <n v="3"/>
    <n v="0"/>
    <n v="1"/>
    <n v="3"/>
    <s v="Best"/>
    <n v="1"/>
    <x v="0"/>
    <n v="0"/>
    <n v="0"/>
    <n v="0"/>
  </r>
  <r>
    <n v="31"/>
    <s v="Middle Aged"/>
    <n v="0"/>
    <s v="Travel_Rarely"/>
    <n v="326"/>
    <x v="1"/>
    <n v="8"/>
    <s v="Moderate"/>
    <s v="College"/>
    <s v="Life Sciences"/>
    <n v="1"/>
    <s v="Male"/>
    <n v="31"/>
    <n v="3"/>
    <n v="3"/>
    <s v="Sales Executive"/>
    <s v="Very High"/>
    <s v="Divorced"/>
    <n v="10793"/>
    <s v="High (&gt;10k)"/>
    <n v="8386"/>
    <n v="1"/>
    <x v="0"/>
    <n v="18"/>
    <n v="3"/>
    <n v="1"/>
    <n v="1"/>
    <n v="13"/>
    <n v="5"/>
    <s v="Better"/>
    <n v="13"/>
    <x v="2"/>
    <n v="7"/>
    <n v="9"/>
    <n v="9"/>
  </r>
  <r>
    <n v="31"/>
    <s v="Middle Aged"/>
    <n v="1"/>
    <s v="Travel_Frequently"/>
    <n v="1445"/>
    <x v="0"/>
    <n v="1"/>
    <s v="Near Office"/>
    <s v="Doctor"/>
    <s v="Life Sciences"/>
    <n v="3"/>
    <s v="Female"/>
    <n v="100"/>
    <n v="4"/>
    <n v="3"/>
    <s v="Manufacturing Director"/>
    <s v="Medium"/>
    <s v="Single"/>
    <n v="7446"/>
    <s v="Medium (5k-10k)"/>
    <n v="8931"/>
    <n v="1"/>
    <x v="0"/>
    <n v="11"/>
    <n v="3"/>
    <n v="1"/>
    <n v="0"/>
    <n v="10"/>
    <n v="2"/>
    <s v="Better"/>
    <n v="10"/>
    <x v="2"/>
    <n v="8"/>
    <n v="4"/>
    <n v="7"/>
  </r>
  <r>
    <n v="31"/>
    <s v="Middle Aged"/>
    <n v="0"/>
    <s v="Travel_Rarely"/>
    <n v="1398"/>
    <x v="2"/>
    <n v="8"/>
    <s v="Moderate"/>
    <s v="College"/>
    <s v="Medical"/>
    <n v="4"/>
    <s v="Female"/>
    <n v="96"/>
    <n v="4"/>
    <n v="1"/>
    <s v="Human Resources"/>
    <s v="Medium"/>
    <s v="Single"/>
    <n v="2109"/>
    <s v="Low (&lt;5k)"/>
    <n v="24609"/>
    <n v="9"/>
    <x v="0"/>
    <n v="18"/>
    <n v="3"/>
    <n v="4"/>
    <n v="0"/>
    <n v="8"/>
    <n v="3"/>
    <s v="Better"/>
    <n v="3"/>
    <x v="1"/>
    <n v="2"/>
    <n v="0"/>
    <n v="2"/>
  </r>
  <r>
    <n v="31"/>
    <s v="Middle Aged"/>
    <n v="1"/>
    <s v="Travel_Frequently"/>
    <n v="523"/>
    <x v="0"/>
    <n v="2"/>
    <s v="Near Office"/>
    <s v="Bachelor"/>
    <s v="Life Sciences"/>
    <n v="2"/>
    <s v="Male"/>
    <n v="94"/>
    <n v="3"/>
    <n v="1"/>
    <s v="Laboratory Technician"/>
    <s v="Very High"/>
    <s v="Married"/>
    <n v="3722"/>
    <s v="Low (&lt;5k)"/>
    <n v="21081"/>
    <n v="6"/>
    <x v="1"/>
    <n v="13"/>
    <n v="3"/>
    <n v="3"/>
    <n v="1"/>
    <n v="7"/>
    <n v="2"/>
    <s v="Bad"/>
    <n v="2"/>
    <x v="0"/>
    <n v="2"/>
    <n v="2"/>
    <n v="2"/>
  </r>
  <r>
    <n v="31"/>
    <s v="Middle Aged"/>
    <n v="1"/>
    <s v="Travel_Frequently"/>
    <n v="561"/>
    <x v="0"/>
    <n v="3"/>
    <s v="Near Office"/>
    <s v="Bachelor"/>
    <s v="Life Sciences"/>
    <n v="4"/>
    <s v="Female"/>
    <n v="33"/>
    <n v="3"/>
    <n v="1"/>
    <s v="Research Scientist"/>
    <s v="High"/>
    <s v="Single"/>
    <n v="4084"/>
    <s v="Low (&lt;5k)"/>
    <n v="4156"/>
    <n v="1"/>
    <x v="0"/>
    <n v="12"/>
    <n v="3"/>
    <n v="1"/>
    <n v="0"/>
    <n v="7"/>
    <n v="2"/>
    <s v="Bad"/>
    <n v="7"/>
    <x v="1"/>
    <n v="2"/>
    <n v="7"/>
    <n v="7"/>
  </r>
  <r>
    <n v="31"/>
    <s v="Middle Aged"/>
    <n v="0"/>
    <s v="Travel_Frequently"/>
    <n v="715"/>
    <x v="1"/>
    <n v="2"/>
    <s v="Near Office"/>
    <s v="Master"/>
    <s v="Other"/>
    <n v="4"/>
    <s v="Male"/>
    <n v="54"/>
    <n v="3"/>
    <n v="2"/>
    <s v="Sales Executive"/>
    <s v="Low"/>
    <s v="Single"/>
    <n v="5332"/>
    <s v="Medium (5k-10k)"/>
    <n v="21602"/>
    <n v="7"/>
    <x v="0"/>
    <n v="13"/>
    <n v="3"/>
    <n v="4"/>
    <n v="0"/>
    <n v="10"/>
    <n v="3"/>
    <s v="Better"/>
    <n v="5"/>
    <x v="1"/>
    <n v="2"/>
    <n v="0"/>
    <n v="3"/>
  </r>
  <r>
    <n v="31"/>
    <s v="Middle Aged"/>
    <n v="0"/>
    <s v="Travel_Rarely"/>
    <n v="1112"/>
    <x v="1"/>
    <n v="5"/>
    <s v="Near Office"/>
    <s v="Master"/>
    <s v="Life Sciences"/>
    <n v="1"/>
    <s v="Female"/>
    <n v="67"/>
    <n v="3"/>
    <n v="2"/>
    <s v="Sales Executive"/>
    <s v="Very High"/>
    <s v="Married"/>
    <n v="5476"/>
    <s v="Medium (5k-10k)"/>
    <n v="22589"/>
    <n v="1"/>
    <x v="0"/>
    <n v="11"/>
    <n v="3"/>
    <n v="1"/>
    <n v="2"/>
    <n v="10"/>
    <n v="2"/>
    <s v="Better"/>
    <n v="10"/>
    <x v="2"/>
    <n v="0"/>
    <n v="0"/>
    <n v="2"/>
  </r>
  <r>
    <n v="31"/>
    <s v="Middle Aged"/>
    <n v="0"/>
    <s v="Travel_Rarely"/>
    <n v="741"/>
    <x v="0"/>
    <n v="2"/>
    <s v="Near Office"/>
    <s v="Master"/>
    <s v="Life Sciences"/>
    <n v="2"/>
    <s v="Male"/>
    <n v="69"/>
    <n v="3"/>
    <n v="1"/>
    <s v="Laboratory Technician"/>
    <s v="High"/>
    <s v="Married"/>
    <n v="3477"/>
    <s v="Low (&lt;5k)"/>
    <n v="18103"/>
    <n v="1"/>
    <x v="0"/>
    <n v="14"/>
    <n v="3"/>
    <n v="4"/>
    <n v="1"/>
    <n v="6"/>
    <n v="2"/>
    <s v="Best"/>
    <n v="5"/>
    <x v="1"/>
    <n v="2"/>
    <n v="0"/>
    <n v="3"/>
  </r>
  <r>
    <n v="31"/>
    <s v="Middle Aged"/>
    <n v="0"/>
    <s v="Travel_Frequently"/>
    <n v="163"/>
    <x v="0"/>
    <n v="24"/>
    <s v="Long Commute"/>
    <s v="Below College"/>
    <s v="Technical Degree"/>
    <n v="4"/>
    <s v="Female"/>
    <n v="30"/>
    <n v="3"/>
    <n v="2"/>
    <s v="Manufacturing Director"/>
    <s v="Very High"/>
    <s v="Single"/>
    <n v="5238"/>
    <s v="Medium (5k-10k)"/>
    <n v="6670"/>
    <n v="2"/>
    <x v="0"/>
    <n v="20"/>
    <n v="4"/>
    <n v="4"/>
    <n v="0"/>
    <n v="9"/>
    <n v="3"/>
    <s v="Good"/>
    <n v="5"/>
    <x v="1"/>
    <n v="4"/>
    <n v="1"/>
    <n v="4"/>
  </r>
  <r>
    <n v="31"/>
    <s v="Middle Aged"/>
    <n v="0"/>
    <s v="Travel_Rarely"/>
    <n v="1003"/>
    <x v="1"/>
    <n v="5"/>
    <s v="Near Office"/>
    <s v="Bachelor"/>
    <s v="Technical Degree"/>
    <n v="1"/>
    <s v="Male"/>
    <n v="51"/>
    <n v="3"/>
    <n v="2"/>
    <s v="Sales Executive"/>
    <s v="High"/>
    <s v="Married"/>
    <n v="8346"/>
    <s v="Medium (5k-10k)"/>
    <n v="20943"/>
    <n v="1"/>
    <x v="0"/>
    <n v="19"/>
    <n v="3"/>
    <n v="3"/>
    <n v="1"/>
    <n v="6"/>
    <n v="3"/>
    <s v="Better"/>
    <n v="5"/>
    <x v="1"/>
    <n v="2"/>
    <n v="0"/>
    <n v="2"/>
  </r>
  <r>
    <n v="31"/>
    <s v="Middle Aged"/>
    <n v="1"/>
    <s v="Travel_Rarely"/>
    <n v="1079"/>
    <x v="1"/>
    <n v="16"/>
    <s v="Long Commute"/>
    <s v="Master"/>
    <s v="Marketing"/>
    <n v="1"/>
    <s v="Male"/>
    <n v="70"/>
    <n v="3"/>
    <n v="3"/>
    <s v="Sales Executive"/>
    <s v="High"/>
    <s v="Married"/>
    <n v="8161"/>
    <s v="Medium (5k-10k)"/>
    <n v="19002"/>
    <n v="2"/>
    <x v="0"/>
    <n v="13"/>
    <n v="3"/>
    <n v="1"/>
    <n v="3"/>
    <n v="10"/>
    <n v="2"/>
    <s v="Better"/>
    <n v="1"/>
    <x v="0"/>
    <n v="0"/>
    <n v="0"/>
    <n v="0"/>
  </r>
  <r>
    <n v="31"/>
    <s v="Middle Aged"/>
    <n v="0"/>
    <s v="Travel_Rarely"/>
    <n v="196"/>
    <x v="1"/>
    <n v="29"/>
    <s v="Long Commute"/>
    <s v="Master"/>
    <s v="Marketing"/>
    <n v="1"/>
    <s v="Female"/>
    <n v="91"/>
    <n v="2"/>
    <n v="2"/>
    <s v="Sales Executive"/>
    <s v="Very High"/>
    <s v="Married"/>
    <n v="5468"/>
    <s v="Medium (5k-10k)"/>
    <n v="13402"/>
    <n v="1"/>
    <x v="0"/>
    <n v="14"/>
    <n v="3"/>
    <n v="1"/>
    <n v="2"/>
    <n v="13"/>
    <n v="3"/>
    <s v="Better"/>
    <n v="12"/>
    <x v="2"/>
    <n v="7"/>
    <n v="5"/>
    <n v="7"/>
  </r>
  <r>
    <n v="31"/>
    <s v="Middle Aged"/>
    <n v="0"/>
    <s v="Travel_Frequently"/>
    <n v="1125"/>
    <x v="1"/>
    <n v="7"/>
    <s v="Moderate"/>
    <s v="Master"/>
    <s v="Marketing"/>
    <n v="1"/>
    <s v="Female"/>
    <n v="68"/>
    <n v="3"/>
    <n v="3"/>
    <s v="Sales Executive"/>
    <s v="Low"/>
    <s v="Married"/>
    <n v="9637"/>
    <s v="Medium (5k-10k)"/>
    <n v="8277"/>
    <n v="2"/>
    <x v="0"/>
    <n v="14"/>
    <n v="3"/>
    <n v="4"/>
    <n v="2"/>
    <n v="9"/>
    <n v="3"/>
    <s v="Better"/>
    <n v="3"/>
    <x v="1"/>
    <n v="2"/>
    <n v="2"/>
    <n v="2"/>
  </r>
  <r>
    <n v="31"/>
    <s v="Middle Aged"/>
    <n v="1"/>
    <s v="Travel_Rarely"/>
    <n v="359"/>
    <x v="2"/>
    <n v="18"/>
    <s v="Long Commute"/>
    <s v="Doctor"/>
    <s v="Human Resources"/>
    <n v="4"/>
    <s v="Male"/>
    <n v="89"/>
    <n v="4"/>
    <n v="1"/>
    <s v="Human Resources"/>
    <s v="Low"/>
    <s v="Married"/>
    <n v="2956"/>
    <s v="Low (&lt;5k)"/>
    <n v="21495"/>
    <n v="0"/>
    <x v="0"/>
    <n v="17"/>
    <n v="3"/>
    <n v="3"/>
    <n v="0"/>
    <n v="2"/>
    <n v="4"/>
    <s v="Better"/>
    <n v="1"/>
    <x v="0"/>
    <n v="0"/>
    <n v="0"/>
    <n v="0"/>
  </r>
  <r>
    <n v="31"/>
    <s v="Middle Aged"/>
    <n v="0"/>
    <s v="Travel_Rarely"/>
    <n v="311"/>
    <x v="0"/>
    <n v="20"/>
    <s v="Long Commute"/>
    <s v="Bachelor"/>
    <s v="Life Sciences"/>
    <n v="2"/>
    <s v="Male"/>
    <n v="89"/>
    <n v="3"/>
    <n v="2"/>
    <s v="Laboratory Technician"/>
    <s v="High"/>
    <s v="Divorced"/>
    <n v="4197"/>
    <s v="Low (&lt;5k)"/>
    <n v="18624"/>
    <n v="1"/>
    <x v="0"/>
    <n v="11"/>
    <n v="3"/>
    <n v="1"/>
    <n v="1"/>
    <n v="10"/>
    <n v="2"/>
    <s v="Better"/>
    <n v="10"/>
    <x v="2"/>
    <n v="8"/>
    <n v="0"/>
    <n v="2"/>
  </r>
  <r>
    <n v="31"/>
    <s v="Middle Aged"/>
    <n v="0"/>
    <s v="Travel_Rarely"/>
    <n v="1079"/>
    <x v="1"/>
    <n v="10"/>
    <s v="Moderate"/>
    <s v="College"/>
    <s v="Medical"/>
    <n v="3"/>
    <s v="Female"/>
    <n v="86"/>
    <n v="3"/>
    <n v="2"/>
    <s v="Sales Executive"/>
    <s v="Very High"/>
    <s v="Divorced"/>
    <n v="6583"/>
    <s v="Medium (5k-10k)"/>
    <n v="20115"/>
    <n v="2"/>
    <x v="1"/>
    <n v="11"/>
    <n v="3"/>
    <n v="4"/>
    <n v="1"/>
    <n v="8"/>
    <n v="2"/>
    <s v="Better"/>
    <n v="5"/>
    <x v="1"/>
    <n v="2"/>
    <n v="1"/>
    <n v="4"/>
  </r>
  <r>
    <n v="31"/>
    <s v="Middle Aged"/>
    <n v="0"/>
    <s v="Travel_Rarely"/>
    <n v="471"/>
    <x v="0"/>
    <n v="4"/>
    <s v="Near Office"/>
    <s v="Bachelor"/>
    <s v="Medical"/>
    <n v="1"/>
    <s v="Female"/>
    <n v="62"/>
    <n v="4"/>
    <n v="1"/>
    <s v="Laboratory Technician"/>
    <s v="High"/>
    <s v="Divorced"/>
    <n v="3978"/>
    <s v="Low (&lt;5k)"/>
    <n v="16031"/>
    <n v="8"/>
    <x v="0"/>
    <n v="12"/>
    <n v="3"/>
    <n v="2"/>
    <n v="1"/>
    <n v="4"/>
    <n v="0"/>
    <s v="Good"/>
    <n v="2"/>
    <x v="0"/>
    <n v="2"/>
    <n v="2"/>
    <n v="2"/>
  </r>
  <r>
    <n v="31"/>
    <s v="Middle Aged"/>
    <n v="0"/>
    <s v="Non-Travel"/>
    <n v="976"/>
    <x v="0"/>
    <n v="3"/>
    <s v="Near Office"/>
    <s v="College"/>
    <s v="Medical"/>
    <n v="3"/>
    <s v="Male"/>
    <n v="48"/>
    <n v="3"/>
    <n v="1"/>
    <s v="Research Scientist"/>
    <s v="Low"/>
    <s v="Divorced"/>
    <n v="3065"/>
    <s v="Low (&lt;5k)"/>
    <n v="3995"/>
    <n v="1"/>
    <x v="1"/>
    <n v="13"/>
    <n v="3"/>
    <n v="4"/>
    <n v="1"/>
    <n v="4"/>
    <n v="3"/>
    <s v="Best"/>
    <n v="4"/>
    <x v="1"/>
    <n v="2"/>
    <n v="2"/>
    <n v="3"/>
  </r>
  <r>
    <n v="31"/>
    <s v="Middle Aged"/>
    <n v="0"/>
    <s v="Travel_Frequently"/>
    <n v="1125"/>
    <x v="0"/>
    <n v="1"/>
    <s v="Near Office"/>
    <s v="Bachelor"/>
    <s v="Life Sciences"/>
    <n v="4"/>
    <s v="Male"/>
    <n v="48"/>
    <n v="1"/>
    <n v="2"/>
    <s v="Research Scientist"/>
    <s v="Low"/>
    <s v="Married"/>
    <n v="5003"/>
    <s v="Medium (5k-10k)"/>
    <n v="5771"/>
    <n v="1"/>
    <x v="0"/>
    <n v="21"/>
    <n v="4"/>
    <n v="2"/>
    <n v="0"/>
    <n v="10"/>
    <n v="6"/>
    <s v="Better"/>
    <n v="10"/>
    <x v="2"/>
    <n v="8"/>
    <n v="8"/>
    <n v="7"/>
  </r>
  <r>
    <n v="31"/>
    <s v="Middle Aged"/>
    <n v="1"/>
    <s v="Travel_Frequently"/>
    <n v="754"/>
    <x v="1"/>
    <n v="26"/>
    <s v="Long Commute"/>
    <s v="Master"/>
    <s v="Marketing"/>
    <n v="1"/>
    <s v="Male"/>
    <n v="63"/>
    <n v="3"/>
    <n v="2"/>
    <s v="Sales Executive"/>
    <s v="Very High"/>
    <s v="Married"/>
    <n v="5617"/>
    <s v="Medium (5k-10k)"/>
    <n v="21075"/>
    <n v="1"/>
    <x v="1"/>
    <n v="11"/>
    <n v="3"/>
    <n v="3"/>
    <n v="0"/>
    <n v="10"/>
    <n v="4"/>
    <s v="Better"/>
    <n v="10"/>
    <x v="2"/>
    <n v="7"/>
    <n v="0"/>
    <n v="8"/>
  </r>
  <r>
    <n v="31"/>
    <s v="Middle Aged"/>
    <n v="0"/>
    <s v="Travel_Rarely"/>
    <n v="1276"/>
    <x v="0"/>
    <n v="2"/>
    <s v="Near Office"/>
    <s v="Below College"/>
    <s v="Medical"/>
    <n v="4"/>
    <s v="Female"/>
    <n v="59"/>
    <n v="1"/>
    <n v="1"/>
    <s v="Laboratory Technician"/>
    <s v="Very High"/>
    <s v="Divorced"/>
    <n v="1129"/>
    <s v="Low (&lt;5k)"/>
    <n v="17536"/>
    <n v="1"/>
    <x v="1"/>
    <n v="11"/>
    <n v="3"/>
    <n v="3"/>
    <n v="3"/>
    <n v="1"/>
    <n v="4"/>
    <s v="Better"/>
    <n v="1"/>
    <x v="0"/>
    <n v="0"/>
    <n v="0"/>
    <n v="0"/>
  </r>
  <r>
    <n v="31"/>
    <s v="Middle Aged"/>
    <n v="0"/>
    <s v="Non-Travel"/>
    <n v="697"/>
    <x v="0"/>
    <n v="10"/>
    <s v="Moderate"/>
    <s v="Bachelor"/>
    <s v="Medical"/>
    <n v="3"/>
    <s v="Female"/>
    <n v="40"/>
    <n v="3"/>
    <n v="3"/>
    <s v="Research Director"/>
    <s v="High"/>
    <s v="Married"/>
    <n v="11031"/>
    <s v="High (&gt;10k)"/>
    <n v="26862"/>
    <n v="4"/>
    <x v="0"/>
    <n v="20"/>
    <n v="4"/>
    <n v="3"/>
    <n v="1"/>
    <n v="13"/>
    <n v="2"/>
    <s v="Best"/>
    <n v="11"/>
    <x v="2"/>
    <n v="7"/>
    <n v="4"/>
    <n v="8"/>
  </r>
  <r>
    <n v="31"/>
    <s v="Middle Aged"/>
    <n v="0"/>
    <s v="Travel_Rarely"/>
    <n v="1154"/>
    <x v="1"/>
    <n v="2"/>
    <s v="Near Office"/>
    <s v="College"/>
    <s v="Life Sciences"/>
    <n v="1"/>
    <s v="Male"/>
    <n v="54"/>
    <n v="3"/>
    <n v="1"/>
    <s v="Sales Representative"/>
    <s v="High"/>
    <s v="Married"/>
    <n v="3067"/>
    <s v="Low (&lt;5k)"/>
    <n v="6393"/>
    <n v="0"/>
    <x v="0"/>
    <n v="19"/>
    <n v="3"/>
    <n v="3"/>
    <n v="1"/>
    <n v="3"/>
    <n v="1"/>
    <s v="Better"/>
    <n v="2"/>
    <x v="0"/>
    <n v="2"/>
    <n v="1"/>
    <n v="2"/>
  </r>
  <r>
    <n v="31"/>
    <s v="Middle Aged"/>
    <n v="0"/>
    <s v="Non-Travel"/>
    <n v="325"/>
    <x v="0"/>
    <n v="5"/>
    <s v="Near Office"/>
    <s v="Bachelor"/>
    <s v="Medical"/>
    <n v="2"/>
    <s v="Male"/>
    <n v="74"/>
    <n v="3"/>
    <n v="2"/>
    <s v="Manufacturing Director"/>
    <s v="Low"/>
    <s v="Single"/>
    <n v="9936"/>
    <s v="Medium (5k-10k)"/>
    <n v="3787"/>
    <n v="0"/>
    <x v="0"/>
    <n v="19"/>
    <n v="3"/>
    <n v="2"/>
    <n v="0"/>
    <n v="10"/>
    <n v="2"/>
    <s v="Better"/>
    <n v="9"/>
    <x v="1"/>
    <n v="4"/>
    <n v="1"/>
    <n v="7"/>
  </r>
  <r>
    <n v="32"/>
    <s v="Middle Aged"/>
    <n v="0"/>
    <s v="Travel_Frequently"/>
    <n v="1005"/>
    <x v="0"/>
    <n v="2"/>
    <s v="Near Office"/>
    <s v="College"/>
    <s v="Life Sciences"/>
    <n v="4"/>
    <s v="Male"/>
    <n v="79"/>
    <n v="3"/>
    <n v="1"/>
    <s v="Laboratory Technician"/>
    <s v="Very High"/>
    <s v="Single"/>
    <n v="3068"/>
    <s v="Low (&lt;5k)"/>
    <n v="11864"/>
    <n v="0"/>
    <x v="0"/>
    <n v="13"/>
    <n v="3"/>
    <n v="3"/>
    <n v="0"/>
    <n v="8"/>
    <n v="2"/>
    <s v="Good"/>
    <n v="7"/>
    <x v="1"/>
    <n v="7"/>
    <n v="3"/>
    <n v="6"/>
  </r>
  <r>
    <n v="32"/>
    <s v="Middle Aged"/>
    <n v="0"/>
    <s v="Travel_Rarely"/>
    <n v="334"/>
    <x v="0"/>
    <n v="5"/>
    <s v="Near Office"/>
    <s v="College"/>
    <s v="Life Sciences"/>
    <n v="1"/>
    <s v="Male"/>
    <n v="80"/>
    <n v="4"/>
    <n v="1"/>
    <s v="Research Scientist"/>
    <s v="Medium"/>
    <s v="Divorced"/>
    <n v="3298"/>
    <s v="Low (&lt;5k)"/>
    <n v="15053"/>
    <n v="0"/>
    <x v="1"/>
    <n v="12"/>
    <n v="3"/>
    <n v="4"/>
    <n v="2"/>
    <n v="7"/>
    <n v="5"/>
    <s v="Good"/>
    <n v="6"/>
    <x v="1"/>
    <n v="2"/>
    <n v="0"/>
    <n v="5"/>
  </r>
  <r>
    <n v="32"/>
    <s v="Middle Aged"/>
    <n v="1"/>
    <s v="Travel_Frequently"/>
    <n v="1125"/>
    <x v="0"/>
    <n v="16"/>
    <s v="Long Commute"/>
    <s v="Below College"/>
    <s v="Life Sciences"/>
    <n v="2"/>
    <s v="Female"/>
    <n v="72"/>
    <n v="1"/>
    <n v="1"/>
    <s v="Research Scientist"/>
    <s v="Low"/>
    <s v="Single"/>
    <n v="3919"/>
    <s v="Low (&lt;5k)"/>
    <n v="4681"/>
    <n v="1"/>
    <x v="1"/>
    <n v="22"/>
    <n v="4"/>
    <n v="2"/>
    <n v="0"/>
    <n v="10"/>
    <n v="5"/>
    <s v="Better"/>
    <n v="10"/>
    <x v="2"/>
    <n v="2"/>
    <n v="6"/>
    <n v="7"/>
  </r>
  <r>
    <n v="32"/>
    <s v="Middle Aged"/>
    <n v="0"/>
    <s v="Travel_Rarely"/>
    <n v="427"/>
    <x v="0"/>
    <n v="1"/>
    <s v="Near Office"/>
    <s v="Bachelor"/>
    <s v="Medical"/>
    <n v="1"/>
    <s v="Male"/>
    <n v="33"/>
    <n v="3"/>
    <n v="2"/>
    <s v="Manufacturing Director"/>
    <s v="Very High"/>
    <s v="Married"/>
    <n v="6162"/>
    <s v="Medium (5k-10k)"/>
    <n v="10877"/>
    <n v="1"/>
    <x v="1"/>
    <n v="22"/>
    <n v="4"/>
    <n v="2"/>
    <n v="1"/>
    <n v="9"/>
    <n v="3"/>
    <s v="Better"/>
    <n v="9"/>
    <x v="1"/>
    <n v="8"/>
    <n v="7"/>
    <n v="8"/>
  </r>
  <r>
    <n v="32"/>
    <s v="Middle Aged"/>
    <n v="0"/>
    <s v="Travel_Rarely"/>
    <n v="548"/>
    <x v="0"/>
    <n v="1"/>
    <s v="Near Office"/>
    <s v="Bachelor"/>
    <s v="Life Sciences"/>
    <n v="2"/>
    <s v="Male"/>
    <n v="66"/>
    <n v="3"/>
    <n v="2"/>
    <s v="Research Scientist"/>
    <s v="Medium"/>
    <s v="Married"/>
    <n v="6220"/>
    <s v="Medium (5k-10k)"/>
    <n v="7346"/>
    <n v="1"/>
    <x v="0"/>
    <n v="17"/>
    <n v="3"/>
    <n v="2"/>
    <n v="2"/>
    <n v="10"/>
    <n v="3"/>
    <s v="Better"/>
    <n v="10"/>
    <x v="2"/>
    <n v="4"/>
    <n v="0"/>
    <n v="9"/>
  </r>
  <r>
    <n v="32"/>
    <s v="Middle Aged"/>
    <n v="0"/>
    <s v="Travel_Rarely"/>
    <n v="1093"/>
    <x v="1"/>
    <n v="6"/>
    <s v="Moderate"/>
    <s v="Master"/>
    <s v="Medical"/>
    <n v="2"/>
    <s v="Male"/>
    <n v="87"/>
    <n v="3"/>
    <n v="2"/>
    <s v="Sales Executive"/>
    <s v="High"/>
    <s v="Single"/>
    <n v="5010"/>
    <s v="Medium (5k-10k)"/>
    <n v="24301"/>
    <n v="1"/>
    <x v="0"/>
    <n v="16"/>
    <n v="3"/>
    <n v="1"/>
    <n v="0"/>
    <n v="12"/>
    <n v="0"/>
    <s v="Better"/>
    <n v="11"/>
    <x v="2"/>
    <n v="8"/>
    <n v="5"/>
    <n v="7"/>
  </r>
  <r>
    <n v="32"/>
    <s v="Middle Aged"/>
    <n v="0"/>
    <s v="Travel_Rarely"/>
    <n v="827"/>
    <x v="0"/>
    <n v="1"/>
    <s v="Near Office"/>
    <s v="Below College"/>
    <s v="Life Sciences"/>
    <n v="4"/>
    <s v="Male"/>
    <n v="71"/>
    <n v="3"/>
    <n v="1"/>
    <s v="Research Scientist"/>
    <s v="Low"/>
    <s v="Single"/>
    <n v="2956"/>
    <s v="Low (&lt;5k)"/>
    <n v="15178"/>
    <n v="1"/>
    <x v="0"/>
    <n v="13"/>
    <n v="3"/>
    <n v="4"/>
    <n v="0"/>
    <n v="1"/>
    <n v="2"/>
    <s v="Better"/>
    <n v="1"/>
    <x v="0"/>
    <n v="0"/>
    <n v="0"/>
    <n v="0"/>
  </r>
  <r>
    <n v="32"/>
    <s v="Middle Aged"/>
    <n v="1"/>
    <s v="Travel_Rarely"/>
    <n v="1033"/>
    <x v="0"/>
    <n v="9"/>
    <s v="Moderate"/>
    <s v="Bachelor"/>
    <s v="Medical"/>
    <n v="1"/>
    <s v="Female"/>
    <n v="41"/>
    <n v="3"/>
    <n v="1"/>
    <s v="Laboratory Technician"/>
    <s v="Low"/>
    <s v="Single"/>
    <n v="4200"/>
    <s v="Low (&lt;5k)"/>
    <n v="10224"/>
    <n v="7"/>
    <x v="0"/>
    <n v="22"/>
    <n v="4"/>
    <n v="1"/>
    <n v="0"/>
    <n v="10"/>
    <n v="2"/>
    <s v="Best"/>
    <n v="5"/>
    <x v="1"/>
    <n v="4"/>
    <n v="0"/>
    <n v="4"/>
  </r>
  <r>
    <n v="32"/>
    <s v="Middle Aged"/>
    <n v="0"/>
    <s v="Travel_Frequently"/>
    <n v="689"/>
    <x v="1"/>
    <n v="9"/>
    <s v="Moderate"/>
    <s v="College"/>
    <s v="Medical"/>
    <n v="4"/>
    <s v="Male"/>
    <n v="35"/>
    <n v="1"/>
    <n v="2"/>
    <s v="Sales Executive"/>
    <s v="Very High"/>
    <s v="Divorced"/>
    <n v="4668"/>
    <s v="Low (&lt;5k)"/>
    <n v="22812"/>
    <n v="0"/>
    <x v="0"/>
    <n v="17"/>
    <n v="3"/>
    <n v="4"/>
    <n v="3"/>
    <n v="9"/>
    <n v="2"/>
    <s v="Best"/>
    <n v="8"/>
    <x v="1"/>
    <n v="7"/>
    <n v="0"/>
    <n v="7"/>
  </r>
  <r>
    <n v="32"/>
    <s v="Middle Aged"/>
    <n v="0"/>
    <s v="Travel_Frequently"/>
    <n v="967"/>
    <x v="1"/>
    <n v="8"/>
    <s v="Moderate"/>
    <s v="Bachelor"/>
    <s v="Marketing"/>
    <n v="2"/>
    <s v="Female"/>
    <n v="43"/>
    <n v="3"/>
    <n v="3"/>
    <s v="Sales Executive"/>
    <s v="Very High"/>
    <s v="Single"/>
    <n v="8998"/>
    <s v="Medium (5k-10k)"/>
    <n v="15589"/>
    <n v="1"/>
    <x v="0"/>
    <n v="14"/>
    <n v="3"/>
    <n v="4"/>
    <n v="0"/>
    <n v="9"/>
    <n v="2"/>
    <s v="Better"/>
    <n v="9"/>
    <x v="1"/>
    <n v="8"/>
    <n v="3"/>
    <n v="7"/>
  </r>
  <r>
    <n v="32"/>
    <s v="Middle Aged"/>
    <n v="0"/>
    <s v="Travel_Rarely"/>
    <n v="120"/>
    <x v="0"/>
    <n v="6"/>
    <s v="Moderate"/>
    <s v="Doctor"/>
    <s v="Life Sciences"/>
    <n v="3"/>
    <s v="Male"/>
    <n v="43"/>
    <n v="3"/>
    <n v="1"/>
    <s v="Research Scientist"/>
    <s v="High"/>
    <s v="Single"/>
    <n v="3038"/>
    <s v="Low (&lt;5k)"/>
    <n v="12430"/>
    <n v="3"/>
    <x v="0"/>
    <n v="20"/>
    <n v="4"/>
    <n v="1"/>
    <n v="0"/>
    <n v="8"/>
    <n v="2"/>
    <s v="Better"/>
    <n v="5"/>
    <x v="1"/>
    <n v="4"/>
    <n v="1"/>
    <n v="4"/>
  </r>
  <r>
    <n v="32"/>
    <s v="Middle Aged"/>
    <n v="1"/>
    <s v="Travel_Rarely"/>
    <n v="1045"/>
    <x v="1"/>
    <n v="4"/>
    <s v="Near Office"/>
    <s v="Master"/>
    <s v="Medical"/>
    <n v="4"/>
    <s v="Male"/>
    <n v="32"/>
    <n v="1"/>
    <n v="3"/>
    <s v="Sales Executive"/>
    <s v="Very High"/>
    <s v="Married"/>
    <n v="10400"/>
    <s v="High (&gt;10k)"/>
    <n v="25812"/>
    <n v="1"/>
    <x v="0"/>
    <n v="11"/>
    <n v="3"/>
    <n v="3"/>
    <n v="0"/>
    <n v="14"/>
    <n v="2"/>
    <s v="Good"/>
    <n v="14"/>
    <x v="2"/>
    <n v="8"/>
    <n v="9"/>
    <n v="8"/>
  </r>
  <r>
    <n v="32"/>
    <s v="Middle Aged"/>
    <n v="0"/>
    <s v="Travel_Rarely"/>
    <n v="1401"/>
    <x v="1"/>
    <n v="4"/>
    <s v="Near Office"/>
    <s v="College"/>
    <s v="Life Sciences"/>
    <n v="3"/>
    <s v="Female"/>
    <n v="56"/>
    <n v="3"/>
    <n v="1"/>
    <s v="Sales Representative"/>
    <s v="Medium"/>
    <s v="Married"/>
    <n v="3931"/>
    <s v="Low (&lt;5k)"/>
    <n v="20990"/>
    <n v="2"/>
    <x v="0"/>
    <n v="11"/>
    <n v="3"/>
    <n v="1"/>
    <n v="1"/>
    <n v="6"/>
    <n v="5"/>
    <s v="Better"/>
    <n v="4"/>
    <x v="1"/>
    <n v="3"/>
    <n v="1"/>
    <n v="2"/>
  </r>
  <r>
    <n v="32"/>
    <s v="Middle Aged"/>
    <n v="1"/>
    <s v="Travel_Rarely"/>
    <n v="515"/>
    <x v="0"/>
    <n v="1"/>
    <s v="Near Office"/>
    <s v="Bachelor"/>
    <s v="Life Sciences"/>
    <n v="4"/>
    <s v="Male"/>
    <n v="62"/>
    <n v="2"/>
    <n v="1"/>
    <s v="Laboratory Technician"/>
    <s v="High"/>
    <s v="Single"/>
    <n v="3730"/>
    <s v="Low (&lt;5k)"/>
    <n v="9571"/>
    <n v="0"/>
    <x v="1"/>
    <n v="14"/>
    <n v="3"/>
    <n v="4"/>
    <n v="0"/>
    <n v="4"/>
    <n v="2"/>
    <s v="Bad"/>
    <n v="3"/>
    <x v="1"/>
    <n v="2"/>
    <n v="1"/>
    <n v="2"/>
  </r>
  <r>
    <n v="32"/>
    <s v="Middle Aged"/>
    <n v="0"/>
    <s v="Non-Travel"/>
    <n v="976"/>
    <x v="1"/>
    <n v="26"/>
    <s v="Long Commute"/>
    <s v="Master"/>
    <s v="Marketing"/>
    <n v="3"/>
    <s v="Male"/>
    <n v="100"/>
    <n v="3"/>
    <n v="2"/>
    <s v="Sales Executive"/>
    <s v="Very High"/>
    <s v="Married"/>
    <n v="4465"/>
    <s v="Low (&lt;5k)"/>
    <n v="12069"/>
    <n v="0"/>
    <x v="0"/>
    <n v="18"/>
    <n v="3"/>
    <n v="1"/>
    <n v="0"/>
    <n v="4"/>
    <n v="2"/>
    <s v="Better"/>
    <n v="3"/>
    <x v="1"/>
    <n v="2"/>
    <n v="2"/>
    <n v="2"/>
  </r>
  <r>
    <n v="32"/>
    <s v="Middle Aged"/>
    <n v="0"/>
    <s v="Travel_Frequently"/>
    <n v="1311"/>
    <x v="0"/>
    <n v="7"/>
    <s v="Moderate"/>
    <s v="Bachelor"/>
    <s v="Life Sciences"/>
    <n v="2"/>
    <s v="Male"/>
    <n v="100"/>
    <n v="4"/>
    <n v="1"/>
    <s v="Laboratory Technician"/>
    <s v="Medium"/>
    <s v="Married"/>
    <n v="2794"/>
    <s v="Low (&lt;5k)"/>
    <n v="26062"/>
    <n v="1"/>
    <x v="0"/>
    <n v="20"/>
    <n v="4"/>
    <n v="3"/>
    <n v="0"/>
    <n v="5"/>
    <n v="3"/>
    <s v="Bad"/>
    <n v="5"/>
    <x v="1"/>
    <n v="1"/>
    <n v="0"/>
    <n v="3"/>
  </r>
  <r>
    <n v="32"/>
    <s v="Middle Aged"/>
    <n v="0"/>
    <s v="Travel_Rarely"/>
    <n v="128"/>
    <x v="0"/>
    <n v="2"/>
    <s v="Near Office"/>
    <s v="Below College"/>
    <s v="Technical Degree"/>
    <n v="4"/>
    <s v="Male"/>
    <n v="84"/>
    <n v="2"/>
    <n v="2"/>
    <s v="Laboratory Technician"/>
    <s v="Low"/>
    <s v="Single"/>
    <n v="2176"/>
    <s v="Low (&lt;5k)"/>
    <n v="19737"/>
    <n v="4"/>
    <x v="0"/>
    <n v="13"/>
    <n v="3"/>
    <n v="4"/>
    <n v="0"/>
    <n v="9"/>
    <n v="5"/>
    <s v="Better"/>
    <n v="6"/>
    <x v="1"/>
    <n v="2"/>
    <n v="0"/>
    <n v="4"/>
  </r>
  <r>
    <n v="32"/>
    <s v="Middle Aged"/>
    <n v="0"/>
    <s v="Travel_Rarely"/>
    <n v="906"/>
    <x v="1"/>
    <n v="7"/>
    <s v="Moderate"/>
    <s v="Bachelor"/>
    <s v="Life Sciences"/>
    <n v="4"/>
    <s v="Male"/>
    <n v="91"/>
    <n v="2"/>
    <n v="2"/>
    <s v="Sales Executive"/>
    <s v="High"/>
    <s v="Married"/>
    <n v="5484"/>
    <s v="Medium (5k-10k)"/>
    <n v="16985"/>
    <n v="1"/>
    <x v="0"/>
    <n v="14"/>
    <n v="3"/>
    <n v="3"/>
    <n v="1"/>
    <n v="13"/>
    <n v="3"/>
    <s v="Good"/>
    <n v="13"/>
    <x v="2"/>
    <n v="8"/>
    <n v="4"/>
    <n v="8"/>
  </r>
  <r>
    <n v="32"/>
    <s v="Middle Aged"/>
    <n v="0"/>
    <s v="Travel_Rarely"/>
    <n v="588"/>
    <x v="1"/>
    <n v="8"/>
    <s v="Moderate"/>
    <s v="College"/>
    <s v="Technical Degree"/>
    <n v="3"/>
    <s v="Female"/>
    <n v="65"/>
    <n v="2"/>
    <n v="2"/>
    <s v="Sales Executive"/>
    <s v="Medium"/>
    <s v="Married"/>
    <n v="5228"/>
    <s v="Medium (5k-10k)"/>
    <n v="24624"/>
    <n v="1"/>
    <x v="1"/>
    <n v="11"/>
    <n v="3"/>
    <n v="4"/>
    <n v="0"/>
    <n v="13"/>
    <n v="2"/>
    <s v="Better"/>
    <n v="13"/>
    <x v="2"/>
    <n v="12"/>
    <n v="11"/>
    <n v="9"/>
  </r>
  <r>
    <n v="32"/>
    <s v="Middle Aged"/>
    <n v="0"/>
    <s v="Travel_Rarely"/>
    <n v="1018"/>
    <x v="0"/>
    <n v="2"/>
    <s v="Near Office"/>
    <s v="Master"/>
    <s v="Medical"/>
    <n v="1"/>
    <s v="Female"/>
    <n v="74"/>
    <n v="4"/>
    <n v="2"/>
    <s v="Research Scientist"/>
    <s v="Very High"/>
    <s v="Single"/>
    <n v="5055"/>
    <s v="Medium (5k-10k)"/>
    <n v="10557"/>
    <n v="7"/>
    <x v="0"/>
    <n v="16"/>
    <n v="3"/>
    <n v="3"/>
    <n v="0"/>
    <n v="10"/>
    <n v="0"/>
    <s v="Good"/>
    <n v="7"/>
    <x v="1"/>
    <n v="7"/>
    <n v="0"/>
    <n v="7"/>
  </r>
  <r>
    <n v="32"/>
    <s v="Middle Aged"/>
    <n v="0"/>
    <s v="Travel_Rarely"/>
    <n v="1062"/>
    <x v="0"/>
    <n v="2"/>
    <s v="Near Office"/>
    <s v="Bachelor"/>
    <s v="Medical"/>
    <n v="3"/>
    <s v="Female"/>
    <n v="75"/>
    <n v="3"/>
    <n v="1"/>
    <s v="Laboratory Technician"/>
    <s v="Medium"/>
    <s v="Married"/>
    <n v="2370"/>
    <s v="Low (&lt;5k)"/>
    <n v="3956"/>
    <n v="1"/>
    <x v="0"/>
    <n v="13"/>
    <n v="3"/>
    <n v="3"/>
    <n v="1"/>
    <n v="8"/>
    <n v="4"/>
    <s v="Better"/>
    <n v="8"/>
    <x v="1"/>
    <n v="0"/>
    <n v="0"/>
    <n v="7"/>
  </r>
  <r>
    <n v="32"/>
    <s v="Middle Aged"/>
    <n v="1"/>
    <s v="Non-Travel"/>
    <n v="1474"/>
    <x v="1"/>
    <n v="11"/>
    <s v="Moderate"/>
    <s v="Master"/>
    <s v="Other"/>
    <n v="4"/>
    <s v="Male"/>
    <n v="60"/>
    <n v="4"/>
    <n v="2"/>
    <s v="Sales Executive"/>
    <s v="High"/>
    <s v="Married"/>
    <n v="4707"/>
    <s v="Low (&lt;5k)"/>
    <n v="23914"/>
    <n v="8"/>
    <x v="0"/>
    <n v="12"/>
    <n v="3"/>
    <n v="4"/>
    <n v="0"/>
    <n v="6"/>
    <n v="2"/>
    <s v="Better"/>
    <n v="4"/>
    <x v="1"/>
    <n v="2"/>
    <n v="1"/>
    <n v="2"/>
  </r>
  <r>
    <n v="32"/>
    <s v="Middle Aged"/>
    <n v="0"/>
    <s v="Travel_Rarely"/>
    <n v="646"/>
    <x v="0"/>
    <n v="9"/>
    <s v="Moderate"/>
    <s v="Master"/>
    <s v="Life Sciences"/>
    <n v="1"/>
    <s v="Female"/>
    <n v="92"/>
    <n v="3"/>
    <n v="2"/>
    <s v="Research Scientist"/>
    <s v="Very High"/>
    <s v="Married"/>
    <n v="6322"/>
    <s v="Medium (5k-10k)"/>
    <n v="18089"/>
    <n v="1"/>
    <x v="1"/>
    <n v="12"/>
    <n v="3"/>
    <n v="4"/>
    <n v="1"/>
    <n v="6"/>
    <n v="2"/>
    <s v="Good"/>
    <n v="6"/>
    <x v="1"/>
    <n v="4"/>
    <n v="0"/>
    <n v="5"/>
  </r>
  <r>
    <n v="32"/>
    <s v="Middle Aged"/>
    <n v="0"/>
    <s v="Travel_Rarely"/>
    <n v="929"/>
    <x v="1"/>
    <n v="10"/>
    <s v="Moderate"/>
    <s v="Bachelor"/>
    <s v="Marketing"/>
    <n v="4"/>
    <s v="Male"/>
    <n v="55"/>
    <n v="3"/>
    <n v="2"/>
    <s v="Sales Executive"/>
    <s v="Very High"/>
    <s v="Single"/>
    <n v="5396"/>
    <s v="Medium (5k-10k)"/>
    <n v="21703"/>
    <n v="1"/>
    <x v="0"/>
    <n v="12"/>
    <n v="3"/>
    <n v="4"/>
    <n v="0"/>
    <n v="10"/>
    <n v="2"/>
    <s v="Good"/>
    <n v="10"/>
    <x v="2"/>
    <n v="7"/>
    <n v="0"/>
    <n v="8"/>
  </r>
  <r>
    <n v="32"/>
    <s v="Middle Aged"/>
    <n v="0"/>
    <s v="Travel_Rarely"/>
    <n v="1018"/>
    <x v="0"/>
    <n v="3"/>
    <s v="Near Office"/>
    <s v="College"/>
    <s v="Life Sciences"/>
    <n v="3"/>
    <s v="Female"/>
    <n v="39"/>
    <n v="3"/>
    <n v="3"/>
    <s v="Research Director"/>
    <s v="Very High"/>
    <s v="Single"/>
    <n v="11159"/>
    <s v="High (&gt;10k)"/>
    <n v="19373"/>
    <n v="3"/>
    <x v="0"/>
    <n v="15"/>
    <n v="3"/>
    <n v="4"/>
    <n v="0"/>
    <n v="10"/>
    <n v="6"/>
    <s v="Better"/>
    <n v="7"/>
    <x v="1"/>
    <n v="7"/>
    <n v="7"/>
    <n v="7"/>
  </r>
  <r>
    <n v="32"/>
    <s v="Middle Aged"/>
    <n v="0"/>
    <s v="Travel_Frequently"/>
    <n v="430"/>
    <x v="0"/>
    <n v="24"/>
    <s v="Long Commute"/>
    <s v="Master"/>
    <s v="Life Sciences"/>
    <n v="1"/>
    <s v="Male"/>
    <n v="80"/>
    <n v="3"/>
    <n v="2"/>
    <s v="Laboratory Technician"/>
    <s v="Very High"/>
    <s v="Married"/>
    <n v="5309"/>
    <s v="Medium (5k-10k)"/>
    <n v="21146"/>
    <n v="1"/>
    <x v="0"/>
    <n v="15"/>
    <n v="3"/>
    <n v="4"/>
    <n v="2"/>
    <n v="10"/>
    <n v="2"/>
    <s v="Better"/>
    <n v="10"/>
    <x v="2"/>
    <n v="8"/>
    <n v="4"/>
    <n v="7"/>
  </r>
  <r>
    <n v="32"/>
    <s v="Middle Aged"/>
    <n v="0"/>
    <s v="Travel_Rarely"/>
    <n v="859"/>
    <x v="0"/>
    <n v="4"/>
    <s v="Near Office"/>
    <s v="Bachelor"/>
    <s v="Life Sciences"/>
    <n v="3"/>
    <s v="Female"/>
    <n v="98"/>
    <n v="2"/>
    <n v="2"/>
    <s v="Manufacturing Director"/>
    <s v="High"/>
    <s v="Married"/>
    <n v="6162"/>
    <s v="Medium (5k-10k)"/>
    <n v="19124"/>
    <n v="1"/>
    <x v="0"/>
    <n v="12"/>
    <n v="3"/>
    <n v="3"/>
    <n v="1"/>
    <n v="14"/>
    <n v="3"/>
    <s v="Better"/>
    <n v="14"/>
    <x v="2"/>
    <n v="13"/>
    <n v="6"/>
    <n v="8"/>
  </r>
  <r>
    <n v="32"/>
    <s v="Middle Aged"/>
    <n v="0"/>
    <s v="Travel_Rarely"/>
    <n v="117"/>
    <x v="1"/>
    <n v="13"/>
    <s v="Moderate"/>
    <s v="Master"/>
    <s v="Life Sciences"/>
    <n v="2"/>
    <s v="Male"/>
    <n v="73"/>
    <n v="3"/>
    <n v="2"/>
    <s v="Sales Executive"/>
    <s v="Very High"/>
    <s v="Divorced"/>
    <n v="4403"/>
    <s v="Low (&lt;5k)"/>
    <n v="9250"/>
    <n v="2"/>
    <x v="0"/>
    <n v="11"/>
    <n v="3"/>
    <n v="3"/>
    <n v="1"/>
    <n v="8"/>
    <n v="3"/>
    <s v="Good"/>
    <n v="5"/>
    <x v="1"/>
    <n v="2"/>
    <n v="0"/>
    <n v="3"/>
  </r>
  <r>
    <n v="32"/>
    <s v="Middle Aged"/>
    <n v="0"/>
    <s v="Travel_Rarely"/>
    <n v="638"/>
    <x v="0"/>
    <n v="8"/>
    <s v="Moderate"/>
    <s v="College"/>
    <s v="Medical"/>
    <n v="3"/>
    <s v="Female"/>
    <n v="91"/>
    <n v="4"/>
    <n v="2"/>
    <s v="Research Scientist"/>
    <s v="High"/>
    <s v="Married"/>
    <n v="5175"/>
    <s v="Medium (5k-10k)"/>
    <n v="22162"/>
    <n v="5"/>
    <x v="0"/>
    <n v="12"/>
    <n v="3"/>
    <n v="3"/>
    <n v="1"/>
    <n v="9"/>
    <n v="3"/>
    <s v="Good"/>
    <n v="5"/>
    <x v="1"/>
    <n v="3"/>
    <n v="1"/>
    <n v="3"/>
  </r>
  <r>
    <n v="32"/>
    <s v="Middle Aged"/>
    <n v="0"/>
    <s v="Non-Travel"/>
    <n v="300"/>
    <x v="0"/>
    <n v="1"/>
    <s v="Near Office"/>
    <s v="Bachelor"/>
    <s v="Life Sciences"/>
    <n v="4"/>
    <s v="Male"/>
    <n v="61"/>
    <n v="3"/>
    <n v="1"/>
    <s v="Laboratory Technician"/>
    <s v="Very High"/>
    <s v="Divorced"/>
    <n v="2314"/>
    <s v="Low (&lt;5k)"/>
    <n v="9148"/>
    <n v="0"/>
    <x v="0"/>
    <n v="12"/>
    <n v="3"/>
    <n v="2"/>
    <n v="1"/>
    <n v="4"/>
    <n v="2"/>
    <s v="Better"/>
    <n v="3"/>
    <x v="1"/>
    <n v="0"/>
    <n v="0"/>
    <n v="2"/>
  </r>
  <r>
    <n v="32"/>
    <s v="Middle Aged"/>
    <n v="0"/>
    <s v="Travel_Frequently"/>
    <n v="379"/>
    <x v="1"/>
    <n v="5"/>
    <s v="Near Office"/>
    <s v="College"/>
    <s v="Life Sciences"/>
    <n v="2"/>
    <s v="Male"/>
    <n v="48"/>
    <n v="3"/>
    <n v="2"/>
    <s v="Sales Executive"/>
    <s v="Medium"/>
    <s v="Married"/>
    <n v="6524"/>
    <s v="Medium (5k-10k)"/>
    <n v="8891"/>
    <n v="1"/>
    <x v="0"/>
    <n v="14"/>
    <n v="3"/>
    <n v="4"/>
    <n v="1"/>
    <n v="10"/>
    <n v="3"/>
    <s v="Better"/>
    <n v="10"/>
    <x v="2"/>
    <n v="8"/>
    <n v="5"/>
    <n v="3"/>
  </r>
  <r>
    <n v="32"/>
    <s v="Middle Aged"/>
    <n v="1"/>
    <s v="Travel_Rarely"/>
    <n v="374"/>
    <x v="0"/>
    <n v="25"/>
    <s v="Long Commute"/>
    <s v="Master"/>
    <s v="Life Sciences"/>
    <n v="1"/>
    <s v="Male"/>
    <n v="87"/>
    <n v="3"/>
    <n v="1"/>
    <s v="Laboratory Technician"/>
    <s v="Very High"/>
    <s v="Single"/>
    <n v="2795"/>
    <s v="Low (&lt;5k)"/>
    <n v="18016"/>
    <n v="1"/>
    <x v="1"/>
    <n v="24"/>
    <n v="4"/>
    <n v="3"/>
    <n v="0"/>
    <n v="1"/>
    <n v="2"/>
    <s v="Bad"/>
    <n v="1"/>
    <x v="0"/>
    <n v="0"/>
    <n v="0"/>
    <n v="1"/>
  </r>
  <r>
    <n v="32"/>
    <s v="Middle Aged"/>
    <n v="0"/>
    <s v="Non-Travel"/>
    <n v="1184"/>
    <x v="0"/>
    <n v="1"/>
    <s v="Near Office"/>
    <s v="Bachelor"/>
    <s v="Life Sciences"/>
    <n v="3"/>
    <s v="Female"/>
    <n v="70"/>
    <n v="2"/>
    <n v="1"/>
    <s v="Laboratory Technician"/>
    <s v="Medium"/>
    <s v="Married"/>
    <n v="2332"/>
    <s v="Low (&lt;5k)"/>
    <n v="3974"/>
    <n v="6"/>
    <x v="0"/>
    <n v="20"/>
    <n v="4"/>
    <n v="3"/>
    <n v="0"/>
    <n v="5"/>
    <n v="3"/>
    <s v="Better"/>
    <n v="3"/>
    <x v="1"/>
    <n v="0"/>
    <n v="0"/>
    <n v="2"/>
  </r>
  <r>
    <n v="32"/>
    <s v="Middle Aged"/>
    <n v="0"/>
    <s v="Travel_Rarely"/>
    <n v="498"/>
    <x v="0"/>
    <n v="3"/>
    <s v="Near Office"/>
    <s v="Master"/>
    <s v="Medical"/>
    <n v="3"/>
    <s v="Female"/>
    <n v="93"/>
    <n v="3"/>
    <n v="2"/>
    <s v="Manufacturing Director"/>
    <s v="Low"/>
    <s v="Married"/>
    <n v="6725"/>
    <s v="Medium (5k-10k)"/>
    <n v="13554"/>
    <n v="1"/>
    <x v="0"/>
    <n v="12"/>
    <n v="3"/>
    <n v="3"/>
    <n v="1"/>
    <n v="8"/>
    <n v="2"/>
    <s v="Best"/>
    <n v="8"/>
    <x v="1"/>
    <n v="7"/>
    <n v="6"/>
    <n v="3"/>
  </r>
  <r>
    <n v="32"/>
    <s v="Middle Aged"/>
    <n v="0"/>
    <s v="Non-Travel"/>
    <n v="1109"/>
    <x v="0"/>
    <n v="29"/>
    <s v="Long Commute"/>
    <s v="Master"/>
    <s v="Medical"/>
    <n v="4"/>
    <s v="Female"/>
    <n v="69"/>
    <n v="3"/>
    <n v="1"/>
    <s v="Laboratory Technician"/>
    <s v="High"/>
    <s v="Single"/>
    <n v="4025"/>
    <s v="Low (&lt;5k)"/>
    <n v="11135"/>
    <n v="9"/>
    <x v="0"/>
    <n v="12"/>
    <n v="3"/>
    <n v="2"/>
    <n v="0"/>
    <n v="10"/>
    <n v="2"/>
    <s v="Better"/>
    <n v="8"/>
    <x v="1"/>
    <n v="7"/>
    <n v="7"/>
    <n v="7"/>
  </r>
  <r>
    <n v="32"/>
    <s v="Middle Aged"/>
    <n v="0"/>
    <s v="Non-Travel"/>
    <n v="862"/>
    <x v="1"/>
    <n v="2"/>
    <s v="Near Office"/>
    <s v="Below College"/>
    <s v="Life Sciences"/>
    <n v="3"/>
    <s v="Female"/>
    <n v="76"/>
    <n v="3"/>
    <n v="1"/>
    <s v="Sales Representative"/>
    <s v="Low"/>
    <s v="Divorced"/>
    <n v="2827"/>
    <s v="Low (&lt;5k)"/>
    <n v="14947"/>
    <n v="1"/>
    <x v="0"/>
    <n v="12"/>
    <n v="3"/>
    <n v="3"/>
    <n v="3"/>
    <n v="1"/>
    <n v="3"/>
    <s v="Better"/>
    <n v="1"/>
    <x v="0"/>
    <n v="0"/>
    <n v="0"/>
    <n v="0"/>
  </r>
  <r>
    <n v="32"/>
    <s v="Middle Aged"/>
    <n v="0"/>
    <s v="Travel_Frequently"/>
    <n v="116"/>
    <x v="0"/>
    <n v="13"/>
    <s v="Moderate"/>
    <s v="Bachelor"/>
    <s v="Other"/>
    <n v="3"/>
    <s v="Female"/>
    <n v="77"/>
    <n v="2"/>
    <n v="1"/>
    <s v="Laboratory Technician"/>
    <s v="Medium"/>
    <s v="Married"/>
    <n v="2743"/>
    <s v="Low (&lt;5k)"/>
    <n v="7331"/>
    <n v="1"/>
    <x v="0"/>
    <n v="20"/>
    <n v="4"/>
    <n v="3"/>
    <n v="1"/>
    <n v="2"/>
    <n v="2"/>
    <s v="Better"/>
    <n v="2"/>
    <x v="0"/>
    <n v="2"/>
    <n v="2"/>
    <n v="2"/>
  </r>
  <r>
    <n v="32"/>
    <s v="Middle Aged"/>
    <n v="0"/>
    <s v="Travel_Frequently"/>
    <n v="1316"/>
    <x v="0"/>
    <n v="2"/>
    <s v="Near Office"/>
    <s v="College"/>
    <s v="Life Sciences"/>
    <n v="4"/>
    <s v="Female"/>
    <n v="38"/>
    <n v="3"/>
    <n v="2"/>
    <s v="Research Scientist"/>
    <s v="High"/>
    <s v="Single"/>
    <n v="4998"/>
    <s v="Low (&lt;5k)"/>
    <n v="2338"/>
    <n v="4"/>
    <x v="1"/>
    <n v="14"/>
    <n v="3"/>
    <n v="4"/>
    <n v="0"/>
    <n v="10"/>
    <n v="2"/>
    <s v="Better"/>
    <n v="8"/>
    <x v="1"/>
    <n v="7"/>
    <n v="0"/>
    <n v="7"/>
  </r>
  <r>
    <n v="32"/>
    <s v="Middle Aged"/>
    <n v="0"/>
    <s v="Travel_Rarely"/>
    <n v="604"/>
    <x v="1"/>
    <n v="8"/>
    <s v="Moderate"/>
    <s v="Bachelor"/>
    <s v="Medical"/>
    <n v="3"/>
    <s v="Male"/>
    <n v="56"/>
    <n v="4"/>
    <n v="2"/>
    <s v="Sales Executive"/>
    <s v="Very High"/>
    <s v="Married"/>
    <n v="6209"/>
    <s v="Medium (5k-10k)"/>
    <n v="11693"/>
    <n v="1"/>
    <x v="0"/>
    <n v="15"/>
    <n v="3"/>
    <n v="3"/>
    <n v="2"/>
    <n v="10"/>
    <n v="4"/>
    <s v="Best"/>
    <n v="10"/>
    <x v="2"/>
    <n v="7"/>
    <n v="0"/>
    <n v="8"/>
  </r>
  <r>
    <n v="32"/>
    <s v="Middle Aged"/>
    <n v="1"/>
    <s v="Travel_Rarely"/>
    <n v="1089"/>
    <x v="0"/>
    <n v="7"/>
    <s v="Moderate"/>
    <s v="College"/>
    <s v="Life Sciences"/>
    <n v="4"/>
    <s v="Male"/>
    <n v="79"/>
    <n v="3"/>
    <n v="2"/>
    <s v="Laboratory Technician"/>
    <s v="High"/>
    <s v="Married"/>
    <n v="4883"/>
    <s v="Low (&lt;5k)"/>
    <n v="22845"/>
    <n v="1"/>
    <x v="0"/>
    <n v="18"/>
    <n v="3"/>
    <n v="1"/>
    <n v="1"/>
    <n v="10"/>
    <n v="3"/>
    <s v="Better"/>
    <n v="10"/>
    <x v="2"/>
    <n v="4"/>
    <n v="1"/>
    <n v="1"/>
  </r>
  <r>
    <n v="32"/>
    <s v="Middle Aged"/>
    <n v="0"/>
    <s v="Travel_Rarely"/>
    <n v="499"/>
    <x v="1"/>
    <n v="2"/>
    <s v="Near Office"/>
    <s v="Below College"/>
    <s v="Marketing"/>
    <n v="3"/>
    <s v="Male"/>
    <n v="36"/>
    <n v="3"/>
    <n v="2"/>
    <s v="Sales Executive"/>
    <s v="Medium"/>
    <s v="Married"/>
    <n v="4078"/>
    <s v="Low (&lt;5k)"/>
    <n v="20497"/>
    <n v="0"/>
    <x v="1"/>
    <n v="13"/>
    <n v="3"/>
    <n v="1"/>
    <n v="3"/>
    <n v="4"/>
    <n v="3"/>
    <s v="Good"/>
    <n v="3"/>
    <x v="1"/>
    <n v="2"/>
    <n v="1"/>
    <n v="2"/>
  </r>
  <r>
    <n v="32"/>
    <s v="Middle Aged"/>
    <n v="0"/>
    <s v="Travel_Rarely"/>
    <n v="601"/>
    <x v="1"/>
    <n v="7"/>
    <s v="Moderate"/>
    <s v="Doctor"/>
    <s v="Marketing"/>
    <n v="4"/>
    <s v="Male"/>
    <n v="97"/>
    <n v="3"/>
    <n v="2"/>
    <s v="Sales Executive"/>
    <s v="Very High"/>
    <s v="Married"/>
    <n v="9204"/>
    <s v="Medium (5k-10k)"/>
    <n v="23343"/>
    <n v="4"/>
    <x v="0"/>
    <n v="12"/>
    <n v="3"/>
    <n v="3"/>
    <n v="1"/>
    <n v="7"/>
    <n v="3"/>
    <s v="Good"/>
    <n v="4"/>
    <x v="1"/>
    <n v="3"/>
    <n v="0"/>
    <n v="3"/>
  </r>
  <r>
    <n v="32"/>
    <s v="Middle Aged"/>
    <n v="0"/>
    <s v="Travel_Rarely"/>
    <n v="495"/>
    <x v="0"/>
    <n v="10"/>
    <s v="Moderate"/>
    <s v="Bachelor"/>
    <s v="Medical"/>
    <n v="3"/>
    <s v="Male"/>
    <n v="64"/>
    <n v="3"/>
    <n v="3"/>
    <s v="Manager"/>
    <s v="Very High"/>
    <s v="Single"/>
    <n v="11244"/>
    <s v="High (&gt;10k)"/>
    <n v="21072"/>
    <n v="2"/>
    <x v="0"/>
    <n v="25"/>
    <n v="4"/>
    <n v="2"/>
    <n v="0"/>
    <n v="10"/>
    <n v="5"/>
    <s v="Best"/>
    <n v="5"/>
    <x v="1"/>
    <n v="2"/>
    <n v="0"/>
    <n v="0"/>
  </r>
  <r>
    <n v="32"/>
    <s v="Middle Aged"/>
    <n v="0"/>
    <s v="Travel_Rarely"/>
    <n v="824"/>
    <x v="0"/>
    <n v="5"/>
    <s v="Near Office"/>
    <s v="College"/>
    <s v="Life Sciences"/>
    <n v="4"/>
    <s v="Female"/>
    <n v="67"/>
    <n v="2"/>
    <n v="2"/>
    <s v="Research Scientist"/>
    <s v="Medium"/>
    <s v="Married"/>
    <n v="5878"/>
    <s v="Medium (5k-10k)"/>
    <n v="15624"/>
    <n v="3"/>
    <x v="0"/>
    <n v="12"/>
    <n v="3"/>
    <n v="1"/>
    <n v="1"/>
    <n v="12"/>
    <n v="2"/>
    <s v="Better"/>
    <n v="7"/>
    <x v="1"/>
    <n v="1"/>
    <n v="2"/>
    <n v="5"/>
  </r>
  <r>
    <n v="32"/>
    <s v="Middle Aged"/>
    <n v="0"/>
    <s v="Non-Travel"/>
    <n v="1200"/>
    <x v="0"/>
    <n v="1"/>
    <s v="Near Office"/>
    <s v="Master"/>
    <s v="Technical Degree"/>
    <n v="4"/>
    <s v="Male"/>
    <n v="62"/>
    <n v="3"/>
    <n v="2"/>
    <s v="Research Scientist"/>
    <s v="Low"/>
    <s v="Married"/>
    <n v="4087"/>
    <s v="Low (&lt;5k)"/>
    <n v="25174"/>
    <n v="4"/>
    <x v="0"/>
    <n v="14"/>
    <n v="3"/>
    <n v="2"/>
    <n v="1"/>
    <n v="9"/>
    <n v="3"/>
    <s v="Good"/>
    <n v="6"/>
    <x v="1"/>
    <n v="5"/>
    <n v="1"/>
    <n v="2"/>
  </r>
  <r>
    <n v="32"/>
    <s v="Middle Aged"/>
    <n v="0"/>
    <s v="Travel_Rarely"/>
    <n v="634"/>
    <x v="0"/>
    <n v="5"/>
    <s v="Near Office"/>
    <s v="Master"/>
    <s v="Other"/>
    <n v="2"/>
    <s v="Female"/>
    <n v="35"/>
    <n v="4"/>
    <n v="1"/>
    <s v="Research Scientist"/>
    <s v="Very High"/>
    <s v="Married"/>
    <n v="3312"/>
    <s v="Low (&lt;5k)"/>
    <n v="18783"/>
    <n v="3"/>
    <x v="0"/>
    <n v="17"/>
    <n v="3"/>
    <n v="4"/>
    <n v="2"/>
    <n v="6"/>
    <n v="3"/>
    <s v="Better"/>
    <n v="3"/>
    <x v="1"/>
    <n v="2"/>
    <n v="0"/>
    <n v="2"/>
  </r>
  <r>
    <n v="32"/>
    <s v="Middle Aged"/>
    <n v="0"/>
    <s v="Travel_Rarely"/>
    <n v="977"/>
    <x v="0"/>
    <n v="2"/>
    <s v="Near Office"/>
    <s v="Bachelor"/>
    <s v="Medical"/>
    <n v="4"/>
    <s v="Male"/>
    <n v="45"/>
    <n v="3"/>
    <n v="2"/>
    <s v="Research Scientist"/>
    <s v="Medium"/>
    <s v="Divorced"/>
    <n v="5470"/>
    <s v="Medium (5k-10k)"/>
    <n v="25518"/>
    <n v="0"/>
    <x v="0"/>
    <n v="13"/>
    <n v="3"/>
    <n v="3"/>
    <n v="2"/>
    <n v="10"/>
    <n v="4"/>
    <s v="Good"/>
    <n v="9"/>
    <x v="1"/>
    <n v="5"/>
    <n v="1"/>
    <n v="6"/>
  </r>
  <r>
    <n v="32"/>
    <s v="Middle Aged"/>
    <n v="1"/>
    <s v="Travel_Rarely"/>
    <n v="1259"/>
    <x v="0"/>
    <n v="2"/>
    <s v="Near Office"/>
    <s v="Master"/>
    <s v="Life Sciences"/>
    <n v="4"/>
    <s v="Male"/>
    <n v="95"/>
    <n v="3"/>
    <n v="1"/>
    <s v="Laboratory Technician"/>
    <s v="Medium"/>
    <s v="Single"/>
    <n v="1393"/>
    <s v="Low (&lt;5k)"/>
    <n v="24852"/>
    <n v="1"/>
    <x v="0"/>
    <n v="12"/>
    <n v="3"/>
    <n v="1"/>
    <n v="0"/>
    <n v="1"/>
    <n v="2"/>
    <s v="Better"/>
    <n v="1"/>
    <x v="0"/>
    <n v="0"/>
    <n v="0"/>
    <n v="0"/>
  </r>
  <r>
    <n v="32"/>
    <s v="Middle Aged"/>
    <n v="0"/>
    <s v="Travel_Frequently"/>
    <n v="585"/>
    <x v="0"/>
    <n v="10"/>
    <s v="Moderate"/>
    <s v="Bachelor"/>
    <s v="Life Sciences"/>
    <n v="1"/>
    <s v="Male"/>
    <n v="56"/>
    <n v="3"/>
    <n v="1"/>
    <s v="Research Scientist"/>
    <s v="High"/>
    <s v="Married"/>
    <n v="3433"/>
    <s v="Low (&lt;5k)"/>
    <n v="17360"/>
    <n v="6"/>
    <x v="0"/>
    <n v="13"/>
    <n v="3"/>
    <n v="1"/>
    <n v="1"/>
    <n v="10"/>
    <n v="3"/>
    <s v="Good"/>
    <n v="5"/>
    <x v="1"/>
    <n v="2"/>
    <n v="1"/>
    <n v="3"/>
  </r>
  <r>
    <n v="32"/>
    <s v="Middle Aged"/>
    <n v="1"/>
    <s v="Travel_Rarely"/>
    <n v="964"/>
    <x v="1"/>
    <n v="1"/>
    <s v="Near Office"/>
    <s v="College"/>
    <s v="Life Sciences"/>
    <n v="1"/>
    <s v="Male"/>
    <n v="34"/>
    <n v="1"/>
    <n v="2"/>
    <s v="Sales Executive"/>
    <s v="Medium"/>
    <s v="Single"/>
    <n v="6735"/>
    <s v="Medium (5k-10k)"/>
    <n v="12147"/>
    <n v="6"/>
    <x v="0"/>
    <n v="15"/>
    <n v="3"/>
    <n v="2"/>
    <n v="0"/>
    <n v="10"/>
    <n v="2"/>
    <s v="Better"/>
    <n v="0"/>
    <x v="0"/>
    <n v="0"/>
    <n v="0"/>
    <n v="0"/>
  </r>
  <r>
    <n v="32"/>
    <s v="Middle Aged"/>
    <n v="0"/>
    <s v="Travel_Rarely"/>
    <n v="371"/>
    <x v="1"/>
    <n v="19"/>
    <s v="Long Commute"/>
    <s v="Bachelor"/>
    <s v="Life Sciences"/>
    <n v="4"/>
    <s v="Male"/>
    <n v="80"/>
    <n v="1"/>
    <n v="3"/>
    <s v="Sales Executive"/>
    <s v="High"/>
    <s v="Married"/>
    <n v="9610"/>
    <s v="Medium (5k-10k)"/>
    <n v="3840"/>
    <n v="3"/>
    <x v="0"/>
    <n v="13"/>
    <n v="3"/>
    <n v="3"/>
    <n v="1"/>
    <n v="10"/>
    <n v="2"/>
    <s v="Bad"/>
    <n v="4"/>
    <x v="1"/>
    <n v="3"/>
    <n v="0"/>
    <n v="2"/>
  </r>
  <r>
    <n v="32"/>
    <s v="Middle Aged"/>
    <n v="0"/>
    <s v="Non-Travel"/>
    <n v="953"/>
    <x v="0"/>
    <n v="5"/>
    <s v="Near Office"/>
    <s v="Master"/>
    <s v="Technical Degree"/>
    <n v="2"/>
    <s v="Male"/>
    <n v="65"/>
    <n v="3"/>
    <n v="1"/>
    <s v="Research Scientist"/>
    <s v="Medium"/>
    <s v="Single"/>
    <n v="2718"/>
    <s v="Low (&lt;5k)"/>
    <n v="17674"/>
    <n v="2"/>
    <x v="0"/>
    <n v="14"/>
    <n v="3"/>
    <n v="2"/>
    <n v="0"/>
    <n v="12"/>
    <n v="3"/>
    <s v="Better"/>
    <n v="7"/>
    <x v="1"/>
    <n v="7"/>
    <n v="0"/>
    <n v="7"/>
  </r>
  <r>
    <n v="32"/>
    <s v="Middle Aged"/>
    <n v="0"/>
    <s v="Travel_Frequently"/>
    <n v="1318"/>
    <x v="1"/>
    <n v="10"/>
    <s v="Moderate"/>
    <s v="Master"/>
    <s v="Marketing"/>
    <n v="4"/>
    <s v="Male"/>
    <n v="79"/>
    <n v="3"/>
    <n v="2"/>
    <s v="Sales Executive"/>
    <s v="Very High"/>
    <s v="Single"/>
    <n v="4648"/>
    <s v="Low (&lt;5k)"/>
    <n v="26075"/>
    <n v="8"/>
    <x v="0"/>
    <n v="13"/>
    <n v="3"/>
    <n v="3"/>
    <n v="0"/>
    <n v="4"/>
    <n v="2"/>
    <s v="Best"/>
    <n v="0"/>
    <x v="0"/>
    <n v="0"/>
    <n v="0"/>
    <n v="0"/>
  </r>
  <r>
    <n v="32"/>
    <s v="Middle Aged"/>
    <n v="1"/>
    <s v="Travel_Rarely"/>
    <n v="414"/>
    <x v="1"/>
    <n v="2"/>
    <s v="Near Office"/>
    <s v="Master"/>
    <s v="Marketing"/>
    <n v="3"/>
    <s v="Male"/>
    <n v="82"/>
    <n v="2"/>
    <n v="2"/>
    <s v="Sales Executive"/>
    <s v="Medium"/>
    <s v="Single"/>
    <n v="9907"/>
    <s v="Medium (5k-10k)"/>
    <n v="26186"/>
    <n v="7"/>
    <x v="1"/>
    <n v="12"/>
    <n v="3"/>
    <n v="3"/>
    <n v="0"/>
    <n v="7"/>
    <n v="3"/>
    <s v="Good"/>
    <n v="2"/>
    <x v="0"/>
    <n v="2"/>
    <n v="2"/>
    <n v="2"/>
  </r>
  <r>
    <n v="32"/>
    <s v="Middle Aged"/>
    <n v="1"/>
    <s v="Travel_Frequently"/>
    <n v="238"/>
    <x v="0"/>
    <n v="5"/>
    <s v="Near Office"/>
    <s v="College"/>
    <s v="Life Sciences"/>
    <n v="1"/>
    <s v="Female"/>
    <n v="47"/>
    <n v="4"/>
    <n v="1"/>
    <s v="Research Scientist"/>
    <s v="High"/>
    <s v="Single"/>
    <n v="2432"/>
    <s v="Low (&lt;5k)"/>
    <n v="15318"/>
    <n v="3"/>
    <x v="1"/>
    <n v="14"/>
    <n v="3"/>
    <n v="1"/>
    <n v="0"/>
    <n v="8"/>
    <n v="2"/>
    <s v="Better"/>
    <n v="4"/>
    <x v="1"/>
    <n v="1"/>
    <n v="0"/>
    <n v="3"/>
  </r>
  <r>
    <n v="32"/>
    <s v="Middle Aged"/>
    <n v="0"/>
    <s v="Non-Travel"/>
    <n v="1146"/>
    <x v="0"/>
    <n v="15"/>
    <s v="Moderate"/>
    <s v="Master"/>
    <s v="Medical"/>
    <n v="3"/>
    <s v="Female"/>
    <n v="34"/>
    <n v="3"/>
    <n v="2"/>
    <s v="Healthcare Representative"/>
    <s v="Very High"/>
    <s v="Divorced"/>
    <n v="6667"/>
    <s v="Medium (5k-10k)"/>
    <n v="16542"/>
    <n v="5"/>
    <x v="0"/>
    <n v="18"/>
    <n v="3"/>
    <n v="2"/>
    <n v="1"/>
    <n v="9"/>
    <n v="6"/>
    <s v="Better"/>
    <n v="5"/>
    <x v="1"/>
    <n v="1"/>
    <n v="1"/>
    <n v="2"/>
  </r>
  <r>
    <n v="32"/>
    <s v="Middle Aged"/>
    <n v="0"/>
    <s v="Travel_Rarely"/>
    <n v="1373"/>
    <x v="0"/>
    <n v="5"/>
    <s v="Near Office"/>
    <s v="Master"/>
    <s v="Life Sciences"/>
    <n v="4"/>
    <s v="Male"/>
    <n v="56"/>
    <n v="2"/>
    <n v="2"/>
    <s v="Manufacturing Director"/>
    <s v="Very High"/>
    <s v="Single"/>
    <n v="9679"/>
    <s v="Medium (5k-10k)"/>
    <n v="10138"/>
    <n v="8"/>
    <x v="0"/>
    <n v="24"/>
    <n v="4"/>
    <n v="2"/>
    <n v="0"/>
    <n v="8"/>
    <n v="1"/>
    <s v="Better"/>
    <n v="1"/>
    <x v="0"/>
    <n v="0"/>
    <n v="0"/>
    <n v="0"/>
  </r>
  <r>
    <n v="32"/>
    <s v="Middle Aged"/>
    <n v="0"/>
    <s v="Travel_Rarely"/>
    <n v="267"/>
    <x v="0"/>
    <n v="29"/>
    <s v="Long Commute"/>
    <s v="Master"/>
    <s v="Life Sciences"/>
    <n v="3"/>
    <s v="Female"/>
    <n v="49"/>
    <n v="2"/>
    <n v="1"/>
    <s v="Laboratory Technician"/>
    <s v="Medium"/>
    <s v="Single"/>
    <n v="2837"/>
    <s v="Low (&lt;5k)"/>
    <n v="15919"/>
    <n v="1"/>
    <x v="0"/>
    <n v="13"/>
    <n v="3"/>
    <n v="3"/>
    <n v="0"/>
    <n v="6"/>
    <n v="3"/>
    <s v="Better"/>
    <n v="6"/>
    <x v="1"/>
    <n v="2"/>
    <n v="4"/>
    <n v="1"/>
  </r>
  <r>
    <n v="32"/>
    <s v="Middle Aged"/>
    <n v="0"/>
    <s v="Travel_Rarely"/>
    <n v="234"/>
    <x v="1"/>
    <n v="1"/>
    <s v="Near Office"/>
    <s v="Master"/>
    <s v="Medical"/>
    <n v="2"/>
    <s v="Male"/>
    <n v="68"/>
    <n v="2"/>
    <n v="1"/>
    <s v="Sales Representative"/>
    <s v="Medium"/>
    <s v="Married"/>
    <n v="2269"/>
    <s v="Low (&lt;5k)"/>
    <n v="18024"/>
    <n v="0"/>
    <x v="0"/>
    <n v="14"/>
    <n v="3"/>
    <n v="2"/>
    <n v="1"/>
    <n v="3"/>
    <n v="2"/>
    <s v="Better"/>
    <n v="2"/>
    <x v="0"/>
    <n v="2"/>
    <n v="2"/>
    <n v="2"/>
  </r>
  <r>
    <n v="32"/>
    <s v="Middle Aged"/>
    <n v="0"/>
    <s v="Travel_Rarely"/>
    <n v="801"/>
    <x v="1"/>
    <n v="1"/>
    <s v="Near Office"/>
    <s v="Master"/>
    <s v="Marketing"/>
    <n v="3"/>
    <s v="Female"/>
    <n v="48"/>
    <n v="3"/>
    <n v="3"/>
    <s v="Sales Executive"/>
    <s v="Very High"/>
    <s v="Married"/>
    <n v="10422"/>
    <s v="High (&gt;10k)"/>
    <n v="24032"/>
    <n v="1"/>
    <x v="0"/>
    <n v="19"/>
    <n v="3"/>
    <n v="3"/>
    <n v="2"/>
    <n v="14"/>
    <n v="3"/>
    <s v="Better"/>
    <n v="14"/>
    <x v="2"/>
    <n v="10"/>
    <n v="5"/>
    <n v="7"/>
  </r>
  <r>
    <n v="32"/>
    <s v="Middle Aged"/>
    <n v="0"/>
    <s v="Travel_Rarely"/>
    <n v="529"/>
    <x v="0"/>
    <n v="2"/>
    <s v="Near Office"/>
    <s v="Bachelor"/>
    <s v="Technical Degree"/>
    <n v="4"/>
    <s v="Male"/>
    <n v="78"/>
    <n v="3"/>
    <n v="1"/>
    <s v="Research Scientist"/>
    <s v="Low"/>
    <s v="Single"/>
    <n v="2439"/>
    <s v="Low (&lt;5k)"/>
    <n v="11288"/>
    <n v="1"/>
    <x v="0"/>
    <n v="14"/>
    <n v="3"/>
    <n v="4"/>
    <n v="0"/>
    <n v="4"/>
    <n v="4"/>
    <s v="Better"/>
    <n v="4"/>
    <x v="1"/>
    <n v="2"/>
    <n v="1"/>
    <n v="2"/>
  </r>
  <r>
    <n v="33"/>
    <s v="Middle Aged"/>
    <n v="0"/>
    <s v="Travel_Frequently"/>
    <n v="1392"/>
    <x v="0"/>
    <n v="3"/>
    <s v="Near Office"/>
    <s v="Master"/>
    <s v="Life Sciences"/>
    <n v="4"/>
    <s v="Female"/>
    <n v="56"/>
    <n v="3"/>
    <n v="1"/>
    <s v="Research Scientist"/>
    <s v="High"/>
    <s v="Married"/>
    <n v="2909"/>
    <s v="Low (&lt;5k)"/>
    <n v="23159"/>
    <n v="1"/>
    <x v="1"/>
    <n v="11"/>
    <n v="3"/>
    <n v="3"/>
    <n v="0"/>
    <n v="8"/>
    <n v="3"/>
    <s v="Better"/>
    <n v="8"/>
    <x v="1"/>
    <n v="7"/>
    <n v="3"/>
    <n v="0"/>
  </r>
  <r>
    <n v="33"/>
    <s v="Middle Aged"/>
    <n v="0"/>
    <s v="Travel_Rarely"/>
    <n v="924"/>
    <x v="0"/>
    <n v="2"/>
    <s v="Near Office"/>
    <s v="Bachelor"/>
    <s v="Medical"/>
    <n v="3"/>
    <s v="Male"/>
    <n v="78"/>
    <n v="3"/>
    <n v="1"/>
    <s v="Laboratory Technician"/>
    <s v="Very High"/>
    <s v="Single"/>
    <n v="2496"/>
    <s v="Low (&lt;5k)"/>
    <n v="6670"/>
    <n v="4"/>
    <x v="0"/>
    <n v="11"/>
    <n v="3"/>
    <n v="4"/>
    <n v="0"/>
    <n v="7"/>
    <n v="3"/>
    <s v="Better"/>
    <n v="1"/>
    <x v="0"/>
    <n v="1"/>
    <n v="0"/>
    <n v="0"/>
  </r>
  <r>
    <n v="33"/>
    <s v="Middle Aged"/>
    <n v="0"/>
    <s v="Travel_Frequently"/>
    <n v="1141"/>
    <x v="1"/>
    <n v="1"/>
    <s v="Near Office"/>
    <s v="Bachelor"/>
    <s v="Life Sciences"/>
    <n v="3"/>
    <s v="Female"/>
    <n v="42"/>
    <n v="4"/>
    <n v="2"/>
    <s v="Sales Executive"/>
    <s v="Low"/>
    <s v="Married"/>
    <n v="5376"/>
    <s v="Medium (5k-10k)"/>
    <n v="3193"/>
    <n v="2"/>
    <x v="0"/>
    <n v="19"/>
    <n v="3"/>
    <n v="1"/>
    <n v="2"/>
    <n v="10"/>
    <n v="3"/>
    <s v="Better"/>
    <n v="5"/>
    <x v="1"/>
    <n v="3"/>
    <n v="1"/>
    <n v="3"/>
  </r>
  <r>
    <n v="33"/>
    <s v="Middle Aged"/>
    <n v="0"/>
    <s v="Travel_Frequently"/>
    <n v="515"/>
    <x v="0"/>
    <n v="1"/>
    <s v="Near Office"/>
    <s v="College"/>
    <s v="Life Sciences"/>
    <n v="1"/>
    <s v="Female"/>
    <n v="98"/>
    <n v="3"/>
    <n v="3"/>
    <s v="Research Director"/>
    <s v="Very High"/>
    <s v="Single"/>
    <n v="13458"/>
    <s v="High (&gt;10k)"/>
    <n v="15146"/>
    <n v="1"/>
    <x v="1"/>
    <n v="12"/>
    <n v="3"/>
    <n v="3"/>
    <n v="0"/>
    <n v="15"/>
    <n v="1"/>
    <s v="Better"/>
    <n v="15"/>
    <x v="2"/>
    <n v="14"/>
    <n v="8"/>
    <n v="12"/>
  </r>
  <r>
    <n v="33"/>
    <s v="Middle Aged"/>
    <n v="0"/>
    <s v="Non-Travel"/>
    <n v="750"/>
    <x v="1"/>
    <n v="22"/>
    <s v="Long Commute"/>
    <s v="College"/>
    <s v="Marketing"/>
    <n v="3"/>
    <s v="Male"/>
    <n v="95"/>
    <n v="3"/>
    <n v="2"/>
    <s v="Sales Executive"/>
    <s v="Medium"/>
    <s v="Married"/>
    <n v="6146"/>
    <s v="Medium (5k-10k)"/>
    <n v="15480"/>
    <n v="0"/>
    <x v="0"/>
    <n v="13"/>
    <n v="3"/>
    <n v="1"/>
    <n v="1"/>
    <n v="8"/>
    <n v="2"/>
    <s v="Best"/>
    <n v="7"/>
    <x v="1"/>
    <n v="7"/>
    <n v="0"/>
    <n v="7"/>
  </r>
  <r>
    <n v="33"/>
    <s v="Middle Aged"/>
    <n v="0"/>
    <s v="Travel_Rarely"/>
    <n v="134"/>
    <x v="0"/>
    <n v="2"/>
    <s v="Near Office"/>
    <s v="Bachelor"/>
    <s v="Life Sciences"/>
    <n v="3"/>
    <s v="Male"/>
    <n v="90"/>
    <n v="3"/>
    <n v="1"/>
    <s v="Research Scientist"/>
    <s v="Very High"/>
    <s v="Single"/>
    <n v="2500"/>
    <s v="Low (&lt;5k)"/>
    <n v="10515"/>
    <n v="0"/>
    <x v="0"/>
    <n v="14"/>
    <n v="3"/>
    <n v="1"/>
    <n v="0"/>
    <n v="4"/>
    <n v="2"/>
    <s v="Best"/>
    <n v="3"/>
    <x v="1"/>
    <n v="1"/>
    <n v="0"/>
    <n v="2"/>
  </r>
  <r>
    <n v="33"/>
    <s v="Middle Aged"/>
    <n v="0"/>
    <s v="Travel_Rarely"/>
    <n v="931"/>
    <x v="0"/>
    <n v="14"/>
    <s v="Moderate"/>
    <s v="Bachelor"/>
    <s v="Medical"/>
    <n v="4"/>
    <s v="Female"/>
    <n v="72"/>
    <n v="3"/>
    <n v="1"/>
    <s v="Research Scientist"/>
    <s v="Medium"/>
    <s v="Married"/>
    <n v="2756"/>
    <s v="Low (&lt;5k)"/>
    <n v="4673"/>
    <n v="1"/>
    <x v="0"/>
    <n v="13"/>
    <n v="3"/>
    <n v="4"/>
    <n v="1"/>
    <n v="8"/>
    <n v="5"/>
    <s v="Better"/>
    <n v="8"/>
    <x v="1"/>
    <n v="7"/>
    <n v="1"/>
    <n v="6"/>
  </r>
  <r>
    <n v="33"/>
    <s v="Middle Aged"/>
    <n v="0"/>
    <s v="Travel_Rarely"/>
    <n v="147"/>
    <x v="0"/>
    <n v="4"/>
    <s v="Near Office"/>
    <s v="Master"/>
    <s v="Medical"/>
    <n v="3"/>
    <s v="Female"/>
    <n v="47"/>
    <n v="2"/>
    <n v="1"/>
    <s v="Research Scientist"/>
    <s v="Medium"/>
    <s v="Married"/>
    <n v="2622"/>
    <s v="Low (&lt;5k)"/>
    <n v="13248"/>
    <n v="6"/>
    <x v="0"/>
    <n v="21"/>
    <n v="4"/>
    <n v="4"/>
    <n v="0"/>
    <n v="7"/>
    <n v="3"/>
    <s v="Better"/>
    <n v="3"/>
    <x v="1"/>
    <n v="2"/>
    <n v="1"/>
    <n v="1"/>
  </r>
  <r>
    <n v="33"/>
    <s v="Middle Aged"/>
    <n v="1"/>
    <s v="Travel_Rarely"/>
    <n v="813"/>
    <x v="0"/>
    <n v="14"/>
    <s v="Moderate"/>
    <s v="Bachelor"/>
    <s v="Medical"/>
    <n v="3"/>
    <s v="Male"/>
    <n v="58"/>
    <n v="3"/>
    <n v="1"/>
    <s v="Laboratory Technician"/>
    <s v="Very High"/>
    <s v="Married"/>
    <n v="2436"/>
    <s v="Low (&lt;5k)"/>
    <n v="22149"/>
    <n v="5"/>
    <x v="1"/>
    <n v="13"/>
    <n v="3"/>
    <n v="3"/>
    <n v="1"/>
    <n v="8"/>
    <n v="2"/>
    <s v="Bad"/>
    <n v="5"/>
    <x v="1"/>
    <n v="4"/>
    <n v="0"/>
    <n v="4"/>
  </r>
  <r>
    <n v="33"/>
    <s v="Middle Aged"/>
    <n v="1"/>
    <s v="Travel_Rarely"/>
    <n v="465"/>
    <x v="0"/>
    <n v="2"/>
    <s v="Near Office"/>
    <s v="College"/>
    <s v="Life Sciences"/>
    <n v="1"/>
    <s v="Female"/>
    <n v="39"/>
    <n v="3"/>
    <n v="1"/>
    <s v="Laboratory Technician"/>
    <s v="Low"/>
    <s v="Married"/>
    <n v="2707"/>
    <s v="Low (&lt;5k)"/>
    <n v="21509"/>
    <n v="7"/>
    <x v="0"/>
    <n v="20"/>
    <n v="4"/>
    <n v="1"/>
    <n v="0"/>
    <n v="13"/>
    <n v="3"/>
    <s v="Best"/>
    <n v="9"/>
    <x v="1"/>
    <n v="7"/>
    <n v="1"/>
    <n v="7"/>
  </r>
  <r>
    <n v="33"/>
    <s v="Middle Aged"/>
    <n v="0"/>
    <s v="Travel_Rarely"/>
    <n v="832"/>
    <x v="0"/>
    <n v="5"/>
    <s v="Near Office"/>
    <s v="Master"/>
    <s v="Life Sciences"/>
    <n v="3"/>
    <s v="Female"/>
    <n v="63"/>
    <n v="2"/>
    <n v="1"/>
    <s v="Research Scientist"/>
    <s v="Very High"/>
    <s v="Married"/>
    <n v="2911"/>
    <s v="Low (&lt;5k)"/>
    <n v="14776"/>
    <n v="1"/>
    <x v="0"/>
    <n v="13"/>
    <n v="3"/>
    <n v="3"/>
    <n v="1"/>
    <n v="2"/>
    <n v="2"/>
    <s v="Good"/>
    <n v="2"/>
    <x v="0"/>
    <n v="2"/>
    <n v="0"/>
    <n v="2"/>
  </r>
  <r>
    <n v="33"/>
    <s v="Middle Aged"/>
    <n v="0"/>
    <s v="Travel_Frequently"/>
    <n v="553"/>
    <x v="0"/>
    <n v="5"/>
    <s v="Near Office"/>
    <s v="Master"/>
    <s v="Life Sciences"/>
    <n v="4"/>
    <s v="Female"/>
    <n v="74"/>
    <n v="3"/>
    <n v="3"/>
    <s v="Manager"/>
    <s v="Medium"/>
    <s v="Married"/>
    <n v="11878"/>
    <s v="High (&gt;10k)"/>
    <n v="23364"/>
    <n v="6"/>
    <x v="0"/>
    <n v="11"/>
    <n v="3"/>
    <n v="2"/>
    <n v="2"/>
    <n v="12"/>
    <n v="2"/>
    <s v="Better"/>
    <n v="10"/>
    <x v="2"/>
    <n v="6"/>
    <n v="8"/>
    <n v="8"/>
  </r>
  <r>
    <n v="33"/>
    <s v="Middle Aged"/>
    <n v="0"/>
    <s v="Travel_Frequently"/>
    <n v="508"/>
    <x v="1"/>
    <n v="10"/>
    <s v="Moderate"/>
    <s v="Bachelor"/>
    <s v="Marketing"/>
    <n v="2"/>
    <s v="Male"/>
    <n v="46"/>
    <n v="2"/>
    <n v="2"/>
    <s v="Sales Executive"/>
    <s v="Very High"/>
    <s v="Single"/>
    <n v="4682"/>
    <s v="Low (&lt;5k)"/>
    <n v="4317"/>
    <n v="3"/>
    <x v="0"/>
    <n v="14"/>
    <n v="3"/>
    <n v="3"/>
    <n v="0"/>
    <n v="9"/>
    <n v="6"/>
    <s v="Good"/>
    <n v="7"/>
    <x v="1"/>
    <n v="7"/>
    <n v="0"/>
    <n v="1"/>
  </r>
  <r>
    <n v="33"/>
    <s v="Middle Aged"/>
    <n v="1"/>
    <s v="Travel_Rarely"/>
    <n v="350"/>
    <x v="1"/>
    <n v="5"/>
    <s v="Near Office"/>
    <s v="Bachelor"/>
    <s v="Marketing"/>
    <n v="4"/>
    <s v="Female"/>
    <n v="34"/>
    <n v="3"/>
    <n v="1"/>
    <s v="Sales Representative"/>
    <s v="High"/>
    <s v="Single"/>
    <n v="2851"/>
    <s v="Low (&lt;5k)"/>
    <n v="9150"/>
    <n v="1"/>
    <x v="1"/>
    <n v="13"/>
    <n v="3"/>
    <n v="2"/>
    <n v="0"/>
    <n v="1"/>
    <n v="2"/>
    <s v="Better"/>
    <n v="1"/>
    <x v="0"/>
    <n v="0"/>
    <n v="0"/>
    <n v="0"/>
  </r>
  <r>
    <n v="33"/>
    <s v="Middle Aged"/>
    <n v="1"/>
    <s v="Travel_Rarely"/>
    <n v="1277"/>
    <x v="0"/>
    <n v="15"/>
    <s v="Moderate"/>
    <s v="Below College"/>
    <s v="Medical"/>
    <n v="2"/>
    <s v="Male"/>
    <n v="56"/>
    <n v="3"/>
    <n v="3"/>
    <s v="Manager"/>
    <s v="High"/>
    <s v="Married"/>
    <n v="13610"/>
    <s v="High (&gt;10k)"/>
    <n v="24619"/>
    <n v="7"/>
    <x v="1"/>
    <n v="12"/>
    <n v="3"/>
    <n v="4"/>
    <n v="0"/>
    <n v="15"/>
    <n v="2"/>
    <s v="Best"/>
    <n v="7"/>
    <x v="1"/>
    <n v="6"/>
    <n v="7"/>
    <n v="7"/>
  </r>
  <r>
    <n v="33"/>
    <s v="Middle Aged"/>
    <n v="1"/>
    <s v="Travel_Rarely"/>
    <n v="587"/>
    <x v="0"/>
    <n v="10"/>
    <s v="Moderate"/>
    <s v="Below College"/>
    <s v="Medical"/>
    <n v="1"/>
    <s v="Male"/>
    <n v="38"/>
    <n v="1"/>
    <n v="1"/>
    <s v="Laboratory Technician"/>
    <s v="Very High"/>
    <s v="Divorced"/>
    <n v="3408"/>
    <s v="Low (&lt;5k)"/>
    <n v="6705"/>
    <n v="7"/>
    <x v="0"/>
    <n v="13"/>
    <n v="3"/>
    <n v="1"/>
    <n v="3"/>
    <n v="8"/>
    <n v="2"/>
    <s v="Better"/>
    <n v="4"/>
    <x v="1"/>
    <n v="3"/>
    <n v="1"/>
    <n v="3"/>
  </r>
  <r>
    <n v="33"/>
    <s v="Middle Aged"/>
    <n v="0"/>
    <s v="Travel_Rarely"/>
    <n v="922"/>
    <x v="0"/>
    <n v="1"/>
    <s v="Near Office"/>
    <s v="Doctor"/>
    <s v="Medical"/>
    <n v="1"/>
    <s v="Female"/>
    <n v="95"/>
    <n v="4"/>
    <n v="4"/>
    <s v="Research Director"/>
    <s v="High"/>
    <s v="Divorced"/>
    <n v="16184"/>
    <s v="High (&gt;10k)"/>
    <n v="22578"/>
    <n v="4"/>
    <x v="0"/>
    <n v="19"/>
    <n v="3"/>
    <n v="3"/>
    <n v="1"/>
    <n v="10"/>
    <n v="2"/>
    <s v="Better"/>
    <n v="6"/>
    <x v="1"/>
    <n v="1"/>
    <n v="0"/>
    <n v="5"/>
  </r>
  <r>
    <n v="33"/>
    <s v="Middle Aged"/>
    <n v="0"/>
    <s v="Travel_Rarely"/>
    <n v="1216"/>
    <x v="1"/>
    <n v="8"/>
    <s v="Moderate"/>
    <s v="Master"/>
    <s v="Marketing"/>
    <n v="3"/>
    <s v="Male"/>
    <n v="39"/>
    <n v="3"/>
    <n v="2"/>
    <s v="Sales Executive"/>
    <s v="High"/>
    <s v="Divorced"/>
    <n v="7104"/>
    <s v="Medium (5k-10k)"/>
    <n v="20431"/>
    <n v="0"/>
    <x v="0"/>
    <n v="12"/>
    <n v="3"/>
    <n v="4"/>
    <n v="0"/>
    <n v="6"/>
    <n v="3"/>
    <s v="Better"/>
    <n v="5"/>
    <x v="1"/>
    <n v="0"/>
    <n v="1"/>
    <n v="2"/>
  </r>
  <r>
    <n v="33"/>
    <s v="Middle Aged"/>
    <n v="0"/>
    <s v="Travel_Frequently"/>
    <n v="1296"/>
    <x v="0"/>
    <n v="6"/>
    <s v="Moderate"/>
    <s v="Bachelor"/>
    <s v="Life Sciences"/>
    <n v="3"/>
    <s v="Male"/>
    <n v="30"/>
    <n v="3"/>
    <n v="2"/>
    <s v="Healthcare Representative"/>
    <s v="Very High"/>
    <s v="Divorced"/>
    <n v="7725"/>
    <s v="Medium (5k-10k)"/>
    <n v="5335"/>
    <n v="3"/>
    <x v="0"/>
    <n v="23"/>
    <n v="4"/>
    <n v="3"/>
    <n v="1"/>
    <n v="15"/>
    <n v="2"/>
    <s v="Bad"/>
    <n v="13"/>
    <x v="2"/>
    <n v="11"/>
    <n v="4"/>
    <n v="7"/>
  </r>
  <r>
    <n v="33"/>
    <s v="Middle Aged"/>
    <n v="1"/>
    <s v="Travel_Frequently"/>
    <n v="1076"/>
    <x v="0"/>
    <n v="3"/>
    <s v="Near Office"/>
    <s v="Bachelor"/>
    <s v="Life Sciences"/>
    <n v="1"/>
    <s v="Male"/>
    <n v="70"/>
    <n v="3"/>
    <n v="1"/>
    <s v="Research Scientist"/>
    <s v="Low"/>
    <s v="Single"/>
    <n v="3348"/>
    <s v="Low (&lt;5k)"/>
    <n v="3164"/>
    <n v="1"/>
    <x v="1"/>
    <n v="11"/>
    <n v="3"/>
    <n v="1"/>
    <n v="0"/>
    <n v="10"/>
    <n v="3"/>
    <s v="Better"/>
    <n v="10"/>
    <x v="2"/>
    <n v="8"/>
    <n v="9"/>
    <n v="7"/>
  </r>
  <r>
    <n v="33"/>
    <s v="Middle Aged"/>
    <n v="1"/>
    <s v="Travel_Rarely"/>
    <n v="527"/>
    <x v="0"/>
    <n v="1"/>
    <s v="Near Office"/>
    <s v="Master"/>
    <s v="Other"/>
    <n v="4"/>
    <s v="Male"/>
    <n v="63"/>
    <n v="3"/>
    <n v="1"/>
    <s v="Research Scientist"/>
    <s v="Very High"/>
    <s v="Single"/>
    <n v="2686"/>
    <s v="Low (&lt;5k)"/>
    <n v="5207"/>
    <n v="1"/>
    <x v="1"/>
    <n v="13"/>
    <n v="3"/>
    <n v="3"/>
    <n v="0"/>
    <n v="10"/>
    <n v="2"/>
    <s v="Good"/>
    <n v="10"/>
    <x v="2"/>
    <n v="9"/>
    <n v="7"/>
    <n v="8"/>
  </r>
  <r>
    <n v="33"/>
    <s v="Middle Aged"/>
    <n v="0"/>
    <s v="Travel_Rarely"/>
    <n v="213"/>
    <x v="0"/>
    <n v="7"/>
    <s v="Moderate"/>
    <s v="Bachelor"/>
    <s v="Medical"/>
    <n v="3"/>
    <s v="Male"/>
    <n v="49"/>
    <n v="3"/>
    <n v="3"/>
    <s v="Research Director"/>
    <s v="High"/>
    <s v="Married"/>
    <n v="11691"/>
    <s v="High (&gt;10k)"/>
    <n v="25995"/>
    <n v="0"/>
    <x v="0"/>
    <n v="11"/>
    <n v="3"/>
    <n v="4"/>
    <n v="0"/>
    <n v="14"/>
    <n v="3"/>
    <s v="Best"/>
    <n v="13"/>
    <x v="2"/>
    <n v="9"/>
    <n v="3"/>
    <n v="7"/>
  </r>
  <r>
    <n v="33"/>
    <s v="Middle Aged"/>
    <n v="1"/>
    <s v="Travel_Rarely"/>
    <n v="118"/>
    <x v="1"/>
    <n v="16"/>
    <s v="Long Commute"/>
    <s v="Bachelor"/>
    <s v="Marketing"/>
    <n v="1"/>
    <s v="Female"/>
    <n v="69"/>
    <n v="3"/>
    <n v="2"/>
    <s v="Sales Executive"/>
    <s v="Low"/>
    <s v="Single"/>
    <n v="5324"/>
    <s v="Medium (5k-10k)"/>
    <n v="26507"/>
    <n v="5"/>
    <x v="0"/>
    <n v="15"/>
    <n v="3"/>
    <n v="3"/>
    <n v="0"/>
    <n v="6"/>
    <n v="3"/>
    <s v="Better"/>
    <n v="3"/>
    <x v="1"/>
    <n v="2"/>
    <n v="0"/>
    <n v="2"/>
  </r>
  <r>
    <n v="33"/>
    <s v="Middle Aged"/>
    <n v="0"/>
    <s v="Travel_Rarely"/>
    <n v="586"/>
    <x v="1"/>
    <n v="1"/>
    <s v="Near Office"/>
    <s v="Bachelor"/>
    <s v="Medical"/>
    <n v="1"/>
    <s v="Male"/>
    <n v="48"/>
    <n v="4"/>
    <n v="2"/>
    <s v="Sales Executive"/>
    <s v="Low"/>
    <s v="Divorced"/>
    <n v="4037"/>
    <s v="Low (&lt;5k)"/>
    <n v="21816"/>
    <n v="1"/>
    <x v="0"/>
    <n v="22"/>
    <n v="4"/>
    <n v="1"/>
    <n v="1"/>
    <n v="9"/>
    <n v="5"/>
    <s v="Better"/>
    <n v="9"/>
    <x v="1"/>
    <n v="8"/>
    <n v="0"/>
    <n v="8"/>
  </r>
  <r>
    <n v="33"/>
    <s v="Middle Aged"/>
    <n v="0"/>
    <s v="Travel_Rarely"/>
    <n v="1075"/>
    <x v="2"/>
    <n v="3"/>
    <s v="Near Office"/>
    <s v="College"/>
    <s v="Human Resources"/>
    <n v="4"/>
    <s v="Male"/>
    <n v="57"/>
    <n v="3"/>
    <n v="1"/>
    <s v="Human Resources"/>
    <s v="Medium"/>
    <s v="Divorced"/>
    <n v="2277"/>
    <s v="Low (&lt;5k)"/>
    <n v="22650"/>
    <n v="3"/>
    <x v="1"/>
    <n v="11"/>
    <n v="3"/>
    <n v="3"/>
    <n v="1"/>
    <n v="7"/>
    <n v="4"/>
    <s v="Best"/>
    <n v="4"/>
    <x v="1"/>
    <n v="3"/>
    <n v="0"/>
    <n v="3"/>
  </r>
  <r>
    <n v="33"/>
    <s v="Middle Aged"/>
    <n v="0"/>
    <s v="Travel_Rarely"/>
    <n v="1198"/>
    <x v="0"/>
    <n v="1"/>
    <s v="Near Office"/>
    <s v="Master"/>
    <s v="Other"/>
    <n v="3"/>
    <s v="Male"/>
    <n v="100"/>
    <n v="2"/>
    <n v="1"/>
    <s v="Research Scientist"/>
    <s v="Low"/>
    <s v="Single"/>
    <n v="2799"/>
    <s v="Low (&lt;5k)"/>
    <n v="3339"/>
    <n v="3"/>
    <x v="1"/>
    <n v="11"/>
    <n v="3"/>
    <n v="2"/>
    <n v="0"/>
    <n v="6"/>
    <n v="1"/>
    <s v="Better"/>
    <n v="3"/>
    <x v="1"/>
    <n v="2"/>
    <n v="0"/>
    <n v="2"/>
  </r>
  <r>
    <n v="33"/>
    <s v="Middle Aged"/>
    <n v="0"/>
    <s v="Travel_Rarely"/>
    <n v="1069"/>
    <x v="0"/>
    <n v="1"/>
    <s v="Near Office"/>
    <s v="Bachelor"/>
    <s v="Life Sciences"/>
    <n v="2"/>
    <s v="Female"/>
    <n v="42"/>
    <n v="2"/>
    <n v="2"/>
    <s v="Healthcare Representative"/>
    <s v="Very High"/>
    <s v="Single"/>
    <n v="6949"/>
    <s v="Medium (5k-10k)"/>
    <n v="12291"/>
    <n v="0"/>
    <x v="0"/>
    <n v="14"/>
    <n v="3"/>
    <n v="1"/>
    <n v="0"/>
    <n v="6"/>
    <n v="3"/>
    <s v="Better"/>
    <n v="5"/>
    <x v="1"/>
    <n v="0"/>
    <n v="1"/>
    <n v="4"/>
  </r>
  <r>
    <n v="33"/>
    <s v="Middle Aged"/>
    <n v="0"/>
    <s v="Non-Travel"/>
    <n v="722"/>
    <x v="1"/>
    <n v="17"/>
    <s v="Long Commute"/>
    <s v="Bachelor"/>
    <s v="Life Sciences"/>
    <n v="4"/>
    <s v="Male"/>
    <n v="38"/>
    <n v="3"/>
    <n v="4"/>
    <s v="Manager"/>
    <s v="High"/>
    <s v="Single"/>
    <n v="17444"/>
    <s v="High (&gt;10k)"/>
    <n v="20489"/>
    <n v="1"/>
    <x v="0"/>
    <n v="11"/>
    <n v="3"/>
    <n v="4"/>
    <n v="0"/>
    <n v="10"/>
    <n v="2"/>
    <s v="Better"/>
    <n v="10"/>
    <x v="2"/>
    <n v="8"/>
    <n v="6"/>
    <n v="0"/>
  </r>
  <r>
    <n v="33"/>
    <s v="Middle Aged"/>
    <n v="0"/>
    <s v="Travel_Rarely"/>
    <n v="461"/>
    <x v="0"/>
    <n v="13"/>
    <s v="Moderate"/>
    <s v="Below College"/>
    <s v="Life Sciences"/>
    <n v="2"/>
    <s v="Female"/>
    <n v="53"/>
    <n v="3"/>
    <n v="1"/>
    <s v="Research Scientist"/>
    <s v="Very High"/>
    <s v="Single"/>
    <n v="3452"/>
    <s v="Low (&lt;5k)"/>
    <n v="17241"/>
    <n v="3"/>
    <x v="0"/>
    <n v="18"/>
    <n v="3"/>
    <n v="1"/>
    <n v="0"/>
    <n v="5"/>
    <n v="4"/>
    <s v="Better"/>
    <n v="3"/>
    <x v="1"/>
    <n v="2"/>
    <n v="0"/>
    <n v="2"/>
  </r>
  <r>
    <n v="33"/>
    <s v="Middle Aged"/>
    <n v="0"/>
    <s v="Travel_Frequently"/>
    <n v="827"/>
    <x v="0"/>
    <n v="1"/>
    <s v="Near Office"/>
    <s v="Master"/>
    <s v="Other"/>
    <n v="3"/>
    <s v="Female"/>
    <n v="84"/>
    <n v="4"/>
    <n v="2"/>
    <s v="Healthcare Representative"/>
    <s v="Medium"/>
    <s v="Married"/>
    <n v="5488"/>
    <s v="Medium (5k-10k)"/>
    <n v="20161"/>
    <n v="1"/>
    <x v="1"/>
    <n v="13"/>
    <n v="3"/>
    <n v="1"/>
    <n v="1"/>
    <n v="6"/>
    <n v="2"/>
    <s v="Better"/>
    <n v="6"/>
    <x v="1"/>
    <n v="5"/>
    <n v="1"/>
    <n v="2"/>
  </r>
  <r>
    <n v="33"/>
    <s v="Middle Aged"/>
    <n v="0"/>
    <s v="Non-Travel"/>
    <n v="1038"/>
    <x v="1"/>
    <n v="8"/>
    <s v="Moderate"/>
    <s v="Below College"/>
    <s v="Life Sciences"/>
    <n v="2"/>
    <s v="Female"/>
    <n v="88"/>
    <n v="2"/>
    <n v="1"/>
    <s v="Sales Representative"/>
    <s v="Very High"/>
    <s v="Single"/>
    <n v="2342"/>
    <s v="Low (&lt;5k)"/>
    <n v="21437"/>
    <n v="0"/>
    <x v="0"/>
    <n v="19"/>
    <n v="3"/>
    <n v="4"/>
    <n v="0"/>
    <n v="3"/>
    <n v="2"/>
    <s v="Good"/>
    <n v="2"/>
    <x v="0"/>
    <n v="2"/>
    <n v="2"/>
    <n v="2"/>
  </r>
  <r>
    <n v="33"/>
    <s v="Middle Aged"/>
    <n v="0"/>
    <s v="Travel_Rarely"/>
    <n v="654"/>
    <x v="0"/>
    <n v="5"/>
    <s v="Near Office"/>
    <s v="Bachelor"/>
    <s v="Life Sciences"/>
    <n v="4"/>
    <s v="Male"/>
    <n v="34"/>
    <n v="2"/>
    <n v="3"/>
    <s v="Healthcare Representative"/>
    <s v="Very High"/>
    <s v="Divorced"/>
    <n v="7119"/>
    <s v="Medium (5k-10k)"/>
    <n v="21214"/>
    <n v="4"/>
    <x v="0"/>
    <n v="15"/>
    <n v="3"/>
    <n v="3"/>
    <n v="1"/>
    <n v="9"/>
    <n v="2"/>
    <s v="Better"/>
    <n v="3"/>
    <x v="1"/>
    <n v="2"/>
    <n v="1"/>
    <n v="2"/>
  </r>
  <r>
    <n v="33"/>
    <s v="Middle Aged"/>
    <n v="1"/>
    <s v="Travel_Frequently"/>
    <n v="827"/>
    <x v="0"/>
    <n v="29"/>
    <s v="Long Commute"/>
    <s v="Master"/>
    <s v="Medical"/>
    <n v="1"/>
    <s v="Female"/>
    <n v="54"/>
    <n v="2"/>
    <n v="2"/>
    <s v="Research Scientist"/>
    <s v="High"/>
    <s v="Single"/>
    <n v="4508"/>
    <s v="Low (&lt;5k)"/>
    <n v="3129"/>
    <n v="1"/>
    <x v="0"/>
    <n v="22"/>
    <n v="4"/>
    <n v="2"/>
    <n v="0"/>
    <n v="14"/>
    <n v="4"/>
    <s v="Better"/>
    <n v="13"/>
    <x v="2"/>
    <n v="7"/>
    <n v="3"/>
    <n v="8"/>
  </r>
  <r>
    <n v="33"/>
    <s v="Middle Aged"/>
    <n v="1"/>
    <s v="Travel_Rarely"/>
    <n v="1017"/>
    <x v="0"/>
    <n v="25"/>
    <s v="Long Commute"/>
    <s v="Bachelor"/>
    <s v="Medical"/>
    <n v="1"/>
    <s v="Male"/>
    <n v="55"/>
    <n v="2"/>
    <n v="1"/>
    <s v="Research Scientist"/>
    <s v="Medium"/>
    <s v="Single"/>
    <n v="2313"/>
    <s v="Low (&lt;5k)"/>
    <n v="2993"/>
    <n v="4"/>
    <x v="1"/>
    <n v="20"/>
    <n v="4"/>
    <n v="2"/>
    <n v="0"/>
    <n v="5"/>
    <n v="0"/>
    <s v="Better"/>
    <n v="2"/>
    <x v="0"/>
    <n v="2"/>
    <n v="2"/>
    <n v="2"/>
  </r>
  <r>
    <n v="33"/>
    <s v="Middle Aged"/>
    <n v="0"/>
    <s v="Travel_Frequently"/>
    <n v="970"/>
    <x v="1"/>
    <n v="7"/>
    <s v="Moderate"/>
    <s v="Bachelor"/>
    <s v="Life Sciences"/>
    <n v="4"/>
    <s v="Female"/>
    <n v="30"/>
    <n v="3"/>
    <n v="2"/>
    <s v="Sales Executive"/>
    <s v="Medium"/>
    <s v="Married"/>
    <n v="4302"/>
    <s v="Low (&lt;5k)"/>
    <n v="13401"/>
    <n v="0"/>
    <x v="0"/>
    <n v="17"/>
    <n v="3"/>
    <n v="3"/>
    <n v="1"/>
    <n v="4"/>
    <n v="3"/>
    <s v="Better"/>
    <n v="3"/>
    <x v="1"/>
    <n v="2"/>
    <n v="0"/>
    <n v="2"/>
  </r>
  <r>
    <n v="33"/>
    <s v="Middle Aged"/>
    <n v="1"/>
    <s v="Travel_Rarely"/>
    <n v="603"/>
    <x v="1"/>
    <n v="9"/>
    <s v="Moderate"/>
    <s v="Master"/>
    <s v="Marketing"/>
    <n v="1"/>
    <s v="Female"/>
    <n v="77"/>
    <n v="3"/>
    <n v="2"/>
    <s v="Sales Executive"/>
    <s v="Low"/>
    <s v="Single"/>
    <n v="8224"/>
    <s v="Medium (5k-10k)"/>
    <n v="18385"/>
    <n v="0"/>
    <x v="1"/>
    <n v="17"/>
    <n v="3"/>
    <n v="1"/>
    <n v="0"/>
    <n v="6"/>
    <n v="3"/>
    <s v="Better"/>
    <n v="5"/>
    <x v="1"/>
    <n v="2"/>
    <n v="0"/>
    <n v="3"/>
  </r>
  <r>
    <n v="33"/>
    <s v="Middle Aged"/>
    <n v="0"/>
    <s v="Travel_Rarely"/>
    <n v="147"/>
    <x v="2"/>
    <n v="2"/>
    <s v="Near Office"/>
    <s v="Bachelor"/>
    <s v="Human Resources"/>
    <n v="2"/>
    <s v="Male"/>
    <n v="99"/>
    <n v="3"/>
    <n v="1"/>
    <s v="Human Resources"/>
    <s v="High"/>
    <s v="Married"/>
    <n v="3600"/>
    <s v="Low (&lt;5k)"/>
    <n v="8429"/>
    <n v="1"/>
    <x v="0"/>
    <n v="13"/>
    <n v="3"/>
    <n v="4"/>
    <n v="1"/>
    <n v="5"/>
    <n v="2"/>
    <s v="Better"/>
    <n v="5"/>
    <x v="1"/>
    <n v="4"/>
    <n v="1"/>
    <n v="4"/>
  </r>
  <r>
    <n v="33"/>
    <s v="Middle Aged"/>
    <n v="0"/>
    <s v="Travel_Frequently"/>
    <n v="1146"/>
    <x v="1"/>
    <n v="25"/>
    <s v="Long Commute"/>
    <s v="Bachelor"/>
    <s v="Medical"/>
    <n v="2"/>
    <s v="Female"/>
    <n v="82"/>
    <n v="3"/>
    <n v="2"/>
    <s v="Sales Executive"/>
    <s v="High"/>
    <s v="Married"/>
    <n v="4539"/>
    <s v="Low (&lt;5k)"/>
    <n v="4905"/>
    <n v="1"/>
    <x v="0"/>
    <n v="12"/>
    <n v="3"/>
    <n v="1"/>
    <n v="1"/>
    <n v="10"/>
    <n v="3"/>
    <s v="Good"/>
    <n v="10"/>
    <x v="2"/>
    <n v="7"/>
    <n v="0"/>
    <n v="1"/>
  </r>
  <r>
    <n v="33"/>
    <s v="Middle Aged"/>
    <n v="0"/>
    <s v="Travel_Rarely"/>
    <n v="117"/>
    <x v="0"/>
    <n v="9"/>
    <s v="Moderate"/>
    <s v="Bachelor"/>
    <s v="Medical"/>
    <n v="1"/>
    <s v="Male"/>
    <n v="60"/>
    <n v="3"/>
    <n v="1"/>
    <s v="Research Scientist"/>
    <s v="Very High"/>
    <s v="Married"/>
    <n v="2781"/>
    <s v="Low (&lt;5k)"/>
    <n v="6311"/>
    <n v="0"/>
    <x v="0"/>
    <n v="13"/>
    <n v="3"/>
    <n v="2"/>
    <n v="1"/>
    <n v="15"/>
    <n v="5"/>
    <s v="Better"/>
    <n v="14"/>
    <x v="2"/>
    <n v="10"/>
    <n v="4"/>
    <n v="10"/>
  </r>
  <r>
    <n v="33"/>
    <s v="Middle Aged"/>
    <n v="0"/>
    <s v="Travel_Rarely"/>
    <n v="536"/>
    <x v="1"/>
    <n v="10"/>
    <s v="Moderate"/>
    <s v="Doctor"/>
    <s v="Marketing"/>
    <n v="4"/>
    <s v="Male"/>
    <n v="82"/>
    <n v="4"/>
    <n v="3"/>
    <s v="Sales Executive"/>
    <s v="High"/>
    <s v="Divorced"/>
    <n v="8380"/>
    <s v="Medium (5k-10k)"/>
    <n v="21708"/>
    <n v="0"/>
    <x v="1"/>
    <n v="14"/>
    <n v="3"/>
    <n v="4"/>
    <n v="2"/>
    <n v="10"/>
    <n v="3"/>
    <s v="Better"/>
    <n v="9"/>
    <x v="1"/>
    <n v="8"/>
    <n v="0"/>
    <n v="8"/>
  </r>
  <r>
    <n v="33"/>
    <s v="Middle Aged"/>
    <n v="0"/>
    <s v="Travel_Frequently"/>
    <n v="1111"/>
    <x v="1"/>
    <n v="5"/>
    <s v="Near Office"/>
    <s v="Below College"/>
    <s v="Life Sciences"/>
    <n v="2"/>
    <s v="Male"/>
    <n v="61"/>
    <n v="3"/>
    <n v="2"/>
    <s v="Sales Executive"/>
    <s v="Very High"/>
    <s v="Married"/>
    <n v="9998"/>
    <s v="Medium (5k-10k)"/>
    <n v="19293"/>
    <n v="6"/>
    <x v="0"/>
    <n v="13"/>
    <n v="3"/>
    <n v="1"/>
    <n v="0"/>
    <n v="8"/>
    <n v="2"/>
    <s v="Best"/>
    <n v="5"/>
    <x v="1"/>
    <n v="4"/>
    <n v="1"/>
    <n v="2"/>
  </r>
  <r>
    <n v="33"/>
    <s v="Middle Aged"/>
    <n v="0"/>
    <s v="Travel_Frequently"/>
    <n v="430"/>
    <x v="1"/>
    <n v="7"/>
    <s v="Moderate"/>
    <s v="Bachelor"/>
    <s v="Medical"/>
    <n v="4"/>
    <s v="Male"/>
    <n v="54"/>
    <n v="3"/>
    <n v="2"/>
    <s v="Sales Executive"/>
    <s v="Low"/>
    <s v="Married"/>
    <n v="4373"/>
    <s v="Low (&lt;5k)"/>
    <n v="17456"/>
    <n v="0"/>
    <x v="0"/>
    <n v="14"/>
    <n v="3"/>
    <n v="1"/>
    <n v="2"/>
    <n v="5"/>
    <n v="2"/>
    <s v="Better"/>
    <n v="4"/>
    <x v="1"/>
    <n v="3"/>
    <n v="0"/>
    <n v="3"/>
  </r>
  <r>
    <n v="33"/>
    <s v="Middle Aged"/>
    <n v="0"/>
    <s v="Travel_Rarely"/>
    <n v="1099"/>
    <x v="0"/>
    <n v="4"/>
    <s v="Near Office"/>
    <s v="Master"/>
    <s v="Medical"/>
    <n v="1"/>
    <s v="Female"/>
    <n v="82"/>
    <n v="2"/>
    <n v="1"/>
    <s v="Laboratory Technician"/>
    <s v="Medium"/>
    <s v="Married"/>
    <n v="3838"/>
    <s v="Low (&lt;5k)"/>
    <n v="8192"/>
    <n v="8"/>
    <x v="0"/>
    <n v="11"/>
    <n v="3"/>
    <n v="4"/>
    <n v="0"/>
    <n v="8"/>
    <n v="5"/>
    <s v="Better"/>
    <n v="5"/>
    <x v="1"/>
    <n v="4"/>
    <n v="0"/>
    <n v="2"/>
  </r>
  <r>
    <n v="33"/>
    <s v="Middle Aged"/>
    <n v="0"/>
    <s v="Travel_Rarely"/>
    <n v="516"/>
    <x v="0"/>
    <n v="8"/>
    <s v="Moderate"/>
    <s v="Doctor"/>
    <s v="Life Sciences"/>
    <n v="4"/>
    <s v="Male"/>
    <n v="69"/>
    <n v="3"/>
    <n v="2"/>
    <s v="Healthcare Representative"/>
    <s v="High"/>
    <s v="Single"/>
    <n v="6388"/>
    <s v="Medium (5k-10k)"/>
    <n v="22049"/>
    <n v="2"/>
    <x v="1"/>
    <n v="17"/>
    <n v="3"/>
    <n v="1"/>
    <n v="0"/>
    <n v="14"/>
    <n v="6"/>
    <s v="Better"/>
    <n v="0"/>
    <x v="0"/>
    <n v="0"/>
    <n v="0"/>
    <n v="0"/>
  </r>
  <r>
    <n v="33"/>
    <s v="Middle Aged"/>
    <n v="0"/>
    <s v="Travel_Rarely"/>
    <n v="575"/>
    <x v="0"/>
    <n v="25"/>
    <s v="Long Commute"/>
    <s v="Bachelor"/>
    <s v="Life Sciences"/>
    <n v="4"/>
    <s v="Male"/>
    <n v="44"/>
    <n v="2"/>
    <n v="2"/>
    <s v="Manufacturing Director"/>
    <s v="Medium"/>
    <s v="Single"/>
    <n v="4320"/>
    <s v="Low (&lt;5k)"/>
    <n v="24152"/>
    <n v="1"/>
    <x v="0"/>
    <n v="13"/>
    <n v="3"/>
    <n v="4"/>
    <n v="0"/>
    <n v="5"/>
    <n v="2"/>
    <s v="Better"/>
    <n v="5"/>
    <x v="1"/>
    <n v="3"/>
    <n v="0"/>
    <n v="2"/>
  </r>
  <r>
    <n v="33"/>
    <s v="Middle Aged"/>
    <n v="0"/>
    <s v="Travel_Rarely"/>
    <n v="589"/>
    <x v="0"/>
    <n v="28"/>
    <s v="Long Commute"/>
    <s v="Master"/>
    <s v="Life Sciences"/>
    <n v="2"/>
    <s v="Male"/>
    <n v="79"/>
    <n v="3"/>
    <n v="2"/>
    <s v="Laboratory Technician"/>
    <s v="High"/>
    <s v="Married"/>
    <n v="5207"/>
    <s v="Medium (5k-10k)"/>
    <n v="22949"/>
    <n v="1"/>
    <x v="1"/>
    <n v="12"/>
    <n v="3"/>
    <n v="2"/>
    <n v="1"/>
    <n v="15"/>
    <n v="3"/>
    <s v="Better"/>
    <n v="15"/>
    <x v="2"/>
    <n v="14"/>
    <n v="5"/>
    <n v="7"/>
  </r>
  <r>
    <n v="33"/>
    <s v="Middle Aged"/>
    <n v="0"/>
    <s v="Travel_Rarely"/>
    <n v="1242"/>
    <x v="1"/>
    <n v="8"/>
    <s v="Moderate"/>
    <s v="Master"/>
    <s v="Life Sciences"/>
    <n v="1"/>
    <s v="Male"/>
    <n v="46"/>
    <n v="3"/>
    <n v="2"/>
    <s v="Sales Executive"/>
    <s v="Low"/>
    <s v="Married"/>
    <n v="6392"/>
    <s v="Medium (5k-10k)"/>
    <n v="10589"/>
    <n v="2"/>
    <x v="0"/>
    <n v="13"/>
    <n v="3"/>
    <n v="4"/>
    <n v="1"/>
    <n v="8"/>
    <n v="6"/>
    <s v="Bad"/>
    <n v="2"/>
    <x v="0"/>
    <n v="2"/>
    <n v="2"/>
    <n v="2"/>
  </r>
  <r>
    <n v="33"/>
    <s v="Middle Aged"/>
    <n v="0"/>
    <s v="Travel_Rarely"/>
    <n v="392"/>
    <x v="1"/>
    <n v="2"/>
    <s v="Near Office"/>
    <s v="Master"/>
    <s v="Medical"/>
    <n v="4"/>
    <s v="Male"/>
    <n v="93"/>
    <n v="3"/>
    <n v="2"/>
    <s v="Sales Executive"/>
    <s v="Very High"/>
    <s v="Divorced"/>
    <n v="5505"/>
    <s v="Medium (5k-10k)"/>
    <n v="3921"/>
    <n v="1"/>
    <x v="0"/>
    <n v="14"/>
    <n v="3"/>
    <n v="3"/>
    <n v="2"/>
    <n v="6"/>
    <n v="5"/>
    <s v="Better"/>
    <n v="6"/>
    <x v="1"/>
    <n v="2"/>
    <n v="0"/>
    <n v="4"/>
  </r>
  <r>
    <n v="33"/>
    <s v="Middle Aged"/>
    <n v="0"/>
    <s v="Non-Travel"/>
    <n v="530"/>
    <x v="1"/>
    <n v="16"/>
    <s v="Long Commute"/>
    <s v="Bachelor"/>
    <s v="Life Sciences"/>
    <n v="3"/>
    <s v="Female"/>
    <n v="36"/>
    <n v="3"/>
    <n v="2"/>
    <s v="Sales Executive"/>
    <s v="Very High"/>
    <s v="Divorced"/>
    <n v="5368"/>
    <s v="Medium (5k-10k)"/>
    <n v="16130"/>
    <n v="1"/>
    <x v="1"/>
    <n v="25"/>
    <n v="4"/>
    <n v="3"/>
    <n v="1"/>
    <n v="7"/>
    <n v="2"/>
    <s v="Better"/>
    <n v="6"/>
    <x v="1"/>
    <n v="5"/>
    <n v="1"/>
    <n v="2"/>
  </r>
  <r>
    <n v="33"/>
    <s v="Middle Aged"/>
    <n v="0"/>
    <s v="Travel_Rarely"/>
    <n v="267"/>
    <x v="0"/>
    <n v="21"/>
    <s v="Long Commute"/>
    <s v="Bachelor"/>
    <s v="Medical"/>
    <n v="2"/>
    <s v="Male"/>
    <n v="79"/>
    <n v="4"/>
    <n v="1"/>
    <s v="Laboratory Technician"/>
    <s v="Medium"/>
    <s v="Married"/>
    <n v="2028"/>
    <s v="Low (&lt;5k)"/>
    <n v="13637"/>
    <n v="1"/>
    <x v="0"/>
    <n v="18"/>
    <n v="3"/>
    <n v="4"/>
    <n v="3"/>
    <n v="14"/>
    <n v="6"/>
    <s v="Better"/>
    <n v="14"/>
    <x v="2"/>
    <n v="11"/>
    <n v="2"/>
    <n v="13"/>
  </r>
  <r>
    <n v="33"/>
    <s v="Middle Aged"/>
    <n v="0"/>
    <s v="Non-Travel"/>
    <n v="1283"/>
    <x v="1"/>
    <n v="2"/>
    <s v="Near Office"/>
    <s v="Bachelor"/>
    <s v="Marketing"/>
    <n v="4"/>
    <s v="Female"/>
    <n v="62"/>
    <n v="3"/>
    <n v="2"/>
    <s v="Sales Executive"/>
    <s v="Medium"/>
    <s v="Single"/>
    <n v="5147"/>
    <s v="Medium (5k-10k)"/>
    <n v="10697"/>
    <n v="8"/>
    <x v="0"/>
    <n v="15"/>
    <n v="3"/>
    <n v="4"/>
    <n v="0"/>
    <n v="13"/>
    <n v="2"/>
    <s v="Good"/>
    <n v="11"/>
    <x v="2"/>
    <n v="7"/>
    <n v="1"/>
    <n v="7"/>
  </r>
  <r>
    <n v="33"/>
    <s v="Middle Aged"/>
    <n v="1"/>
    <s v="Travel_Rarely"/>
    <n v="211"/>
    <x v="1"/>
    <n v="16"/>
    <s v="Long Commute"/>
    <s v="Bachelor"/>
    <s v="Life Sciences"/>
    <n v="1"/>
    <s v="Female"/>
    <n v="74"/>
    <n v="3"/>
    <n v="3"/>
    <s v="Sales Executive"/>
    <s v="Low"/>
    <s v="Single"/>
    <n v="8564"/>
    <s v="Medium (5k-10k)"/>
    <n v="10092"/>
    <n v="2"/>
    <x v="1"/>
    <n v="20"/>
    <n v="4"/>
    <n v="3"/>
    <n v="0"/>
    <n v="11"/>
    <n v="2"/>
    <s v="Good"/>
    <n v="0"/>
    <x v="0"/>
    <n v="0"/>
    <n v="0"/>
    <n v="0"/>
  </r>
  <r>
    <n v="33"/>
    <s v="Middle Aged"/>
    <n v="0"/>
    <s v="Non-Travel"/>
    <n v="775"/>
    <x v="0"/>
    <n v="4"/>
    <s v="Near Office"/>
    <s v="Bachelor"/>
    <s v="Technical Degree"/>
    <n v="4"/>
    <s v="Male"/>
    <n v="90"/>
    <n v="3"/>
    <n v="2"/>
    <s v="Research Scientist"/>
    <s v="Medium"/>
    <s v="Divorced"/>
    <n v="3055"/>
    <s v="Low (&lt;5k)"/>
    <n v="6194"/>
    <n v="5"/>
    <x v="0"/>
    <n v="15"/>
    <n v="3"/>
    <n v="4"/>
    <n v="2"/>
    <n v="11"/>
    <n v="2"/>
    <s v="Good"/>
    <n v="9"/>
    <x v="1"/>
    <n v="8"/>
    <n v="1"/>
    <n v="7"/>
  </r>
  <r>
    <n v="33"/>
    <s v="Middle Aged"/>
    <n v="0"/>
    <s v="Travel_Rarely"/>
    <n v="867"/>
    <x v="0"/>
    <n v="8"/>
    <s v="Moderate"/>
    <s v="Master"/>
    <s v="Life Sciences"/>
    <n v="4"/>
    <s v="Male"/>
    <n v="90"/>
    <n v="4"/>
    <n v="1"/>
    <s v="Research Scientist"/>
    <s v="Low"/>
    <s v="Married"/>
    <n v="3143"/>
    <s v="Low (&lt;5k)"/>
    <n v="6076"/>
    <n v="6"/>
    <x v="0"/>
    <n v="19"/>
    <n v="3"/>
    <n v="2"/>
    <n v="1"/>
    <n v="14"/>
    <n v="1"/>
    <s v="Better"/>
    <n v="10"/>
    <x v="2"/>
    <n v="8"/>
    <n v="7"/>
    <n v="6"/>
  </r>
  <r>
    <n v="33"/>
    <s v="Middle Aged"/>
    <n v="0"/>
    <s v="Travel_Rarely"/>
    <n v="217"/>
    <x v="1"/>
    <n v="10"/>
    <s v="Moderate"/>
    <s v="Master"/>
    <s v="Marketing"/>
    <n v="2"/>
    <s v="Male"/>
    <n v="43"/>
    <n v="3"/>
    <n v="2"/>
    <s v="Sales Executive"/>
    <s v="High"/>
    <s v="Single"/>
    <n v="5487"/>
    <s v="Medium (5k-10k)"/>
    <n v="10410"/>
    <n v="1"/>
    <x v="0"/>
    <n v="14"/>
    <n v="3"/>
    <n v="2"/>
    <n v="0"/>
    <n v="10"/>
    <n v="2"/>
    <s v="Good"/>
    <n v="10"/>
    <x v="2"/>
    <n v="4"/>
    <n v="0"/>
    <n v="9"/>
  </r>
  <r>
    <n v="33"/>
    <s v="Middle Aged"/>
    <n v="0"/>
    <s v="Travel_Frequently"/>
    <n v="1303"/>
    <x v="0"/>
    <n v="7"/>
    <s v="Moderate"/>
    <s v="College"/>
    <s v="Life Sciences"/>
    <n v="4"/>
    <s v="Male"/>
    <n v="36"/>
    <n v="3"/>
    <n v="2"/>
    <s v="Healthcare Representative"/>
    <s v="High"/>
    <s v="Divorced"/>
    <n v="5968"/>
    <s v="Medium (5k-10k)"/>
    <n v="18079"/>
    <n v="1"/>
    <x v="0"/>
    <n v="20"/>
    <n v="4"/>
    <n v="3"/>
    <n v="3"/>
    <n v="9"/>
    <n v="2"/>
    <s v="Better"/>
    <n v="9"/>
    <x v="1"/>
    <n v="7"/>
    <n v="2"/>
    <n v="8"/>
  </r>
  <r>
    <n v="33"/>
    <s v="Middle Aged"/>
    <n v="0"/>
    <s v="Non-Travel"/>
    <n v="1313"/>
    <x v="0"/>
    <n v="1"/>
    <s v="Near Office"/>
    <s v="College"/>
    <s v="Medical"/>
    <n v="2"/>
    <s v="Male"/>
    <n v="59"/>
    <n v="2"/>
    <n v="1"/>
    <s v="Laboratory Technician"/>
    <s v="High"/>
    <s v="Divorced"/>
    <n v="2008"/>
    <s v="Low (&lt;5k)"/>
    <n v="20439"/>
    <n v="1"/>
    <x v="0"/>
    <n v="12"/>
    <n v="3"/>
    <n v="3"/>
    <n v="3"/>
    <n v="1"/>
    <n v="2"/>
    <s v="Good"/>
    <n v="1"/>
    <x v="0"/>
    <n v="1"/>
    <n v="0"/>
    <n v="0"/>
  </r>
  <r>
    <n v="33"/>
    <s v="Middle Aged"/>
    <n v="0"/>
    <s v="Travel_Rarely"/>
    <n v="501"/>
    <x v="0"/>
    <n v="15"/>
    <s v="Moderate"/>
    <s v="College"/>
    <s v="Medical"/>
    <n v="2"/>
    <s v="Female"/>
    <n v="95"/>
    <n v="3"/>
    <n v="2"/>
    <s v="Healthcare Representative"/>
    <s v="Very High"/>
    <s v="Married"/>
    <n v="4878"/>
    <s v="Low (&lt;5k)"/>
    <n v="21653"/>
    <n v="0"/>
    <x v="1"/>
    <n v="13"/>
    <n v="3"/>
    <n v="1"/>
    <n v="1"/>
    <n v="10"/>
    <n v="6"/>
    <s v="Better"/>
    <n v="9"/>
    <x v="1"/>
    <n v="7"/>
    <n v="8"/>
    <n v="1"/>
  </r>
  <r>
    <n v="34"/>
    <s v="Middle Aged"/>
    <n v="0"/>
    <s v="Travel_Rarely"/>
    <n v="1346"/>
    <x v="0"/>
    <n v="19"/>
    <s v="Long Commute"/>
    <s v="College"/>
    <s v="Medical"/>
    <n v="2"/>
    <s v="Male"/>
    <n v="93"/>
    <n v="3"/>
    <n v="1"/>
    <s v="Laboratory Technician"/>
    <s v="Very High"/>
    <s v="Divorced"/>
    <n v="2661"/>
    <s v="Low (&lt;5k)"/>
    <n v="8758"/>
    <n v="0"/>
    <x v="0"/>
    <n v="11"/>
    <n v="3"/>
    <n v="3"/>
    <n v="1"/>
    <n v="3"/>
    <n v="2"/>
    <s v="Better"/>
    <n v="2"/>
    <x v="0"/>
    <n v="2"/>
    <n v="1"/>
    <n v="2"/>
  </r>
  <r>
    <n v="34"/>
    <s v="Middle Aged"/>
    <n v="0"/>
    <s v="Travel_Rarely"/>
    <n v="419"/>
    <x v="0"/>
    <n v="7"/>
    <s v="Moderate"/>
    <s v="Master"/>
    <s v="Life Sciences"/>
    <n v="1"/>
    <s v="Female"/>
    <n v="53"/>
    <n v="3"/>
    <n v="3"/>
    <s v="Research Director"/>
    <s v="Medium"/>
    <s v="Single"/>
    <n v="11994"/>
    <s v="High (&gt;10k)"/>
    <n v="21293"/>
    <n v="0"/>
    <x v="0"/>
    <n v="11"/>
    <n v="3"/>
    <n v="3"/>
    <n v="0"/>
    <n v="13"/>
    <n v="4"/>
    <s v="Better"/>
    <n v="12"/>
    <x v="2"/>
    <n v="6"/>
    <n v="2"/>
    <n v="11"/>
  </r>
  <r>
    <n v="34"/>
    <s v="Middle Aged"/>
    <n v="1"/>
    <s v="Travel_Rarely"/>
    <n v="699"/>
    <x v="0"/>
    <n v="6"/>
    <s v="Moderate"/>
    <s v="Below College"/>
    <s v="Medical"/>
    <n v="2"/>
    <s v="Male"/>
    <n v="83"/>
    <n v="3"/>
    <n v="1"/>
    <s v="Research Scientist"/>
    <s v="Low"/>
    <s v="Single"/>
    <n v="2960"/>
    <s v="Low (&lt;5k)"/>
    <n v="17102"/>
    <n v="2"/>
    <x v="0"/>
    <n v="11"/>
    <n v="3"/>
    <n v="3"/>
    <n v="0"/>
    <n v="8"/>
    <n v="2"/>
    <s v="Better"/>
    <n v="4"/>
    <x v="1"/>
    <n v="2"/>
    <n v="1"/>
    <n v="3"/>
  </r>
  <r>
    <n v="34"/>
    <s v="Middle Aged"/>
    <n v="0"/>
    <s v="Non-Travel"/>
    <n v="1065"/>
    <x v="1"/>
    <n v="23"/>
    <s v="Long Commute"/>
    <s v="Master"/>
    <s v="Marketing"/>
    <n v="2"/>
    <s v="Male"/>
    <n v="72"/>
    <n v="3"/>
    <n v="2"/>
    <s v="Sales Executive"/>
    <s v="High"/>
    <s v="Single"/>
    <n v="4568"/>
    <s v="Low (&lt;5k)"/>
    <n v="10034"/>
    <n v="0"/>
    <x v="0"/>
    <n v="20"/>
    <n v="4"/>
    <n v="3"/>
    <n v="0"/>
    <n v="10"/>
    <n v="2"/>
    <s v="Better"/>
    <n v="9"/>
    <x v="1"/>
    <n v="5"/>
    <n v="8"/>
    <n v="7"/>
  </r>
  <r>
    <n v="34"/>
    <s v="Middle Aged"/>
    <n v="0"/>
    <s v="Travel_Rarely"/>
    <n v="1153"/>
    <x v="0"/>
    <n v="1"/>
    <s v="Near Office"/>
    <s v="College"/>
    <s v="Medical"/>
    <n v="1"/>
    <s v="Male"/>
    <n v="94"/>
    <n v="3"/>
    <n v="2"/>
    <s v="Manufacturing Director"/>
    <s v="Medium"/>
    <s v="Married"/>
    <n v="4325"/>
    <s v="Low (&lt;5k)"/>
    <n v="17736"/>
    <n v="1"/>
    <x v="0"/>
    <n v="15"/>
    <n v="3"/>
    <n v="3"/>
    <n v="0"/>
    <n v="5"/>
    <n v="2"/>
    <s v="Better"/>
    <n v="5"/>
    <x v="1"/>
    <n v="2"/>
    <n v="1"/>
    <n v="3"/>
  </r>
  <r>
    <n v="34"/>
    <s v="Middle Aged"/>
    <n v="0"/>
    <s v="Travel_Rarely"/>
    <n v="665"/>
    <x v="0"/>
    <n v="6"/>
    <s v="Moderate"/>
    <s v="Master"/>
    <s v="Other"/>
    <n v="1"/>
    <s v="Female"/>
    <n v="41"/>
    <n v="3"/>
    <n v="2"/>
    <s v="Research Scientist"/>
    <s v="High"/>
    <s v="Single"/>
    <n v="4809"/>
    <s v="Low (&lt;5k)"/>
    <n v="12482"/>
    <n v="1"/>
    <x v="0"/>
    <n v="14"/>
    <n v="3"/>
    <n v="3"/>
    <n v="0"/>
    <n v="16"/>
    <n v="3"/>
    <s v="Better"/>
    <n v="16"/>
    <x v="2"/>
    <n v="13"/>
    <n v="2"/>
    <n v="10"/>
  </r>
  <r>
    <n v="34"/>
    <s v="Middle Aged"/>
    <n v="1"/>
    <s v="Travel_Frequently"/>
    <n v="658"/>
    <x v="0"/>
    <n v="7"/>
    <s v="Moderate"/>
    <s v="Bachelor"/>
    <s v="Life Sciences"/>
    <n v="1"/>
    <s v="Male"/>
    <n v="66"/>
    <n v="1"/>
    <n v="2"/>
    <s v="Laboratory Technician"/>
    <s v="High"/>
    <s v="Single"/>
    <n v="6074"/>
    <s v="Medium (5k-10k)"/>
    <n v="22887"/>
    <n v="1"/>
    <x v="1"/>
    <n v="24"/>
    <n v="4"/>
    <n v="4"/>
    <n v="0"/>
    <n v="9"/>
    <n v="3"/>
    <s v="Better"/>
    <n v="9"/>
    <x v="1"/>
    <n v="7"/>
    <n v="0"/>
    <n v="6"/>
  </r>
  <r>
    <n v="34"/>
    <s v="Middle Aged"/>
    <n v="0"/>
    <s v="Travel_Rarely"/>
    <n v="1031"/>
    <x v="0"/>
    <n v="6"/>
    <s v="Moderate"/>
    <s v="Master"/>
    <s v="Life Sciences"/>
    <n v="3"/>
    <s v="Female"/>
    <n v="45"/>
    <n v="2"/>
    <n v="2"/>
    <s v="Research Scientist"/>
    <s v="Medium"/>
    <s v="Divorced"/>
    <n v="4505"/>
    <s v="Low (&lt;5k)"/>
    <n v="15000"/>
    <n v="6"/>
    <x v="0"/>
    <n v="15"/>
    <n v="3"/>
    <n v="3"/>
    <n v="1"/>
    <n v="12"/>
    <n v="3"/>
    <s v="Better"/>
    <n v="1"/>
    <x v="0"/>
    <n v="0"/>
    <n v="0"/>
    <n v="0"/>
  </r>
  <r>
    <n v="34"/>
    <s v="Middle Aged"/>
    <n v="0"/>
    <s v="Travel_Rarely"/>
    <n v="1354"/>
    <x v="0"/>
    <n v="5"/>
    <s v="Near Office"/>
    <s v="Bachelor"/>
    <s v="Medical"/>
    <n v="3"/>
    <s v="Female"/>
    <n v="45"/>
    <n v="2"/>
    <n v="3"/>
    <s v="Manager"/>
    <s v="Low"/>
    <s v="Single"/>
    <n v="11631"/>
    <s v="High (&gt;10k)"/>
    <n v="5615"/>
    <n v="2"/>
    <x v="0"/>
    <n v="12"/>
    <n v="3"/>
    <n v="4"/>
    <n v="0"/>
    <n v="14"/>
    <n v="6"/>
    <s v="Better"/>
    <n v="11"/>
    <x v="2"/>
    <n v="10"/>
    <n v="5"/>
    <n v="8"/>
  </r>
  <r>
    <n v="34"/>
    <s v="Middle Aged"/>
    <n v="0"/>
    <s v="Travel_Frequently"/>
    <n v="303"/>
    <x v="1"/>
    <n v="2"/>
    <s v="Near Office"/>
    <s v="Master"/>
    <s v="Marketing"/>
    <n v="3"/>
    <s v="Female"/>
    <n v="75"/>
    <n v="3"/>
    <n v="1"/>
    <s v="Sales Representative"/>
    <s v="High"/>
    <s v="Married"/>
    <n v="2231"/>
    <s v="Low (&lt;5k)"/>
    <n v="11314"/>
    <n v="6"/>
    <x v="0"/>
    <n v="18"/>
    <n v="3"/>
    <n v="4"/>
    <n v="1"/>
    <n v="6"/>
    <n v="3"/>
    <s v="Better"/>
    <n v="4"/>
    <x v="1"/>
    <n v="3"/>
    <n v="1"/>
    <n v="2"/>
  </r>
  <r>
    <n v="34"/>
    <s v="Middle Aged"/>
    <n v="0"/>
    <s v="Travel_Rarely"/>
    <n v="629"/>
    <x v="0"/>
    <n v="27"/>
    <s v="Long Commute"/>
    <s v="College"/>
    <s v="Medical"/>
    <n v="4"/>
    <s v="Female"/>
    <n v="95"/>
    <n v="3"/>
    <n v="1"/>
    <s v="Research Scientist"/>
    <s v="Medium"/>
    <s v="Single"/>
    <n v="2311"/>
    <s v="Low (&lt;5k)"/>
    <n v="5711"/>
    <n v="2"/>
    <x v="0"/>
    <n v="15"/>
    <n v="3"/>
    <n v="4"/>
    <n v="0"/>
    <n v="9"/>
    <n v="3"/>
    <s v="Better"/>
    <n v="3"/>
    <x v="1"/>
    <n v="2"/>
    <n v="1"/>
    <n v="2"/>
  </r>
  <r>
    <n v="34"/>
    <s v="Middle Aged"/>
    <n v="0"/>
    <s v="Travel_Frequently"/>
    <n v="1069"/>
    <x v="0"/>
    <n v="2"/>
    <s v="Near Office"/>
    <s v="Below College"/>
    <s v="Life Sciences"/>
    <n v="4"/>
    <s v="Male"/>
    <n v="45"/>
    <n v="2"/>
    <n v="2"/>
    <s v="Manufacturing Director"/>
    <s v="High"/>
    <s v="Married"/>
    <n v="9547"/>
    <s v="Medium (5k-10k)"/>
    <n v="14074"/>
    <n v="1"/>
    <x v="0"/>
    <n v="17"/>
    <n v="3"/>
    <n v="3"/>
    <n v="0"/>
    <n v="10"/>
    <n v="2"/>
    <s v="Good"/>
    <n v="10"/>
    <x v="2"/>
    <n v="9"/>
    <n v="1"/>
    <n v="9"/>
  </r>
  <r>
    <n v="34"/>
    <s v="Middle Aged"/>
    <n v="0"/>
    <s v="Travel_Frequently"/>
    <n v="878"/>
    <x v="0"/>
    <n v="10"/>
    <s v="Moderate"/>
    <s v="Master"/>
    <s v="Medical"/>
    <n v="4"/>
    <s v="Male"/>
    <n v="43"/>
    <n v="3"/>
    <n v="1"/>
    <s v="Research Scientist"/>
    <s v="High"/>
    <s v="Divorced"/>
    <n v="3815"/>
    <s v="Low (&lt;5k)"/>
    <n v="5972"/>
    <n v="1"/>
    <x v="1"/>
    <n v="17"/>
    <n v="3"/>
    <n v="4"/>
    <n v="1"/>
    <n v="5"/>
    <n v="4"/>
    <s v="Best"/>
    <n v="5"/>
    <x v="1"/>
    <n v="3"/>
    <n v="2"/>
    <n v="0"/>
  </r>
  <r>
    <n v="34"/>
    <s v="Middle Aged"/>
    <n v="0"/>
    <s v="Travel_Rarely"/>
    <n v="470"/>
    <x v="0"/>
    <n v="2"/>
    <s v="Near Office"/>
    <s v="Master"/>
    <s v="Life Sciences"/>
    <n v="4"/>
    <s v="Male"/>
    <n v="84"/>
    <n v="2"/>
    <n v="2"/>
    <s v="Manufacturing Director"/>
    <s v="Low"/>
    <s v="Married"/>
    <n v="5957"/>
    <s v="Medium (5k-10k)"/>
    <n v="23687"/>
    <n v="6"/>
    <x v="0"/>
    <n v="13"/>
    <n v="3"/>
    <n v="2"/>
    <n v="1"/>
    <n v="13"/>
    <n v="3"/>
    <s v="Better"/>
    <n v="11"/>
    <x v="2"/>
    <n v="9"/>
    <n v="5"/>
    <n v="9"/>
  </r>
  <r>
    <n v="34"/>
    <s v="Middle Aged"/>
    <n v="1"/>
    <s v="Non-Travel"/>
    <n v="1362"/>
    <x v="1"/>
    <n v="19"/>
    <s v="Long Commute"/>
    <s v="Bachelor"/>
    <s v="Marketing"/>
    <n v="1"/>
    <s v="Male"/>
    <n v="67"/>
    <n v="4"/>
    <n v="2"/>
    <s v="Sales Executive"/>
    <s v="Very High"/>
    <s v="Single"/>
    <n v="5304"/>
    <s v="Medium (5k-10k)"/>
    <n v="4652"/>
    <n v="8"/>
    <x v="1"/>
    <n v="13"/>
    <n v="3"/>
    <n v="2"/>
    <n v="0"/>
    <n v="9"/>
    <n v="3"/>
    <s v="Good"/>
    <n v="5"/>
    <x v="1"/>
    <n v="2"/>
    <n v="0"/>
    <n v="4"/>
  </r>
  <r>
    <n v="34"/>
    <s v="Middle Aged"/>
    <n v="0"/>
    <s v="Non-Travel"/>
    <n v="1381"/>
    <x v="1"/>
    <n v="4"/>
    <s v="Near Office"/>
    <s v="Master"/>
    <s v="Marketing"/>
    <n v="3"/>
    <s v="Female"/>
    <n v="72"/>
    <n v="3"/>
    <n v="2"/>
    <s v="Sales Executive"/>
    <s v="High"/>
    <s v="Married"/>
    <n v="6538"/>
    <s v="Medium (5k-10k)"/>
    <n v="12740"/>
    <n v="9"/>
    <x v="0"/>
    <n v="15"/>
    <n v="3"/>
    <n v="1"/>
    <n v="1"/>
    <n v="6"/>
    <n v="3"/>
    <s v="Better"/>
    <n v="3"/>
    <x v="1"/>
    <n v="2"/>
    <n v="1"/>
    <n v="2"/>
  </r>
  <r>
    <n v="34"/>
    <s v="Middle Aged"/>
    <n v="1"/>
    <s v="Travel_Frequently"/>
    <n v="296"/>
    <x v="1"/>
    <n v="6"/>
    <s v="Moderate"/>
    <s v="College"/>
    <s v="Marketing"/>
    <n v="4"/>
    <s v="Female"/>
    <n v="33"/>
    <n v="1"/>
    <n v="1"/>
    <s v="Sales Representative"/>
    <s v="High"/>
    <s v="Divorced"/>
    <n v="2351"/>
    <s v="Low (&lt;5k)"/>
    <n v="12253"/>
    <n v="0"/>
    <x v="0"/>
    <n v="16"/>
    <n v="3"/>
    <n v="4"/>
    <n v="1"/>
    <n v="3"/>
    <n v="3"/>
    <s v="Good"/>
    <n v="2"/>
    <x v="0"/>
    <n v="2"/>
    <n v="1"/>
    <n v="0"/>
  </r>
  <r>
    <n v="34"/>
    <s v="Middle Aged"/>
    <n v="0"/>
    <s v="Travel_Rarely"/>
    <n v="1303"/>
    <x v="0"/>
    <n v="2"/>
    <s v="Near Office"/>
    <s v="Master"/>
    <s v="Life Sciences"/>
    <n v="4"/>
    <s v="Male"/>
    <n v="62"/>
    <n v="2"/>
    <n v="1"/>
    <s v="Research Scientist"/>
    <s v="High"/>
    <s v="Divorced"/>
    <n v="2768"/>
    <s v="Low (&lt;5k)"/>
    <n v="8416"/>
    <n v="3"/>
    <x v="0"/>
    <n v="12"/>
    <n v="3"/>
    <n v="3"/>
    <n v="1"/>
    <n v="14"/>
    <n v="3"/>
    <s v="Better"/>
    <n v="7"/>
    <x v="1"/>
    <n v="3"/>
    <n v="5"/>
    <n v="7"/>
  </r>
  <r>
    <n v="34"/>
    <s v="Middle Aged"/>
    <n v="1"/>
    <s v="Travel_Frequently"/>
    <n v="988"/>
    <x v="2"/>
    <n v="23"/>
    <s v="Long Commute"/>
    <s v="Bachelor"/>
    <s v="Human Resources"/>
    <n v="2"/>
    <s v="Female"/>
    <n v="43"/>
    <n v="3"/>
    <n v="3"/>
    <s v="Human Resources"/>
    <s v="Low"/>
    <s v="Divorced"/>
    <n v="9950"/>
    <s v="Medium (5k-10k)"/>
    <n v="11533"/>
    <n v="9"/>
    <x v="1"/>
    <n v="15"/>
    <n v="3"/>
    <n v="3"/>
    <n v="3"/>
    <n v="11"/>
    <n v="2"/>
    <s v="Better"/>
    <n v="3"/>
    <x v="1"/>
    <n v="2"/>
    <n v="0"/>
    <n v="2"/>
  </r>
  <r>
    <n v="34"/>
    <s v="Middle Aged"/>
    <n v="0"/>
    <s v="Travel_Rarely"/>
    <n v="258"/>
    <x v="1"/>
    <n v="21"/>
    <s v="Long Commute"/>
    <s v="Master"/>
    <s v="Life Sciences"/>
    <n v="4"/>
    <s v="Male"/>
    <n v="74"/>
    <n v="4"/>
    <n v="2"/>
    <s v="Sales Executive"/>
    <s v="Very High"/>
    <s v="Single"/>
    <n v="5337"/>
    <s v="Medium (5k-10k)"/>
    <n v="19921"/>
    <n v="1"/>
    <x v="0"/>
    <n v="12"/>
    <n v="3"/>
    <n v="4"/>
    <n v="0"/>
    <n v="10"/>
    <n v="3"/>
    <s v="Better"/>
    <n v="10"/>
    <x v="2"/>
    <n v="7"/>
    <n v="5"/>
    <n v="7"/>
  </r>
  <r>
    <n v="34"/>
    <s v="Middle Aged"/>
    <n v="0"/>
    <s v="Travel_Rarely"/>
    <n v="254"/>
    <x v="0"/>
    <n v="1"/>
    <s v="Near Office"/>
    <s v="College"/>
    <s v="Life Sciences"/>
    <n v="2"/>
    <s v="Male"/>
    <n v="83"/>
    <n v="2"/>
    <n v="1"/>
    <s v="Research Scientist"/>
    <s v="Very High"/>
    <s v="Married"/>
    <n v="3622"/>
    <s v="Low (&lt;5k)"/>
    <n v="22794"/>
    <n v="1"/>
    <x v="1"/>
    <n v="13"/>
    <n v="3"/>
    <n v="4"/>
    <n v="1"/>
    <n v="6"/>
    <n v="3"/>
    <s v="Better"/>
    <n v="6"/>
    <x v="1"/>
    <n v="5"/>
    <n v="1"/>
    <n v="3"/>
  </r>
  <r>
    <n v="34"/>
    <s v="Middle Aged"/>
    <n v="0"/>
    <s v="Travel_Rarely"/>
    <n v="204"/>
    <x v="1"/>
    <n v="14"/>
    <s v="Moderate"/>
    <s v="Bachelor"/>
    <s v="Technical Degree"/>
    <n v="3"/>
    <s v="Female"/>
    <n v="31"/>
    <n v="3"/>
    <n v="1"/>
    <s v="Sales Representative"/>
    <s v="High"/>
    <s v="Divorced"/>
    <n v="2579"/>
    <s v="Low (&lt;5k)"/>
    <n v="2912"/>
    <n v="1"/>
    <x v="1"/>
    <n v="18"/>
    <n v="3"/>
    <n v="4"/>
    <n v="2"/>
    <n v="8"/>
    <n v="3"/>
    <s v="Better"/>
    <n v="8"/>
    <x v="1"/>
    <n v="2"/>
    <n v="0"/>
    <n v="6"/>
  </r>
  <r>
    <n v="34"/>
    <s v="Middle Aged"/>
    <n v="0"/>
    <s v="Travel_Rarely"/>
    <n v="1397"/>
    <x v="0"/>
    <n v="1"/>
    <s v="Near Office"/>
    <s v="Doctor"/>
    <s v="Life Sciences"/>
    <n v="2"/>
    <s v="Male"/>
    <n v="42"/>
    <n v="3"/>
    <n v="1"/>
    <s v="Research Scientist"/>
    <s v="Very High"/>
    <s v="Married"/>
    <n v="2691"/>
    <s v="Low (&lt;5k)"/>
    <n v="7660"/>
    <n v="1"/>
    <x v="0"/>
    <n v="12"/>
    <n v="3"/>
    <n v="4"/>
    <n v="1"/>
    <n v="10"/>
    <n v="4"/>
    <s v="Good"/>
    <n v="10"/>
    <x v="2"/>
    <n v="9"/>
    <n v="8"/>
    <n v="8"/>
  </r>
  <r>
    <n v="34"/>
    <s v="Middle Aged"/>
    <n v="0"/>
    <s v="Travel_Rarely"/>
    <n v="1442"/>
    <x v="0"/>
    <n v="9"/>
    <s v="Moderate"/>
    <s v="Bachelor"/>
    <s v="Medical"/>
    <n v="4"/>
    <s v="Female"/>
    <n v="46"/>
    <n v="2"/>
    <n v="3"/>
    <s v="Healthcare Representative"/>
    <s v="Medium"/>
    <s v="Single"/>
    <n v="8621"/>
    <s v="Medium (5k-10k)"/>
    <n v="17654"/>
    <n v="1"/>
    <x v="0"/>
    <n v="14"/>
    <n v="3"/>
    <n v="2"/>
    <n v="0"/>
    <n v="9"/>
    <n v="3"/>
    <s v="Best"/>
    <n v="8"/>
    <x v="1"/>
    <n v="7"/>
    <n v="7"/>
    <n v="7"/>
  </r>
  <r>
    <n v="34"/>
    <s v="Middle Aged"/>
    <n v="0"/>
    <s v="Travel_Rarely"/>
    <n v="970"/>
    <x v="0"/>
    <n v="8"/>
    <s v="Moderate"/>
    <s v="College"/>
    <s v="Medical"/>
    <n v="2"/>
    <s v="Female"/>
    <n v="96"/>
    <n v="3"/>
    <n v="2"/>
    <s v="Healthcare Representative"/>
    <s v="High"/>
    <s v="Single"/>
    <n v="6142"/>
    <s v="Medium (5k-10k)"/>
    <n v="7360"/>
    <n v="3"/>
    <x v="0"/>
    <n v="11"/>
    <n v="3"/>
    <n v="4"/>
    <n v="0"/>
    <n v="10"/>
    <n v="2"/>
    <s v="Better"/>
    <n v="5"/>
    <x v="1"/>
    <n v="1"/>
    <n v="4"/>
    <n v="3"/>
  </r>
  <r>
    <n v="34"/>
    <s v="Middle Aged"/>
    <n v="0"/>
    <s v="Travel_Rarely"/>
    <n v="167"/>
    <x v="0"/>
    <n v="8"/>
    <s v="Moderate"/>
    <s v="Doctor"/>
    <s v="Life Sciences"/>
    <n v="2"/>
    <s v="Female"/>
    <n v="32"/>
    <n v="3"/>
    <n v="2"/>
    <s v="Manufacturing Director"/>
    <s v="Low"/>
    <s v="Divorced"/>
    <n v="5121"/>
    <s v="Medium (5k-10k)"/>
    <n v="4187"/>
    <n v="3"/>
    <x v="0"/>
    <n v="14"/>
    <n v="3"/>
    <n v="3"/>
    <n v="1"/>
    <n v="7"/>
    <n v="3"/>
    <s v="Better"/>
    <n v="0"/>
    <x v="0"/>
    <n v="0"/>
    <n v="0"/>
    <n v="0"/>
  </r>
  <r>
    <n v="34"/>
    <s v="Middle Aged"/>
    <n v="0"/>
    <s v="Travel_Rarely"/>
    <n v="304"/>
    <x v="1"/>
    <n v="2"/>
    <s v="Near Office"/>
    <s v="Bachelor"/>
    <s v="Other"/>
    <n v="4"/>
    <s v="Male"/>
    <n v="60"/>
    <n v="3"/>
    <n v="2"/>
    <s v="Sales Executive"/>
    <s v="Very High"/>
    <s v="Single"/>
    <n v="6274"/>
    <s v="Medium (5k-10k)"/>
    <n v="18686"/>
    <n v="1"/>
    <x v="0"/>
    <n v="22"/>
    <n v="4"/>
    <n v="3"/>
    <n v="0"/>
    <n v="6"/>
    <n v="5"/>
    <s v="Better"/>
    <n v="6"/>
    <x v="1"/>
    <n v="5"/>
    <n v="1"/>
    <n v="4"/>
  </r>
  <r>
    <n v="34"/>
    <s v="Middle Aged"/>
    <n v="0"/>
    <s v="Travel_Rarely"/>
    <n v="182"/>
    <x v="0"/>
    <n v="1"/>
    <s v="Near Office"/>
    <s v="Master"/>
    <s v="Life Sciences"/>
    <n v="2"/>
    <s v="Female"/>
    <n v="72"/>
    <n v="4"/>
    <n v="1"/>
    <s v="Research Scientist"/>
    <s v="Very High"/>
    <s v="Single"/>
    <n v="3280"/>
    <s v="Low (&lt;5k)"/>
    <n v="13551"/>
    <n v="2"/>
    <x v="0"/>
    <n v="16"/>
    <n v="3"/>
    <n v="3"/>
    <n v="0"/>
    <n v="10"/>
    <n v="2"/>
    <s v="Better"/>
    <n v="4"/>
    <x v="1"/>
    <n v="2"/>
    <n v="1"/>
    <n v="3"/>
  </r>
  <r>
    <n v="34"/>
    <s v="Middle Aged"/>
    <n v="0"/>
    <s v="Travel_Rarely"/>
    <n v="121"/>
    <x v="0"/>
    <n v="2"/>
    <s v="Near Office"/>
    <s v="Master"/>
    <s v="Medical"/>
    <n v="3"/>
    <s v="Female"/>
    <n v="86"/>
    <n v="2"/>
    <n v="1"/>
    <s v="Research Scientist"/>
    <s v="Low"/>
    <s v="Single"/>
    <n v="4381"/>
    <s v="Low (&lt;5k)"/>
    <n v="7530"/>
    <n v="1"/>
    <x v="0"/>
    <n v="11"/>
    <n v="3"/>
    <n v="3"/>
    <n v="0"/>
    <n v="6"/>
    <n v="3"/>
    <s v="Better"/>
    <n v="6"/>
    <x v="1"/>
    <n v="5"/>
    <n v="1"/>
    <n v="3"/>
  </r>
  <r>
    <n v="34"/>
    <s v="Middle Aged"/>
    <n v="0"/>
    <s v="Travel_Rarely"/>
    <n v="1111"/>
    <x v="1"/>
    <n v="8"/>
    <s v="Moderate"/>
    <s v="College"/>
    <s v="Life Sciences"/>
    <n v="3"/>
    <s v="Female"/>
    <n v="93"/>
    <n v="3"/>
    <n v="2"/>
    <s v="Sales Executive"/>
    <s v="Low"/>
    <s v="Married"/>
    <n v="6500"/>
    <s v="Medium (5k-10k)"/>
    <n v="13305"/>
    <n v="5"/>
    <x v="0"/>
    <n v="17"/>
    <n v="3"/>
    <n v="2"/>
    <n v="1"/>
    <n v="6"/>
    <n v="1"/>
    <s v="Better"/>
    <n v="3"/>
    <x v="1"/>
    <n v="2"/>
    <n v="1"/>
    <n v="2"/>
  </r>
  <r>
    <n v="34"/>
    <s v="Middle Aged"/>
    <n v="0"/>
    <s v="Travel_Frequently"/>
    <n v="702"/>
    <x v="0"/>
    <n v="16"/>
    <s v="Long Commute"/>
    <s v="Master"/>
    <s v="Life Sciences"/>
    <n v="3"/>
    <s v="Female"/>
    <n v="100"/>
    <n v="2"/>
    <n v="1"/>
    <s v="Research Scientist"/>
    <s v="Very High"/>
    <s v="Single"/>
    <n v="2553"/>
    <s v="Low (&lt;5k)"/>
    <n v="8306"/>
    <n v="1"/>
    <x v="0"/>
    <n v="16"/>
    <n v="3"/>
    <n v="3"/>
    <n v="0"/>
    <n v="6"/>
    <n v="3"/>
    <s v="Better"/>
    <n v="5"/>
    <x v="1"/>
    <n v="2"/>
    <n v="1"/>
    <n v="3"/>
  </r>
  <r>
    <n v="34"/>
    <s v="Middle Aged"/>
    <n v="0"/>
    <s v="Travel_Rarely"/>
    <n v="829"/>
    <x v="2"/>
    <n v="3"/>
    <s v="Near Office"/>
    <s v="College"/>
    <s v="Human Resources"/>
    <n v="3"/>
    <s v="Male"/>
    <n v="88"/>
    <n v="3"/>
    <n v="1"/>
    <s v="Human Resources"/>
    <s v="Very High"/>
    <s v="Married"/>
    <n v="3737"/>
    <s v="Low (&lt;5k)"/>
    <n v="2243"/>
    <n v="0"/>
    <x v="0"/>
    <n v="19"/>
    <n v="3"/>
    <n v="3"/>
    <n v="1"/>
    <n v="4"/>
    <n v="1"/>
    <s v="Bad"/>
    <n v="3"/>
    <x v="1"/>
    <n v="2"/>
    <n v="0"/>
    <n v="2"/>
  </r>
  <r>
    <n v="34"/>
    <s v="Middle Aged"/>
    <n v="0"/>
    <s v="Travel_Rarely"/>
    <n v="546"/>
    <x v="0"/>
    <n v="10"/>
    <s v="Moderate"/>
    <s v="Bachelor"/>
    <s v="Life Sciences"/>
    <n v="2"/>
    <s v="Male"/>
    <n v="83"/>
    <n v="3"/>
    <n v="1"/>
    <s v="Laboratory Technician"/>
    <s v="Medium"/>
    <s v="Divorced"/>
    <n v="2008"/>
    <s v="Low (&lt;5k)"/>
    <n v="6896"/>
    <n v="1"/>
    <x v="0"/>
    <n v="14"/>
    <n v="3"/>
    <n v="2"/>
    <n v="2"/>
    <n v="1"/>
    <n v="3"/>
    <s v="Better"/>
    <n v="1"/>
    <x v="0"/>
    <n v="0"/>
    <n v="1"/>
    <n v="0"/>
  </r>
  <r>
    <n v="34"/>
    <s v="Middle Aged"/>
    <n v="0"/>
    <s v="Travel_Rarely"/>
    <n v="216"/>
    <x v="1"/>
    <n v="1"/>
    <s v="Near Office"/>
    <s v="Master"/>
    <s v="Marketing"/>
    <n v="2"/>
    <s v="Male"/>
    <n v="75"/>
    <n v="4"/>
    <n v="2"/>
    <s v="Sales Executive"/>
    <s v="Very High"/>
    <s v="Divorced"/>
    <n v="9725"/>
    <s v="Medium (5k-10k)"/>
    <n v="12278"/>
    <n v="0"/>
    <x v="0"/>
    <n v="11"/>
    <n v="3"/>
    <n v="4"/>
    <n v="1"/>
    <n v="16"/>
    <n v="2"/>
    <s v="Good"/>
    <n v="15"/>
    <x v="2"/>
    <n v="1"/>
    <n v="0"/>
    <n v="9"/>
  </r>
  <r>
    <n v="34"/>
    <s v="Middle Aged"/>
    <n v="0"/>
    <s v="Travel_Rarely"/>
    <n v="1333"/>
    <x v="1"/>
    <n v="10"/>
    <s v="Moderate"/>
    <s v="Master"/>
    <s v="Life Sciences"/>
    <n v="3"/>
    <s v="Female"/>
    <n v="87"/>
    <n v="3"/>
    <n v="1"/>
    <s v="Sales Representative"/>
    <s v="High"/>
    <s v="Married"/>
    <n v="2220"/>
    <s v="Low (&lt;5k)"/>
    <n v="18410"/>
    <n v="1"/>
    <x v="1"/>
    <n v="19"/>
    <n v="3"/>
    <n v="4"/>
    <n v="1"/>
    <n v="1"/>
    <n v="2"/>
    <s v="Better"/>
    <n v="1"/>
    <x v="0"/>
    <n v="1"/>
    <n v="0"/>
    <n v="0"/>
  </r>
  <r>
    <n v="34"/>
    <s v="Middle Aged"/>
    <n v="0"/>
    <s v="Travel_Frequently"/>
    <n v="618"/>
    <x v="0"/>
    <n v="3"/>
    <s v="Near Office"/>
    <s v="Below College"/>
    <s v="Life Sciences"/>
    <n v="1"/>
    <s v="Male"/>
    <n v="45"/>
    <n v="3"/>
    <n v="2"/>
    <s v="Healthcare Representative"/>
    <s v="Very High"/>
    <s v="Single"/>
    <n v="7756"/>
    <s v="Medium (5k-10k)"/>
    <n v="22266"/>
    <n v="0"/>
    <x v="0"/>
    <n v="17"/>
    <n v="3"/>
    <n v="3"/>
    <n v="0"/>
    <n v="7"/>
    <n v="1"/>
    <s v="Good"/>
    <n v="6"/>
    <x v="1"/>
    <n v="2"/>
    <n v="0"/>
    <n v="4"/>
  </r>
  <r>
    <n v="34"/>
    <s v="Middle Aged"/>
    <n v="0"/>
    <s v="Non-Travel"/>
    <n v="697"/>
    <x v="0"/>
    <n v="3"/>
    <s v="Near Office"/>
    <s v="Master"/>
    <s v="Life Sciences"/>
    <n v="3"/>
    <s v="Male"/>
    <n v="40"/>
    <n v="2"/>
    <n v="1"/>
    <s v="Research Scientist"/>
    <s v="Very High"/>
    <s v="Married"/>
    <n v="2979"/>
    <s v="Low (&lt;5k)"/>
    <n v="22478"/>
    <n v="3"/>
    <x v="0"/>
    <n v="17"/>
    <n v="3"/>
    <n v="4"/>
    <n v="3"/>
    <n v="6"/>
    <n v="2"/>
    <s v="Better"/>
    <n v="0"/>
    <x v="0"/>
    <n v="0"/>
    <n v="0"/>
    <n v="0"/>
  </r>
  <r>
    <n v="34"/>
    <s v="Middle Aged"/>
    <n v="0"/>
    <s v="Travel_Frequently"/>
    <n v="1003"/>
    <x v="0"/>
    <n v="2"/>
    <s v="Near Office"/>
    <s v="College"/>
    <s v="Life Sciences"/>
    <n v="4"/>
    <s v="Male"/>
    <n v="95"/>
    <n v="3"/>
    <n v="2"/>
    <s v="Manufacturing Director"/>
    <s v="High"/>
    <s v="Single"/>
    <n v="4033"/>
    <s v="Low (&lt;5k)"/>
    <n v="15834"/>
    <n v="2"/>
    <x v="0"/>
    <n v="11"/>
    <n v="3"/>
    <n v="4"/>
    <n v="0"/>
    <n v="5"/>
    <n v="3"/>
    <s v="Good"/>
    <n v="3"/>
    <x v="1"/>
    <n v="2"/>
    <n v="0"/>
    <n v="2"/>
  </r>
  <r>
    <n v="34"/>
    <s v="Middle Aged"/>
    <n v="0"/>
    <s v="Travel_Rarely"/>
    <n v="1400"/>
    <x v="1"/>
    <n v="9"/>
    <s v="Moderate"/>
    <s v="Below College"/>
    <s v="Life Sciences"/>
    <n v="2"/>
    <s v="Female"/>
    <n v="70"/>
    <n v="3"/>
    <n v="2"/>
    <s v="Sales Executive"/>
    <s v="High"/>
    <s v="Married"/>
    <n v="5714"/>
    <s v="Medium (5k-10k)"/>
    <n v="5829"/>
    <n v="1"/>
    <x v="0"/>
    <n v="20"/>
    <n v="4"/>
    <n v="1"/>
    <n v="0"/>
    <n v="6"/>
    <n v="3"/>
    <s v="Good"/>
    <n v="6"/>
    <x v="1"/>
    <n v="5"/>
    <n v="1"/>
    <n v="3"/>
  </r>
  <r>
    <n v="34"/>
    <s v="Middle Aged"/>
    <n v="0"/>
    <s v="Travel_Frequently"/>
    <n v="669"/>
    <x v="0"/>
    <n v="1"/>
    <s v="Near Office"/>
    <s v="Bachelor"/>
    <s v="Medical"/>
    <n v="4"/>
    <s v="Male"/>
    <n v="97"/>
    <n v="2"/>
    <n v="2"/>
    <s v="Healthcare Representative"/>
    <s v="Low"/>
    <s v="Single"/>
    <n v="5343"/>
    <s v="Medium (5k-10k)"/>
    <n v="25755"/>
    <n v="0"/>
    <x v="0"/>
    <n v="20"/>
    <n v="4"/>
    <n v="3"/>
    <n v="0"/>
    <n v="14"/>
    <n v="3"/>
    <s v="Better"/>
    <n v="13"/>
    <x v="2"/>
    <n v="9"/>
    <n v="4"/>
    <n v="9"/>
  </r>
  <r>
    <n v="34"/>
    <s v="Middle Aged"/>
    <n v="0"/>
    <s v="Travel_Rarely"/>
    <n v="1320"/>
    <x v="0"/>
    <n v="20"/>
    <s v="Long Commute"/>
    <s v="Bachelor"/>
    <s v="Technical Degree"/>
    <n v="3"/>
    <s v="Female"/>
    <n v="89"/>
    <n v="4"/>
    <n v="1"/>
    <s v="Research Scientist"/>
    <s v="High"/>
    <s v="Married"/>
    <n v="2585"/>
    <s v="Low (&lt;5k)"/>
    <n v="21643"/>
    <n v="0"/>
    <x v="0"/>
    <n v="17"/>
    <n v="3"/>
    <n v="4"/>
    <n v="0"/>
    <n v="2"/>
    <n v="5"/>
    <s v="Good"/>
    <n v="1"/>
    <x v="0"/>
    <n v="0"/>
    <n v="0"/>
    <n v="0"/>
  </r>
  <r>
    <n v="34"/>
    <s v="Middle Aged"/>
    <n v="0"/>
    <s v="Travel_Rarely"/>
    <n v="131"/>
    <x v="1"/>
    <n v="2"/>
    <s v="Near Office"/>
    <s v="Bachelor"/>
    <s v="Marketing"/>
    <n v="3"/>
    <s v="Female"/>
    <n v="86"/>
    <n v="3"/>
    <n v="2"/>
    <s v="Sales Executive"/>
    <s v="Low"/>
    <s v="Single"/>
    <n v="4538"/>
    <s v="Low (&lt;5k)"/>
    <n v="6039"/>
    <n v="0"/>
    <x v="1"/>
    <n v="12"/>
    <n v="3"/>
    <n v="4"/>
    <n v="0"/>
    <n v="4"/>
    <n v="3"/>
    <s v="Better"/>
    <n v="3"/>
    <x v="1"/>
    <n v="2"/>
    <n v="0"/>
    <n v="2"/>
  </r>
  <r>
    <n v="34"/>
    <s v="Middle Aged"/>
    <n v="0"/>
    <s v="Travel_Frequently"/>
    <n v="135"/>
    <x v="0"/>
    <n v="19"/>
    <s v="Long Commute"/>
    <s v="Bachelor"/>
    <s v="Medical"/>
    <n v="3"/>
    <s v="Female"/>
    <n v="46"/>
    <n v="3"/>
    <n v="2"/>
    <s v="Laboratory Technician"/>
    <s v="Medium"/>
    <s v="Divorced"/>
    <n v="4444"/>
    <s v="Low (&lt;5k)"/>
    <n v="22534"/>
    <n v="4"/>
    <x v="0"/>
    <n v="13"/>
    <n v="3"/>
    <n v="3"/>
    <n v="2"/>
    <n v="15"/>
    <n v="2"/>
    <s v="Best"/>
    <n v="11"/>
    <x v="2"/>
    <n v="8"/>
    <n v="5"/>
    <n v="10"/>
  </r>
  <r>
    <n v="34"/>
    <s v="Middle Aged"/>
    <n v="0"/>
    <s v="Travel_Frequently"/>
    <n v="648"/>
    <x v="2"/>
    <n v="11"/>
    <s v="Moderate"/>
    <s v="Bachelor"/>
    <s v="Life Sciences"/>
    <n v="3"/>
    <s v="Male"/>
    <n v="56"/>
    <n v="2"/>
    <n v="2"/>
    <s v="Human Resources"/>
    <s v="Medium"/>
    <s v="Married"/>
    <n v="4490"/>
    <s v="Low (&lt;5k)"/>
    <n v="21833"/>
    <n v="4"/>
    <x v="0"/>
    <n v="11"/>
    <n v="3"/>
    <n v="4"/>
    <n v="2"/>
    <n v="14"/>
    <n v="5"/>
    <s v="Best"/>
    <n v="10"/>
    <x v="2"/>
    <n v="9"/>
    <n v="1"/>
    <n v="8"/>
  </r>
  <r>
    <n v="34"/>
    <s v="Middle Aged"/>
    <n v="0"/>
    <s v="Travel_Rarely"/>
    <n v="943"/>
    <x v="0"/>
    <n v="9"/>
    <s v="Moderate"/>
    <s v="Bachelor"/>
    <s v="Life Sciences"/>
    <n v="4"/>
    <s v="Male"/>
    <n v="86"/>
    <n v="3"/>
    <n v="3"/>
    <s v="Healthcare Representative"/>
    <s v="Very High"/>
    <s v="Divorced"/>
    <n v="8500"/>
    <s v="Medium (5k-10k)"/>
    <n v="5494"/>
    <n v="0"/>
    <x v="0"/>
    <n v="11"/>
    <n v="3"/>
    <n v="4"/>
    <n v="1"/>
    <n v="10"/>
    <n v="0"/>
    <s v="Good"/>
    <n v="9"/>
    <x v="1"/>
    <n v="7"/>
    <n v="1"/>
    <n v="6"/>
  </r>
  <r>
    <n v="34"/>
    <s v="Middle Aged"/>
    <n v="0"/>
    <s v="Travel_Rarely"/>
    <n v="507"/>
    <x v="1"/>
    <n v="15"/>
    <s v="Moderate"/>
    <s v="College"/>
    <s v="Medical"/>
    <n v="3"/>
    <s v="Female"/>
    <n v="66"/>
    <n v="3"/>
    <n v="2"/>
    <s v="Sales Executive"/>
    <s v="Low"/>
    <s v="Single"/>
    <n v="6125"/>
    <s v="Medium (5k-10k)"/>
    <n v="23553"/>
    <n v="1"/>
    <x v="0"/>
    <n v="12"/>
    <n v="3"/>
    <n v="4"/>
    <n v="0"/>
    <n v="10"/>
    <n v="6"/>
    <s v="Best"/>
    <n v="10"/>
    <x v="2"/>
    <n v="8"/>
    <n v="9"/>
    <n v="6"/>
  </r>
  <r>
    <n v="34"/>
    <s v="Middle Aged"/>
    <n v="0"/>
    <s v="Non-Travel"/>
    <n v="999"/>
    <x v="0"/>
    <n v="26"/>
    <s v="Long Commute"/>
    <s v="Below College"/>
    <s v="Technical Degree"/>
    <n v="1"/>
    <s v="Female"/>
    <n v="92"/>
    <n v="2"/>
    <n v="1"/>
    <s v="Research Scientist"/>
    <s v="High"/>
    <s v="Divorced"/>
    <n v="2029"/>
    <s v="Low (&lt;5k)"/>
    <n v="15891"/>
    <n v="1"/>
    <x v="0"/>
    <n v="20"/>
    <n v="4"/>
    <n v="3"/>
    <n v="3"/>
    <n v="5"/>
    <n v="2"/>
    <s v="Better"/>
    <n v="5"/>
    <x v="1"/>
    <n v="4"/>
    <n v="0"/>
    <n v="0"/>
  </r>
  <r>
    <n v="34"/>
    <s v="Middle Aged"/>
    <n v="0"/>
    <s v="Travel_Rarely"/>
    <n v="285"/>
    <x v="0"/>
    <n v="29"/>
    <s v="Long Commute"/>
    <s v="Bachelor"/>
    <s v="Medical"/>
    <n v="2"/>
    <s v="Male"/>
    <n v="86"/>
    <n v="3"/>
    <n v="2"/>
    <s v="Laboratory Technician"/>
    <s v="High"/>
    <s v="Married"/>
    <n v="5429"/>
    <s v="Medium (5k-10k)"/>
    <n v="17491"/>
    <n v="4"/>
    <x v="0"/>
    <n v="13"/>
    <n v="3"/>
    <n v="1"/>
    <n v="2"/>
    <n v="10"/>
    <n v="1"/>
    <s v="Better"/>
    <n v="8"/>
    <x v="1"/>
    <n v="7"/>
    <n v="7"/>
    <n v="7"/>
  </r>
  <r>
    <n v="34"/>
    <s v="Middle Aged"/>
    <n v="0"/>
    <s v="Travel_Rarely"/>
    <n v="404"/>
    <x v="0"/>
    <n v="2"/>
    <s v="Near Office"/>
    <s v="Master"/>
    <s v="Technical Degree"/>
    <n v="3"/>
    <s v="Female"/>
    <n v="98"/>
    <n v="3"/>
    <n v="2"/>
    <s v="Healthcare Representative"/>
    <s v="Very High"/>
    <s v="Single"/>
    <n v="6687"/>
    <s v="Medium (5k-10k)"/>
    <n v="6163"/>
    <n v="1"/>
    <x v="0"/>
    <n v="11"/>
    <n v="3"/>
    <n v="4"/>
    <n v="0"/>
    <n v="14"/>
    <n v="2"/>
    <s v="Best"/>
    <n v="14"/>
    <x v="2"/>
    <n v="11"/>
    <n v="4"/>
    <n v="11"/>
  </r>
  <r>
    <n v="34"/>
    <s v="Middle Aged"/>
    <n v="0"/>
    <s v="Travel_Frequently"/>
    <n v="560"/>
    <x v="0"/>
    <n v="1"/>
    <s v="Near Office"/>
    <s v="Master"/>
    <s v="Other"/>
    <n v="4"/>
    <s v="Male"/>
    <n v="91"/>
    <n v="3"/>
    <n v="1"/>
    <s v="Research Scientist"/>
    <s v="Low"/>
    <s v="Divorced"/>
    <n v="2996"/>
    <s v="Low (&lt;5k)"/>
    <n v="20284"/>
    <n v="5"/>
    <x v="0"/>
    <n v="14"/>
    <n v="3"/>
    <n v="3"/>
    <n v="2"/>
    <n v="10"/>
    <n v="2"/>
    <s v="Better"/>
    <n v="4"/>
    <x v="1"/>
    <n v="3"/>
    <n v="1"/>
    <n v="3"/>
  </r>
  <r>
    <n v="34"/>
    <s v="Middle Aged"/>
    <n v="0"/>
    <s v="Travel_Rarely"/>
    <n v="401"/>
    <x v="0"/>
    <n v="1"/>
    <s v="Near Office"/>
    <s v="Bachelor"/>
    <s v="Life Sciences"/>
    <n v="4"/>
    <s v="Female"/>
    <n v="86"/>
    <n v="2"/>
    <n v="1"/>
    <s v="Laboratory Technician"/>
    <s v="Medium"/>
    <s v="Married"/>
    <n v="3294"/>
    <s v="Low (&lt;5k)"/>
    <n v="3708"/>
    <n v="5"/>
    <x v="0"/>
    <n v="17"/>
    <n v="3"/>
    <n v="1"/>
    <n v="1"/>
    <n v="7"/>
    <n v="2"/>
    <s v="Good"/>
    <n v="5"/>
    <x v="1"/>
    <n v="4"/>
    <n v="0"/>
    <n v="2"/>
  </r>
  <r>
    <n v="34"/>
    <s v="Middle Aged"/>
    <n v="1"/>
    <s v="Travel_Rarely"/>
    <n v="1107"/>
    <x v="2"/>
    <n v="9"/>
    <s v="Moderate"/>
    <s v="Master"/>
    <s v="Technical Degree"/>
    <n v="1"/>
    <s v="Female"/>
    <n v="52"/>
    <n v="3"/>
    <n v="1"/>
    <s v="Human Resources"/>
    <s v="High"/>
    <s v="Married"/>
    <n v="2742"/>
    <s v="Low (&lt;5k)"/>
    <n v="3072"/>
    <n v="1"/>
    <x v="0"/>
    <n v="15"/>
    <n v="3"/>
    <n v="4"/>
    <n v="0"/>
    <n v="2"/>
    <n v="0"/>
    <s v="Better"/>
    <n v="2"/>
    <x v="0"/>
    <n v="2"/>
    <n v="2"/>
    <n v="2"/>
  </r>
  <r>
    <n v="34"/>
    <s v="Middle Aged"/>
    <n v="0"/>
    <s v="Travel_Rarely"/>
    <n v="1326"/>
    <x v="1"/>
    <n v="3"/>
    <s v="Near Office"/>
    <s v="Bachelor"/>
    <s v="Other"/>
    <n v="4"/>
    <s v="Male"/>
    <n v="81"/>
    <n v="1"/>
    <n v="2"/>
    <s v="Sales Executive"/>
    <s v="Low"/>
    <s v="Single"/>
    <n v="4759"/>
    <s v="Low (&lt;5k)"/>
    <n v="15891"/>
    <n v="3"/>
    <x v="0"/>
    <n v="18"/>
    <n v="3"/>
    <n v="4"/>
    <n v="0"/>
    <n v="15"/>
    <n v="2"/>
    <s v="Better"/>
    <n v="13"/>
    <x v="2"/>
    <n v="9"/>
    <n v="3"/>
    <n v="12"/>
  </r>
  <r>
    <n v="34"/>
    <s v="Middle Aged"/>
    <n v="0"/>
    <s v="Travel_Frequently"/>
    <n v="829"/>
    <x v="0"/>
    <n v="15"/>
    <s v="Moderate"/>
    <s v="Bachelor"/>
    <s v="Medical"/>
    <n v="2"/>
    <s v="Male"/>
    <n v="71"/>
    <n v="3"/>
    <n v="4"/>
    <s v="Research Director"/>
    <s v="Low"/>
    <s v="Divorced"/>
    <n v="17007"/>
    <s v="High (&gt;10k)"/>
    <n v="11929"/>
    <n v="7"/>
    <x v="0"/>
    <n v="14"/>
    <n v="3"/>
    <n v="4"/>
    <n v="2"/>
    <n v="16"/>
    <n v="3"/>
    <s v="Good"/>
    <n v="14"/>
    <x v="2"/>
    <n v="8"/>
    <n v="6"/>
    <n v="9"/>
  </r>
  <r>
    <n v="34"/>
    <s v="Middle Aged"/>
    <n v="1"/>
    <s v="Travel_Rarely"/>
    <n v="790"/>
    <x v="1"/>
    <n v="24"/>
    <s v="Long Commute"/>
    <s v="Master"/>
    <s v="Medical"/>
    <n v="1"/>
    <s v="Female"/>
    <n v="40"/>
    <n v="2"/>
    <n v="2"/>
    <s v="Sales Executive"/>
    <s v="Medium"/>
    <s v="Single"/>
    <n v="4599"/>
    <s v="Low (&lt;5k)"/>
    <n v="7815"/>
    <n v="0"/>
    <x v="1"/>
    <n v="23"/>
    <n v="4"/>
    <n v="3"/>
    <n v="0"/>
    <n v="16"/>
    <n v="2"/>
    <s v="Best"/>
    <n v="15"/>
    <x v="2"/>
    <n v="9"/>
    <n v="10"/>
    <n v="10"/>
  </r>
  <r>
    <n v="34"/>
    <s v="Middle Aged"/>
    <n v="0"/>
    <s v="Travel_Rarely"/>
    <n v="971"/>
    <x v="1"/>
    <n v="1"/>
    <s v="Near Office"/>
    <s v="Bachelor"/>
    <s v="Technical Degree"/>
    <n v="4"/>
    <s v="Male"/>
    <n v="64"/>
    <n v="2"/>
    <n v="3"/>
    <s v="Sales Executive"/>
    <s v="High"/>
    <s v="Married"/>
    <n v="7083"/>
    <s v="Medium (5k-10k)"/>
    <n v="12288"/>
    <n v="1"/>
    <x v="1"/>
    <n v="14"/>
    <n v="3"/>
    <n v="4"/>
    <n v="0"/>
    <n v="10"/>
    <n v="3"/>
    <s v="Better"/>
    <n v="10"/>
    <x v="2"/>
    <n v="9"/>
    <n v="8"/>
    <n v="6"/>
  </r>
  <r>
    <n v="34"/>
    <s v="Middle Aged"/>
    <n v="0"/>
    <s v="Travel_Rarely"/>
    <n v="1440"/>
    <x v="1"/>
    <n v="7"/>
    <s v="Moderate"/>
    <s v="College"/>
    <s v="Technical Degree"/>
    <n v="2"/>
    <s v="Male"/>
    <n v="55"/>
    <n v="3"/>
    <n v="1"/>
    <s v="Sales Representative"/>
    <s v="High"/>
    <s v="Married"/>
    <n v="2308"/>
    <s v="Low (&lt;5k)"/>
    <n v="4944"/>
    <n v="0"/>
    <x v="1"/>
    <n v="25"/>
    <n v="4"/>
    <n v="2"/>
    <n v="1"/>
    <n v="12"/>
    <n v="4"/>
    <s v="Better"/>
    <n v="11"/>
    <x v="2"/>
    <n v="10"/>
    <n v="5"/>
    <n v="7"/>
  </r>
  <r>
    <n v="34"/>
    <s v="Middle Aged"/>
    <n v="0"/>
    <s v="Travel_Rarely"/>
    <n v="479"/>
    <x v="0"/>
    <n v="7"/>
    <s v="Moderate"/>
    <s v="Master"/>
    <s v="Medical"/>
    <n v="1"/>
    <s v="Male"/>
    <n v="35"/>
    <n v="3"/>
    <n v="1"/>
    <s v="Research Scientist"/>
    <s v="Very High"/>
    <s v="Single"/>
    <n v="2972"/>
    <s v="Low (&lt;5k)"/>
    <n v="22061"/>
    <n v="1"/>
    <x v="0"/>
    <n v="13"/>
    <n v="3"/>
    <n v="3"/>
    <n v="0"/>
    <n v="1"/>
    <n v="4"/>
    <s v="Bad"/>
    <n v="1"/>
    <x v="0"/>
    <n v="0"/>
    <n v="0"/>
    <n v="0"/>
  </r>
  <r>
    <n v="34"/>
    <s v="Middle Aged"/>
    <n v="0"/>
    <s v="Travel_Rarely"/>
    <n v="1351"/>
    <x v="0"/>
    <n v="1"/>
    <s v="Near Office"/>
    <s v="Master"/>
    <s v="Life Sciences"/>
    <n v="2"/>
    <s v="Male"/>
    <n v="45"/>
    <n v="3"/>
    <n v="2"/>
    <s v="Research Scientist"/>
    <s v="Very High"/>
    <s v="Married"/>
    <n v="5484"/>
    <s v="Medium (5k-10k)"/>
    <n v="13008"/>
    <n v="9"/>
    <x v="0"/>
    <n v="17"/>
    <n v="3"/>
    <n v="2"/>
    <n v="1"/>
    <n v="9"/>
    <n v="3"/>
    <s v="Good"/>
    <n v="2"/>
    <x v="0"/>
    <n v="2"/>
    <n v="2"/>
    <n v="1"/>
  </r>
  <r>
    <n v="34"/>
    <s v="Middle Aged"/>
    <n v="0"/>
    <s v="Travel_Frequently"/>
    <n v="653"/>
    <x v="0"/>
    <n v="10"/>
    <s v="Moderate"/>
    <s v="Master"/>
    <s v="Technical Degree"/>
    <n v="4"/>
    <s v="Male"/>
    <n v="92"/>
    <n v="2"/>
    <n v="2"/>
    <s v="Healthcare Representative"/>
    <s v="High"/>
    <s v="Married"/>
    <n v="5063"/>
    <s v="Medium (5k-10k)"/>
    <n v="15332"/>
    <n v="1"/>
    <x v="0"/>
    <n v="14"/>
    <n v="3"/>
    <n v="2"/>
    <n v="1"/>
    <n v="8"/>
    <n v="3"/>
    <s v="Good"/>
    <n v="8"/>
    <x v="1"/>
    <n v="2"/>
    <n v="7"/>
    <n v="7"/>
  </r>
  <r>
    <n v="34"/>
    <s v="Middle Aged"/>
    <n v="0"/>
    <s v="Travel_Frequently"/>
    <n v="426"/>
    <x v="0"/>
    <n v="10"/>
    <s v="Moderate"/>
    <s v="Master"/>
    <s v="Life Sciences"/>
    <n v="3"/>
    <s v="Male"/>
    <n v="42"/>
    <n v="4"/>
    <n v="2"/>
    <s v="Manufacturing Director"/>
    <s v="Very High"/>
    <s v="Divorced"/>
    <n v="4724"/>
    <s v="Low (&lt;5k)"/>
    <n v="17000"/>
    <n v="1"/>
    <x v="0"/>
    <n v="13"/>
    <n v="3"/>
    <n v="1"/>
    <n v="1"/>
    <n v="9"/>
    <n v="3"/>
    <s v="Better"/>
    <n v="9"/>
    <x v="1"/>
    <n v="7"/>
    <n v="7"/>
    <n v="2"/>
  </r>
  <r>
    <n v="34"/>
    <s v="Middle Aged"/>
    <n v="0"/>
    <s v="Travel_Rarely"/>
    <n v="1130"/>
    <x v="0"/>
    <n v="3"/>
    <s v="Near Office"/>
    <s v="Bachelor"/>
    <s v="Life Sciences"/>
    <n v="4"/>
    <s v="Female"/>
    <n v="66"/>
    <n v="3"/>
    <n v="2"/>
    <s v="Research Scientist"/>
    <s v="Medium"/>
    <s v="Divorced"/>
    <n v="5433"/>
    <s v="Medium (5k-10k)"/>
    <n v="19332"/>
    <n v="1"/>
    <x v="0"/>
    <n v="12"/>
    <n v="3"/>
    <n v="3"/>
    <n v="1"/>
    <n v="11"/>
    <n v="2"/>
    <s v="Better"/>
    <n v="11"/>
    <x v="2"/>
    <n v="8"/>
    <n v="7"/>
    <n v="9"/>
  </r>
  <r>
    <n v="34"/>
    <s v="Middle Aged"/>
    <n v="0"/>
    <s v="Travel_Rarely"/>
    <n v="1157"/>
    <x v="0"/>
    <n v="5"/>
    <s v="Near Office"/>
    <s v="College"/>
    <s v="Medical"/>
    <n v="2"/>
    <s v="Male"/>
    <n v="57"/>
    <n v="2"/>
    <n v="2"/>
    <s v="Laboratory Technician"/>
    <s v="Very High"/>
    <s v="Married"/>
    <n v="3986"/>
    <s v="Low (&lt;5k)"/>
    <n v="11912"/>
    <n v="1"/>
    <x v="0"/>
    <n v="14"/>
    <n v="3"/>
    <n v="3"/>
    <n v="1"/>
    <n v="15"/>
    <n v="3"/>
    <s v="Best"/>
    <n v="15"/>
    <x v="2"/>
    <n v="10"/>
    <n v="4"/>
    <n v="13"/>
  </r>
  <r>
    <n v="34"/>
    <s v="Middle Aged"/>
    <n v="0"/>
    <s v="Travel_Rarely"/>
    <n v="678"/>
    <x v="0"/>
    <n v="19"/>
    <s v="Long Commute"/>
    <s v="Bachelor"/>
    <s v="Life Sciences"/>
    <n v="2"/>
    <s v="Female"/>
    <n v="35"/>
    <n v="2"/>
    <n v="1"/>
    <s v="Research Scientist"/>
    <s v="Very High"/>
    <s v="Married"/>
    <n v="2929"/>
    <s v="Low (&lt;5k)"/>
    <n v="20338"/>
    <n v="1"/>
    <x v="0"/>
    <n v="12"/>
    <n v="3"/>
    <n v="2"/>
    <n v="0"/>
    <n v="10"/>
    <n v="3"/>
    <s v="Better"/>
    <n v="10"/>
    <x v="2"/>
    <n v="9"/>
    <n v="8"/>
    <n v="7"/>
  </r>
  <r>
    <n v="34"/>
    <s v="Middle Aged"/>
    <n v="0"/>
    <s v="Travel_Rarely"/>
    <n v="181"/>
    <x v="0"/>
    <n v="2"/>
    <s v="Near Office"/>
    <s v="Master"/>
    <s v="Medical"/>
    <n v="4"/>
    <s v="Male"/>
    <n v="97"/>
    <n v="4"/>
    <n v="1"/>
    <s v="Research Scientist"/>
    <s v="Very High"/>
    <s v="Married"/>
    <n v="2932"/>
    <s v="Low (&lt;5k)"/>
    <n v="5586"/>
    <n v="0"/>
    <x v="1"/>
    <n v="14"/>
    <n v="3"/>
    <n v="1"/>
    <n v="3"/>
    <n v="6"/>
    <n v="3"/>
    <s v="Better"/>
    <n v="5"/>
    <x v="1"/>
    <n v="0"/>
    <n v="1"/>
    <n v="2"/>
  </r>
  <r>
    <n v="34"/>
    <s v="Middle Aged"/>
    <n v="0"/>
    <s v="Non-Travel"/>
    <n v="1375"/>
    <x v="1"/>
    <n v="10"/>
    <s v="Moderate"/>
    <s v="Bachelor"/>
    <s v="Life Sciences"/>
    <n v="4"/>
    <s v="Male"/>
    <n v="87"/>
    <n v="3"/>
    <n v="2"/>
    <s v="Sales Executive"/>
    <s v="High"/>
    <s v="Divorced"/>
    <n v="4001"/>
    <s v="Low (&lt;5k)"/>
    <n v="12313"/>
    <n v="1"/>
    <x v="1"/>
    <n v="14"/>
    <n v="3"/>
    <n v="3"/>
    <n v="1"/>
    <n v="15"/>
    <n v="3"/>
    <s v="Better"/>
    <n v="15"/>
    <x v="2"/>
    <n v="14"/>
    <n v="0"/>
    <n v="7"/>
  </r>
  <r>
    <n v="34"/>
    <s v="Middle Aged"/>
    <n v="0"/>
    <s v="Travel_Rarely"/>
    <n v="511"/>
    <x v="1"/>
    <n v="3"/>
    <s v="Near Office"/>
    <s v="College"/>
    <s v="Life Sciences"/>
    <n v="4"/>
    <s v="Female"/>
    <n v="32"/>
    <n v="1"/>
    <n v="2"/>
    <s v="Sales Executive"/>
    <s v="Very High"/>
    <s v="Single"/>
    <n v="6029"/>
    <s v="Medium (5k-10k)"/>
    <n v="25353"/>
    <n v="5"/>
    <x v="0"/>
    <n v="12"/>
    <n v="3"/>
    <n v="1"/>
    <n v="0"/>
    <n v="6"/>
    <n v="3"/>
    <s v="Better"/>
    <n v="2"/>
    <x v="0"/>
    <n v="2"/>
    <n v="2"/>
    <n v="2"/>
  </r>
  <r>
    <n v="34"/>
    <s v="Middle Aged"/>
    <n v="1"/>
    <s v="Travel_Frequently"/>
    <n v="234"/>
    <x v="0"/>
    <n v="9"/>
    <s v="Moderate"/>
    <s v="Master"/>
    <s v="Life Sciences"/>
    <n v="4"/>
    <s v="Male"/>
    <n v="93"/>
    <n v="3"/>
    <n v="2"/>
    <s v="Laboratory Technician"/>
    <s v="Low"/>
    <s v="Married"/>
    <n v="5346"/>
    <s v="Medium (5k-10k)"/>
    <n v="6208"/>
    <n v="4"/>
    <x v="0"/>
    <n v="17"/>
    <n v="3"/>
    <n v="3"/>
    <n v="1"/>
    <n v="11"/>
    <n v="3"/>
    <s v="Good"/>
    <n v="7"/>
    <x v="1"/>
    <n v="1"/>
    <n v="0"/>
    <n v="7"/>
  </r>
  <r>
    <n v="34"/>
    <s v="Middle Aged"/>
    <n v="0"/>
    <s v="Travel_Rarely"/>
    <n v="810"/>
    <x v="1"/>
    <n v="8"/>
    <s v="Moderate"/>
    <s v="College"/>
    <s v="Technical Degree"/>
    <n v="2"/>
    <s v="Male"/>
    <n v="92"/>
    <n v="4"/>
    <n v="2"/>
    <s v="Sales Executive"/>
    <s v="High"/>
    <s v="Married"/>
    <n v="6799"/>
    <s v="Medium (5k-10k)"/>
    <n v="22128"/>
    <n v="1"/>
    <x v="0"/>
    <n v="21"/>
    <n v="4"/>
    <n v="3"/>
    <n v="2"/>
    <n v="10"/>
    <n v="5"/>
    <s v="Better"/>
    <n v="10"/>
    <x v="2"/>
    <n v="8"/>
    <n v="4"/>
    <n v="8"/>
  </r>
  <r>
    <n v="34"/>
    <s v="Middle Aged"/>
    <n v="0"/>
    <s v="Travel_Rarely"/>
    <n v="1480"/>
    <x v="1"/>
    <n v="4"/>
    <s v="Near Office"/>
    <s v="Bachelor"/>
    <s v="Life Sciences"/>
    <n v="3"/>
    <s v="Male"/>
    <n v="64"/>
    <n v="3"/>
    <n v="3"/>
    <s v="Sales Executive"/>
    <s v="Very High"/>
    <s v="Married"/>
    <n v="9713"/>
    <s v="Medium (5k-10k)"/>
    <n v="24444"/>
    <n v="2"/>
    <x v="1"/>
    <n v="13"/>
    <n v="3"/>
    <n v="4"/>
    <n v="3"/>
    <n v="9"/>
    <n v="3"/>
    <s v="Better"/>
    <n v="5"/>
    <x v="1"/>
    <n v="3"/>
    <n v="1"/>
    <n v="0"/>
  </r>
  <r>
    <n v="34"/>
    <s v="Middle Aged"/>
    <n v="1"/>
    <s v="Non-Travel"/>
    <n v="967"/>
    <x v="0"/>
    <n v="16"/>
    <s v="Long Commute"/>
    <s v="Master"/>
    <s v="Technical Degree"/>
    <n v="4"/>
    <s v="Male"/>
    <n v="85"/>
    <n v="1"/>
    <n v="1"/>
    <s v="Research Scientist"/>
    <s v="Low"/>
    <s v="Married"/>
    <n v="2307"/>
    <s v="Low (&lt;5k)"/>
    <n v="14460"/>
    <n v="1"/>
    <x v="1"/>
    <n v="23"/>
    <n v="4"/>
    <n v="2"/>
    <n v="1"/>
    <n v="5"/>
    <n v="2"/>
    <s v="Better"/>
    <n v="5"/>
    <x v="1"/>
    <n v="2"/>
    <n v="3"/>
    <n v="0"/>
  </r>
  <r>
    <n v="34"/>
    <s v="Middle Aged"/>
    <n v="0"/>
    <s v="Travel_Rarely"/>
    <n v="735"/>
    <x v="1"/>
    <n v="3"/>
    <s v="Near Office"/>
    <s v="Below College"/>
    <s v="Medical"/>
    <n v="4"/>
    <s v="Female"/>
    <n v="75"/>
    <n v="2"/>
    <n v="2"/>
    <s v="Sales Executive"/>
    <s v="Very High"/>
    <s v="Married"/>
    <n v="8103"/>
    <s v="Medium (5k-10k)"/>
    <n v="16495"/>
    <n v="3"/>
    <x v="1"/>
    <n v="12"/>
    <n v="3"/>
    <n v="3"/>
    <n v="0"/>
    <n v="9"/>
    <n v="3"/>
    <s v="Good"/>
    <n v="4"/>
    <x v="1"/>
    <n v="2"/>
    <n v="0"/>
    <n v="1"/>
  </r>
  <r>
    <n v="34"/>
    <s v="Middle Aged"/>
    <n v="0"/>
    <s v="Travel_Frequently"/>
    <n v="735"/>
    <x v="0"/>
    <n v="22"/>
    <s v="Long Commute"/>
    <s v="Master"/>
    <s v="Other"/>
    <n v="3"/>
    <s v="Male"/>
    <n v="86"/>
    <n v="2"/>
    <n v="2"/>
    <s v="Research Scientist"/>
    <s v="Very High"/>
    <s v="Married"/>
    <n v="5747"/>
    <s v="Medium (5k-10k)"/>
    <n v="26496"/>
    <n v="1"/>
    <x v="1"/>
    <n v="15"/>
    <n v="3"/>
    <n v="2"/>
    <n v="0"/>
    <n v="16"/>
    <n v="3"/>
    <s v="Better"/>
    <n v="15"/>
    <x v="2"/>
    <n v="10"/>
    <n v="6"/>
    <n v="11"/>
  </r>
  <r>
    <n v="34"/>
    <s v="Middle Aged"/>
    <n v="0"/>
    <s v="Travel_Rarely"/>
    <n v="937"/>
    <x v="1"/>
    <n v="1"/>
    <s v="Near Office"/>
    <s v="Bachelor"/>
    <s v="Marketing"/>
    <n v="1"/>
    <s v="Male"/>
    <n v="32"/>
    <n v="3"/>
    <n v="3"/>
    <s v="Sales Executive"/>
    <s v="Very High"/>
    <s v="Single"/>
    <n v="9888"/>
    <s v="Medium (5k-10k)"/>
    <n v="6770"/>
    <n v="1"/>
    <x v="0"/>
    <n v="21"/>
    <n v="4"/>
    <n v="1"/>
    <n v="0"/>
    <n v="14"/>
    <n v="3"/>
    <s v="Good"/>
    <n v="14"/>
    <x v="2"/>
    <n v="8"/>
    <n v="2"/>
    <n v="1"/>
  </r>
  <r>
    <n v="34"/>
    <s v="Middle Aged"/>
    <n v="0"/>
    <s v="Travel_Rarely"/>
    <n v="1239"/>
    <x v="1"/>
    <n v="13"/>
    <s v="Moderate"/>
    <s v="Master"/>
    <s v="Medical"/>
    <n v="4"/>
    <s v="Male"/>
    <n v="39"/>
    <n v="3"/>
    <n v="3"/>
    <s v="Sales Executive"/>
    <s v="High"/>
    <s v="Divorced"/>
    <n v="8628"/>
    <s v="Medium (5k-10k)"/>
    <n v="22914"/>
    <n v="1"/>
    <x v="0"/>
    <n v="18"/>
    <n v="3"/>
    <n v="3"/>
    <n v="1"/>
    <n v="9"/>
    <n v="2"/>
    <s v="Good"/>
    <n v="8"/>
    <x v="1"/>
    <n v="7"/>
    <n v="1"/>
    <n v="1"/>
  </r>
  <r>
    <n v="34"/>
    <s v="Middle Aged"/>
    <n v="0"/>
    <s v="Travel_Rarely"/>
    <n v="704"/>
    <x v="1"/>
    <n v="28"/>
    <s v="Long Commute"/>
    <s v="Bachelor"/>
    <s v="Marketing"/>
    <n v="4"/>
    <s v="Female"/>
    <n v="95"/>
    <n v="2"/>
    <n v="2"/>
    <s v="Sales Executive"/>
    <s v="High"/>
    <s v="Married"/>
    <n v="6712"/>
    <s v="Medium (5k-10k)"/>
    <n v="8978"/>
    <n v="1"/>
    <x v="0"/>
    <n v="21"/>
    <n v="4"/>
    <n v="4"/>
    <n v="2"/>
    <n v="8"/>
    <n v="2"/>
    <s v="Better"/>
    <n v="8"/>
    <x v="1"/>
    <n v="7"/>
    <n v="1"/>
    <n v="7"/>
  </r>
  <r>
    <n v="34"/>
    <s v="Middle Aged"/>
    <n v="0"/>
    <s v="Travel_Rarely"/>
    <n v="628"/>
    <x v="0"/>
    <n v="8"/>
    <s v="Moderate"/>
    <s v="Bachelor"/>
    <s v="Medical"/>
    <n v="2"/>
    <s v="Male"/>
    <n v="82"/>
    <n v="4"/>
    <n v="2"/>
    <s v="Laboratory Technician"/>
    <s v="High"/>
    <s v="Married"/>
    <n v="4404"/>
    <s v="Low (&lt;5k)"/>
    <n v="10228"/>
    <n v="2"/>
    <x v="0"/>
    <n v="12"/>
    <n v="3"/>
    <n v="1"/>
    <n v="0"/>
    <n v="6"/>
    <n v="3"/>
    <s v="Best"/>
    <n v="4"/>
    <x v="1"/>
    <n v="3"/>
    <n v="1"/>
    <n v="2"/>
  </r>
  <r>
    <n v="35"/>
    <s v="Middle Aged"/>
    <n v="0"/>
    <s v="Travel_Rarely"/>
    <n v="809"/>
    <x v="0"/>
    <n v="16"/>
    <s v="Long Commute"/>
    <s v="Bachelor"/>
    <s v="Medical"/>
    <n v="1"/>
    <s v="Male"/>
    <n v="84"/>
    <n v="4"/>
    <n v="1"/>
    <s v="Laboratory Technician"/>
    <s v="Medium"/>
    <s v="Married"/>
    <n v="2426"/>
    <s v="Low (&lt;5k)"/>
    <n v="16479"/>
    <n v="0"/>
    <x v="0"/>
    <n v="13"/>
    <n v="3"/>
    <n v="3"/>
    <n v="1"/>
    <n v="6"/>
    <n v="5"/>
    <s v="Better"/>
    <n v="5"/>
    <x v="1"/>
    <n v="4"/>
    <n v="0"/>
    <n v="3"/>
  </r>
  <r>
    <n v="35"/>
    <s v="Middle Aged"/>
    <n v="0"/>
    <s v="Travel_Rarely"/>
    <n v="890"/>
    <x v="1"/>
    <n v="2"/>
    <s v="Near Office"/>
    <s v="Bachelor"/>
    <s v="Marketing"/>
    <n v="4"/>
    <s v="Female"/>
    <n v="97"/>
    <n v="3"/>
    <n v="1"/>
    <s v="Sales Representative"/>
    <s v="Very High"/>
    <s v="Married"/>
    <n v="2014"/>
    <s v="Low (&lt;5k)"/>
    <n v="9687"/>
    <n v="1"/>
    <x v="0"/>
    <n v="13"/>
    <n v="3"/>
    <n v="1"/>
    <n v="0"/>
    <n v="2"/>
    <n v="3"/>
    <s v="Better"/>
    <n v="2"/>
    <x v="0"/>
    <n v="2"/>
    <n v="2"/>
    <n v="2"/>
  </r>
  <r>
    <n v="35"/>
    <s v="Middle Aged"/>
    <n v="0"/>
    <s v="Travel_Rarely"/>
    <n v="464"/>
    <x v="0"/>
    <n v="4"/>
    <s v="Near Office"/>
    <s v="College"/>
    <s v="Other"/>
    <n v="3"/>
    <s v="Male"/>
    <n v="75"/>
    <n v="3"/>
    <n v="1"/>
    <s v="Laboratory Technician"/>
    <s v="Very High"/>
    <s v="Divorced"/>
    <n v="1951"/>
    <s v="Low (&lt;5k)"/>
    <n v="10910"/>
    <n v="1"/>
    <x v="0"/>
    <n v="12"/>
    <n v="3"/>
    <n v="3"/>
    <n v="1"/>
    <n v="1"/>
    <n v="3"/>
    <s v="Better"/>
    <n v="1"/>
    <x v="0"/>
    <n v="0"/>
    <n v="0"/>
    <n v="0"/>
  </r>
  <r>
    <n v="35"/>
    <s v="Middle Aged"/>
    <n v="0"/>
    <s v="Travel_Rarely"/>
    <n v="1229"/>
    <x v="0"/>
    <n v="8"/>
    <s v="Moderate"/>
    <s v="Below College"/>
    <s v="Life Sciences"/>
    <n v="4"/>
    <s v="Male"/>
    <n v="36"/>
    <n v="4"/>
    <n v="1"/>
    <s v="Laboratory Technician"/>
    <s v="Very High"/>
    <s v="Married"/>
    <n v="2269"/>
    <s v="Low (&lt;5k)"/>
    <n v="4892"/>
    <n v="1"/>
    <x v="0"/>
    <n v="19"/>
    <n v="3"/>
    <n v="4"/>
    <n v="0"/>
    <n v="1"/>
    <n v="2"/>
    <s v="Better"/>
    <n v="1"/>
    <x v="0"/>
    <n v="0"/>
    <n v="0"/>
    <n v="1"/>
  </r>
  <r>
    <n v="35"/>
    <s v="Middle Aged"/>
    <n v="0"/>
    <s v="Non-Travel"/>
    <n v="1097"/>
    <x v="0"/>
    <n v="11"/>
    <s v="Moderate"/>
    <s v="College"/>
    <s v="Medical"/>
    <n v="3"/>
    <s v="Male"/>
    <n v="79"/>
    <n v="2"/>
    <n v="3"/>
    <s v="Healthcare Representative"/>
    <s v="Low"/>
    <s v="Married"/>
    <n v="9884"/>
    <s v="Medium (5k-10k)"/>
    <n v="8302"/>
    <n v="2"/>
    <x v="1"/>
    <n v="13"/>
    <n v="3"/>
    <n v="3"/>
    <n v="1"/>
    <n v="10"/>
    <n v="3"/>
    <s v="Better"/>
    <n v="4"/>
    <x v="1"/>
    <n v="0"/>
    <n v="2"/>
    <n v="3"/>
  </r>
  <r>
    <n v="35"/>
    <s v="Middle Aged"/>
    <n v="0"/>
    <s v="Travel_Frequently"/>
    <n v="853"/>
    <x v="1"/>
    <n v="18"/>
    <s v="Long Commute"/>
    <s v="Doctor"/>
    <s v="Life Sciences"/>
    <n v="2"/>
    <s v="Male"/>
    <n v="71"/>
    <n v="3"/>
    <n v="3"/>
    <s v="Sales Executive"/>
    <s v="Low"/>
    <s v="Married"/>
    <n v="9069"/>
    <s v="Medium (5k-10k)"/>
    <n v="11031"/>
    <n v="1"/>
    <x v="0"/>
    <n v="22"/>
    <n v="4"/>
    <n v="4"/>
    <n v="1"/>
    <n v="9"/>
    <n v="3"/>
    <s v="Good"/>
    <n v="9"/>
    <x v="1"/>
    <n v="8"/>
    <n v="1"/>
    <n v="8"/>
  </r>
  <r>
    <n v="35"/>
    <s v="Middle Aged"/>
    <n v="0"/>
    <s v="Travel_Rarely"/>
    <n v="1142"/>
    <x v="0"/>
    <n v="23"/>
    <s v="Long Commute"/>
    <s v="Master"/>
    <s v="Medical"/>
    <n v="3"/>
    <s v="Female"/>
    <n v="30"/>
    <n v="3"/>
    <n v="1"/>
    <s v="Laboratory Technician"/>
    <s v="Low"/>
    <s v="Married"/>
    <n v="4014"/>
    <s v="Low (&lt;5k)"/>
    <n v="16002"/>
    <n v="3"/>
    <x v="1"/>
    <n v="15"/>
    <n v="3"/>
    <n v="3"/>
    <n v="1"/>
    <n v="4"/>
    <n v="3"/>
    <s v="Better"/>
    <n v="2"/>
    <x v="0"/>
    <n v="2"/>
    <n v="2"/>
    <n v="2"/>
  </r>
  <r>
    <n v="35"/>
    <s v="Middle Aged"/>
    <n v="0"/>
    <s v="Travel_Frequently"/>
    <n v="664"/>
    <x v="0"/>
    <n v="1"/>
    <s v="Near Office"/>
    <s v="Bachelor"/>
    <s v="Medical"/>
    <n v="2"/>
    <s v="Male"/>
    <n v="79"/>
    <n v="3"/>
    <n v="1"/>
    <s v="Research Scientist"/>
    <s v="Low"/>
    <s v="Married"/>
    <n v="2194"/>
    <s v="Low (&lt;5k)"/>
    <n v="5868"/>
    <n v="4"/>
    <x v="0"/>
    <n v="13"/>
    <n v="3"/>
    <n v="4"/>
    <n v="1"/>
    <n v="5"/>
    <n v="2"/>
    <s v="Good"/>
    <n v="3"/>
    <x v="1"/>
    <n v="2"/>
    <n v="1"/>
    <n v="2"/>
  </r>
  <r>
    <n v="35"/>
    <s v="Middle Aged"/>
    <n v="0"/>
    <s v="Travel_Rarely"/>
    <n v="776"/>
    <x v="1"/>
    <n v="1"/>
    <s v="Near Office"/>
    <s v="Master"/>
    <s v="Marketing"/>
    <n v="3"/>
    <s v="Male"/>
    <n v="32"/>
    <n v="2"/>
    <n v="2"/>
    <s v="Sales Executive"/>
    <s v="Low"/>
    <s v="Single"/>
    <n v="4312"/>
    <s v="Low (&lt;5k)"/>
    <n v="23016"/>
    <n v="0"/>
    <x v="0"/>
    <n v="14"/>
    <n v="3"/>
    <n v="2"/>
    <n v="0"/>
    <n v="16"/>
    <n v="2"/>
    <s v="Better"/>
    <n v="15"/>
    <x v="2"/>
    <n v="13"/>
    <n v="2"/>
    <n v="8"/>
  </r>
  <r>
    <n v="35"/>
    <s v="Middle Aged"/>
    <n v="0"/>
    <s v="Travel_Rarely"/>
    <n v="1214"/>
    <x v="0"/>
    <n v="1"/>
    <s v="Near Office"/>
    <s v="Bachelor"/>
    <s v="Medical"/>
    <n v="2"/>
    <s v="Male"/>
    <n v="30"/>
    <n v="2"/>
    <n v="1"/>
    <s v="Research Scientist"/>
    <s v="High"/>
    <s v="Single"/>
    <n v="2859"/>
    <s v="Low (&lt;5k)"/>
    <n v="26278"/>
    <n v="1"/>
    <x v="0"/>
    <n v="18"/>
    <n v="3"/>
    <n v="1"/>
    <n v="0"/>
    <n v="6"/>
    <n v="3"/>
    <s v="Better"/>
    <n v="6"/>
    <x v="1"/>
    <n v="4"/>
    <n v="0"/>
    <n v="4"/>
  </r>
  <r>
    <n v="35"/>
    <s v="Middle Aged"/>
    <n v="0"/>
    <s v="Travel_Rarely"/>
    <n v="662"/>
    <x v="1"/>
    <n v="1"/>
    <s v="Near Office"/>
    <s v="Doctor"/>
    <s v="Marketing"/>
    <n v="3"/>
    <s v="Male"/>
    <n v="94"/>
    <n v="3"/>
    <n v="3"/>
    <s v="Sales Executive"/>
    <s v="Medium"/>
    <s v="Married"/>
    <n v="7295"/>
    <s v="Medium (5k-10k)"/>
    <n v="11439"/>
    <n v="1"/>
    <x v="0"/>
    <n v="13"/>
    <n v="3"/>
    <n v="1"/>
    <n v="2"/>
    <n v="10"/>
    <n v="3"/>
    <s v="Better"/>
    <n v="10"/>
    <x v="2"/>
    <n v="8"/>
    <n v="0"/>
    <n v="6"/>
  </r>
  <r>
    <n v="35"/>
    <s v="Middle Aged"/>
    <n v="1"/>
    <s v="Travel_Rarely"/>
    <n v="556"/>
    <x v="0"/>
    <n v="23"/>
    <s v="Long Commute"/>
    <s v="College"/>
    <s v="Life Sciences"/>
    <n v="2"/>
    <s v="Male"/>
    <n v="50"/>
    <n v="2"/>
    <n v="2"/>
    <s v="Manufacturing Director"/>
    <s v="High"/>
    <s v="Married"/>
    <n v="5916"/>
    <s v="Medium (5k-10k)"/>
    <n v="15497"/>
    <n v="3"/>
    <x v="1"/>
    <n v="13"/>
    <n v="3"/>
    <n v="1"/>
    <n v="0"/>
    <n v="8"/>
    <n v="1"/>
    <s v="Better"/>
    <n v="1"/>
    <x v="0"/>
    <n v="0"/>
    <n v="0"/>
    <n v="1"/>
  </r>
  <r>
    <n v="35"/>
    <s v="Middle Aged"/>
    <n v="0"/>
    <s v="Travel_Frequently"/>
    <n v="138"/>
    <x v="0"/>
    <n v="2"/>
    <s v="Near Office"/>
    <s v="Bachelor"/>
    <s v="Medical"/>
    <n v="2"/>
    <s v="Female"/>
    <n v="37"/>
    <n v="3"/>
    <n v="2"/>
    <s v="Laboratory Technician"/>
    <s v="Medium"/>
    <s v="Single"/>
    <n v="4425"/>
    <s v="Low (&lt;5k)"/>
    <n v="15986"/>
    <n v="5"/>
    <x v="0"/>
    <n v="11"/>
    <n v="3"/>
    <n v="4"/>
    <n v="0"/>
    <n v="10"/>
    <n v="5"/>
    <s v="Better"/>
    <n v="6"/>
    <x v="1"/>
    <n v="2"/>
    <n v="1"/>
    <n v="2"/>
  </r>
  <r>
    <n v="35"/>
    <s v="Middle Aged"/>
    <n v="0"/>
    <s v="Travel_Frequently"/>
    <n v="944"/>
    <x v="1"/>
    <n v="1"/>
    <s v="Near Office"/>
    <s v="Bachelor"/>
    <s v="Marketing"/>
    <n v="3"/>
    <s v="Female"/>
    <n v="92"/>
    <n v="3"/>
    <n v="3"/>
    <s v="Sales Executive"/>
    <s v="High"/>
    <s v="Single"/>
    <n v="8789"/>
    <s v="Medium (5k-10k)"/>
    <n v="9096"/>
    <n v="1"/>
    <x v="0"/>
    <n v="14"/>
    <n v="3"/>
    <n v="1"/>
    <n v="0"/>
    <n v="10"/>
    <n v="3"/>
    <s v="Best"/>
    <n v="10"/>
    <x v="2"/>
    <n v="7"/>
    <n v="0"/>
    <n v="8"/>
  </r>
  <r>
    <n v="35"/>
    <s v="Middle Aged"/>
    <n v="0"/>
    <s v="Travel_Rarely"/>
    <n v="1315"/>
    <x v="0"/>
    <n v="22"/>
    <s v="Long Commute"/>
    <s v="Bachelor"/>
    <s v="Life Sciences"/>
    <n v="2"/>
    <s v="Female"/>
    <n v="71"/>
    <n v="4"/>
    <n v="3"/>
    <s v="Manager"/>
    <s v="Medium"/>
    <s v="Divorced"/>
    <n v="11996"/>
    <s v="High (&gt;10k)"/>
    <n v="19100"/>
    <n v="7"/>
    <x v="0"/>
    <n v="18"/>
    <n v="3"/>
    <n v="2"/>
    <n v="1"/>
    <n v="10"/>
    <n v="6"/>
    <s v="Good"/>
    <n v="7"/>
    <x v="1"/>
    <n v="7"/>
    <n v="6"/>
    <n v="2"/>
  </r>
  <r>
    <n v="35"/>
    <s v="Middle Aged"/>
    <n v="0"/>
    <s v="Travel_Rarely"/>
    <n v="1232"/>
    <x v="1"/>
    <n v="16"/>
    <s v="Long Commute"/>
    <s v="Bachelor"/>
    <s v="Marketing"/>
    <n v="3"/>
    <s v="Male"/>
    <n v="96"/>
    <n v="3"/>
    <n v="3"/>
    <s v="Sales Executive"/>
    <s v="Medium"/>
    <s v="Married"/>
    <n v="8020"/>
    <s v="Medium (5k-10k)"/>
    <n v="5100"/>
    <n v="0"/>
    <x v="0"/>
    <n v="15"/>
    <n v="3"/>
    <n v="3"/>
    <n v="2"/>
    <n v="12"/>
    <n v="3"/>
    <s v="Good"/>
    <n v="11"/>
    <x v="2"/>
    <n v="9"/>
    <n v="6"/>
    <n v="9"/>
  </r>
  <r>
    <n v="35"/>
    <s v="Middle Aged"/>
    <n v="0"/>
    <s v="Travel_Rarely"/>
    <n v="1296"/>
    <x v="0"/>
    <n v="5"/>
    <s v="Near Office"/>
    <s v="Master"/>
    <s v="Technical Degree"/>
    <n v="3"/>
    <s v="Male"/>
    <n v="62"/>
    <n v="3"/>
    <n v="3"/>
    <s v="Manufacturing Director"/>
    <s v="Medium"/>
    <s v="Single"/>
    <n v="8095"/>
    <s v="Medium (5k-10k)"/>
    <n v="18264"/>
    <n v="0"/>
    <x v="0"/>
    <n v="13"/>
    <n v="3"/>
    <n v="4"/>
    <n v="0"/>
    <n v="17"/>
    <n v="5"/>
    <s v="Better"/>
    <n v="16"/>
    <x v="2"/>
    <n v="6"/>
    <n v="0"/>
    <n v="13"/>
  </r>
  <r>
    <n v="35"/>
    <s v="Middle Aged"/>
    <n v="0"/>
    <s v="Travel_Rarely"/>
    <n v="755"/>
    <x v="0"/>
    <n v="9"/>
    <s v="Moderate"/>
    <s v="Master"/>
    <s v="Life Sciences"/>
    <n v="3"/>
    <s v="Male"/>
    <n v="97"/>
    <n v="2"/>
    <n v="2"/>
    <s v="Healthcare Representative"/>
    <s v="Medium"/>
    <s v="Single"/>
    <n v="6540"/>
    <s v="Medium (5k-10k)"/>
    <n v="19394"/>
    <n v="9"/>
    <x v="0"/>
    <n v="19"/>
    <n v="3"/>
    <n v="3"/>
    <n v="0"/>
    <n v="10"/>
    <n v="5"/>
    <s v="Better"/>
    <n v="1"/>
    <x v="0"/>
    <n v="1"/>
    <n v="0"/>
    <n v="0"/>
  </r>
  <r>
    <n v="35"/>
    <s v="Middle Aged"/>
    <n v="0"/>
    <s v="Travel_Rarely"/>
    <n v="144"/>
    <x v="0"/>
    <n v="22"/>
    <s v="Long Commute"/>
    <s v="Bachelor"/>
    <s v="Life Sciences"/>
    <n v="4"/>
    <s v="Male"/>
    <n v="46"/>
    <n v="1"/>
    <n v="1"/>
    <s v="Laboratory Technician"/>
    <s v="High"/>
    <s v="Single"/>
    <n v="4230"/>
    <s v="Low (&lt;5k)"/>
    <n v="19225"/>
    <n v="0"/>
    <x v="0"/>
    <n v="15"/>
    <n v="3"/>
    <n v="3"/>
    <n v="0"/>
    <n v="6"/>
    <n v="2"/>
    <s v="Better"/>
    <n v="5"/>
    <x v="1"/>
    <n v="4"/>
    <n v="4"/>
    <n v="3"/>
  </r>
  <r>
    <n v="35"/>
    <s v="Middle Aged"/>
    <n v="0"/>
    <s v="Travel_Rarely"/>
    <n v="1276"/>
    <x v="0"/>
    <n v="16"/>
    <s v="Long Commute"/>
    <s v="Bachelor"/>
    <s v="Life Sciences"/>
    <n v="4"/>
    <s v="Male"/>
    <n v="72"/>
    <n v="3"/>
    <n v="3"/>
    <s v="Healthcare Representative"/>
    <s v="High"/>
    <s v="Married"/>
    <n v="7632"/>
    <s v="Medium (5k-10k)"/>
    <n v="14295"/>
    <n v="4"/>
    <x v="1"/>
    <n v="12"/>
    <n v="3"/>
    <n v="3"/>
    <n v="0"/>
    <n v="10"/>
    <n v="2"/>
    <s v="Better"/>
    <n v="8"/>
    <x v="1"/>
    <n v="7"/>
    <n v="0"/>
    <n v="0"/>
  </r>
  <r>
    <n v="35"/>
    <s v="Middle Aged"/>
    <n v="0"/>
    <s v="Travel_Rarely"/>
    <n v="619"/>
    <x v="1"/>
    <n v="1"/>
    <s v="Near Office"/>
    <s v="Bachelor"/>
    <s v="Marketing"/>
    <n v="2"/>
    <s v="Male"/>
    <n v="85"/>
    <n v="3"/>
    <n v="2"/>
    <s v="Sales Executive"/>
    <s v="High"/>
    <s v="Married"/>
    <n v="4717"/>
    <s v="Low (&lt;5k)"/>
    <n v="18659"/>
    <n v="9"/>
    <x v="0"/>
    <n v="11"/>
    <n v="3"/>
    <n v="3"/>
    <n v="0"/>
    <n v="15"/>
    <n v="2"/>
    <s v="Better"/>
    <n v="11"/>
    <x v="2"/>
    <n v="9"/>
    <n v="6"/>
    <n v="9"/>
  </r>
  <r>
    <n v="35"/>
    <s v="Middle Aged"/>
    <n v="0"/>
    <s v="Travel_Rarely"/>
    <n v="195"/>
    <x v="1"/>
    <n v="1"/>
    <s v="Near Office"/>
    <s v="Bachelor"/>
    <s v="Medical"/>
    <n v="1"/>
    <s v="Female"/>
    <n v="80"/>
    <n v="3"/>
    <n v="2"/>
    <s v="Sales Executive"/>
    <s v="High"/>
    <s v="Single"/>
    <n v="4859"/>
    <s v="Low (&lt;5k)"/>
    <n v="6698"/>
    <n v="1"/>
    <x v="0"/>
    <n v="16"/>
    <n v="3"/>
    <n v="4"/>
    <n v="0"/>
    <n v="5"/>
    <n v="3"/>
    <s v="Better"/>
    <n v="5"/>
    <x v="1"/>
    <n v="4"/>
    <n v="0"/>
    <n v="3"/>
  </r>
  <r>
    <n v="35"/>
    <s v="Middle Aged"/>
    <n v="0"/>
    <s v="Travel_Rarely"/>
    <n v="538"/>
    <x v="0"/>
    <n v="25"/>
    <s v="Long Commute"/>
    <s v="College"/>
    <s v="Other"/>
    <n v="1"/>
    <s v="Male"/>
    <n v="54"/>
    <n v="2"/>
    <n v="2"/>
    <s v="Laboratory Technician"/>
    <s v="Very High"/>
    <s v="Single"/>
    <n v="3681"/>
    <s v="Low (&lt;5k)"/>
    <n v="14004"/>
    <n v="4"/>
    <x v="0"/>
    <n v="14"/>
    <n v="3"/>
    <n v="4"/>
    <n v="0"/>
    <n v="9"/>
    <n v="3"/>
    <s v="Better"/>
    <n v="3"/>
    <x v="1"/>
    <n v="2"/>
    <n v="0"/>
    <n v="2"/>
  </r>
  <r>
    <n v="35"/>
    <s v="Middle Aged"/>
    <n v="0"/>
    <s v="Travel_Rarely"/>
    <n v="1017"/>
    <x v="0"/>
    <n v="6"/>
    <s v="Moderate"/>
    <s v="Master"/>
    <s v="Life Sciences"/>
    <n v="2"/>
    <s v="Male"/>
    <n v="82"/>
    <n v="1"/>
    <n v="2"/>
    <s v="Research Scientist"/>
    <s v="Very High"/>
    <s v="Single"/>
    <n v="6646"/>
    <s v="Medium (5k-10k)"/>
    <n v="19368"/>
    <n v="1"/>
    <x v="0"/>
    <n v="13"/>
    <n v="3"/>
    <n v="2"/>
    <n v="0"/>
    <n v="17"/>
    <n v="3"/>
    <s v="Better"/>
    <n v="17"/>
    <x v="2"/>
    <n v="11"/>
    <n v="11"/>
    <n v="8"/>
  </r>
  <r>
    <n v="35"/>
    <s v="Middle Aged"/>
    <n v="0"/>
    <s v="Non-Travel"/>
    <n v="727"/>
    <x v="0"/>
    <n v="3"/>
    <s v="Near Office"/>
    <s v="Bachelor"/>
    <s v="Life Sciences"/>
    <n v="3"/>
    <s v="Male"/>
    <n v="41"/>
    <n v="2"/>
    <n v="1"/>
    <s v="Laboratory Technician"/>
    <s v="High"/>
    <s v="Married"/>
    <n v="1281"/>
    <s v="Low (&lt;5k)"/>
    <n v="16900"/>
    <n v="1"/>
    <x v="0"/>
    <n v="18"/>
    <n v="3"/>
    <n v="3"/>
    <n v="2"/>
    <n v="1"/>
    <n v="3"/>
    <s v="Better"/>
    <n v="1"/>
    <x v="0"/>
    <n v="0"/>
    <n v="0"/>
    <n v="0"/>
  </r>
  <r>
    <n v="35"/>
    <s v="Middle Aged"/>
    <n v="0"/>
    <s v="Non-Travel"/>
    <n v="1225"/>
    <x v="0"/>
    <n v="2"/>
    <s v="Near Office"/>
    <s v="Master"/>
    <s v="Life Sciences"/>
    <n v="4"/>
    <s v="Female"/>
    <n v="61"/>
    <n v="3"/>
    <n v="2"/>
    <s v="Healthcare Representative"/>
    <s v="Low"/>
    <s v="Divorced"/>
    <n v="5093"/>
    <s v="Medium (5k-10k)"/>
    <n v="4761"/>
    <n v="2"/>
    <x v="0"/>
    <n v="11"/>
    <n v="3"/>
    <n v="1"/>
    <n v="1"/>
    <n v="16"/>
    <n v="2"/>
    <s v="Best"/>
    <n v="1"/>
    <x v="0"/>
    <n v="0"/>
    <n v="0"/>
    <n v="0"/>
  </r>
  <r>
    <n v="35"/>
    <s v="Middle Aged"/>
    <n v="0"/>
    <s v="Travel_Rarely"/>
    <n v="384"/>
    <x v="1"/>
    <n v="8"/>
    <s v="Moderate"/>
    <s v="Master"/>
    <s v="Life Sciences"/>
    <n v="1"/>
    <s v="Female"/>
    <n v="72"/>
    <n v="3"/>
    <n v="1"/>
    <s v="Sales Representative"/>
    <s v="Very High"/>
    <s v="Married"/>
    <n v="2572"/>
    <s v="Low (&lt;5k)"/>
    <n v="20317"/>
    <n v="1"/>
    <x v="0"/>
    <n v="16"/>
    <n v="3"/>
    <n v="2"/>
    <n v="1"/>
    <n v="3"/>
    <n v="1"/>
    <s v="Good"/>
    <n v="3"/>
    <x v="1"/>
    <n v="2"/>
    <n v="0"/>
    <n v="2"/>
  </r>
  <r>
    <n v="35"/>
    <s v="Middle Aged"/>
    <n v="0"/>
    <s v="Travel_Rarely"/>
    <n v="1258"/>
    <x v="0"/>
    <n v="1"/>
    <s v="Near Office"/>
    <s v="Master"/>
    <s v="Life Sciences"/>
    <n v="4"/>
    <s v="Female"/>
    <n v="40"/>
    <n v="4"/>
    <n v="1"/>
    <s v="Research Scientist"/>
    <s v="High"/>
    <s v="Single"/>
    <n v="2506"/>
    <s v="Low (&lt;5k)"/>
    <n v="13301"/>
    <n v="3"/>
    <x v="0"/>
    <n v="13"/>
    <n v="3"/>
    <n v="3"/>
    <n v="0"/>
    <n v="7"/>
    <n v="0"/>
    <s v="Better"/>
    <n v="2"/>
    <x v="0"/>
    <n v="2"/>
    <n v="2"/>
    <n v="2"/>
  </r>
  <r>
    <n v="35"/>
    <s v="Middle Aged"/>
    <n v="0"/>
    <s v="Travel_Rarely"/>
    <n v="950"/>
    <x v="0"/>
    <n v="7"/>
    <s v="Moderate"/>
    <s v="Bachelor"/>
    <s v="Other"/>
    <n v="3"/>
    <s v="Male"/>
    <n v="59"/>
    <n v="3"/>
    <n v="3"/>
    <s v="Manufacturing Director"/>
    <s v="High"/>
    <s v="Single"/>
    <n v="10221"/>
    <s v="High (&gt;10k)"/>
    <n v="18869"/>
    <n v="3"/>
    <x v="0"/>
    <n v="21"/>
    <n v="4"/>
    <n v="2"/>
    <n v="0"/>
    <n v="17"/>
    <n v="3"/>
    <s v="Best"/>
    <n v="8"/>
    <x v="1"/>
    <n v="5"/>
    <n v="1"/>
    <n v="6"/>
  </r>
  <r>
    <n v="35"/>
    <s v="Middle Aged"/>
    <n v="0"/>
    <s v="Travel_Rarely"/>
    <n v="1343"/>
    <x v="0"/>
    <n v="27"/>
    <s v="Long Commute"/>
    <s v="Below College"/>
    <s v="Medical"/>
    <n v="3"/>
    <s v="Female"/>
    <n v="53"/>
    <n v="2"/>
    <n v="1"/>
    <s v="Research Scientist"/>
    <s v="Low"/>
    <s v="Single"/>
    <n v="2559"/>
    <s v="Low (&lt;5k)"/>
    <n v="17852"/>
    <n v="1"/>
    <x v="0"/>
    <n v="11"/>
    <n v="3"/>
    <n v="4"/>
    <n v="0"/>
    <n v="6"/>
    <n v="3"/>
    <s v="Good"/>
    <n v="6"/>
    <x v="1"/>
    <n v="5"/>
    <n v="1"/>
    <n v="1"/>
  </r>
  <r>
    <n v="35"/>
    <s v="Middle Aged"/>
    <n v="0"/>
    <s v="Travel_Rarely"/>
    <n v="607"/>
    <x v="0"/>
    <n v="9"/>
    <s v="Moderate"/>
    <s v="Bachelor"/>
    <s v="Life Sciences"/>
    <n v="4"/>
    <s v="Female"/>
    <n v="66"/>
    <n v="2"/>
    <n v="3"/>
    <s v="Manufacturing Director"/>
    <s v="High"/>
    <s v="Married"/>
    <n v="10685"/>
    <s v="High (&gt;10k)"/>
    <n v="23457"/>
    <n v="1"/>
    <x v="1"/>
    <n v="20"/>
    <n v="4"/>
    <n v="2"/>
    <n v="1"/>
    <n v="17"/>
    <n v="2"/>
    <s v="Better"/>
    <n v="17"/>
    <x v="2"/>
    <n v="14"/>
    <n v="5"/>
    <n v="15"/>
  </r>
  <r>
    <n v="35"/>
    <s v="Middle Aged"/>
    <n v="1"/>
    <s v="Travel_Frequently"/>
    <n v="130"/>
    <x v="0"/>
    <n v="25"/>
    <s v="Long Commute"/>
    <s v="Master"/>
    <s v="Life Sciences"/>
    <n v="4"/>
    <s v="Female"/>
    <n v="96"/>
    <n v="3"/>
    <n v="1"/>
    <s v="Research Scientist"/>
    <s v="Medium"/>
    <s v="Divorced"/>
    <n v="2022"/>
    <s v="Low (&lt;5k)"/>
    <n v="16612"/>
    <n v="1"/>
    <x v="1"/>
    <n v="19"/>
    <n v="3"/>
    <n v="1"/>
    <n v="1"/>
    <n v="10"/>
    <n v="3"/>
    <s v="Good"/>
    <n v="10"/>
    <x v="2"/>
    <n v="2"/>
    <n v="7"/>
    <n v="8"/>
  </r>
  <r>
    <n v="35"/>
    <s v="Middle Aged"/>
    <n v="0"/>
    <s v="Travel_Rarely"/>
    <n v="672"/>
    <x v="0"/>
    <n v="25"/>
    <s v="Long Commute"/>
    <s v="Bachelor"/>
    <s v="Technical Degree"/>
    <n v="4"/>
    <s v="Male"/>
    <n v="78"/>
    <n v="2"/>
    <n v="3"/>
    <s v="Manufacturing Director"/>
    <s v="Medium"/>
    <s v="Married"/>
    <n v="10903"/>
    <s v="High (&gt;10k)"/>
    <n v="9129"/>
    <n v="3"/>
    <x v="0"/>
    <n v="16"/>
    <n v="3"/>
    <n v="1"/>
    <n v="0"/>
    <n v="16"/>
    <n v="2"/>
    <s v="Better"/>
    <n v="13"/>
    <x v="2"/>
    <n v="10"/>
    <n v="4"/>
    <n v="8"/>
  </r>
  <r>
    <n v="35"/>
    <s v="Middle Aged"/>
    <n v="0"/>
    <s v="Travel_Rarely"/>
    <n v="1137"/>
    <x v="0"/>
    <n v="21"/>
    <s v="Long Commute"/>
    <s v="Below College"/>
    <s v="Life Sciences"/>
    <n v="4"/>
    <s v="Female"/>
    <n v="51"/>
    <n v="3"/>
    <n v="2"/>
    <s v="Healthcare Representative"/>
    <s v="Very High"/>
    <s v="Married"/>
    <n v="4014"/>
    <s v="Low (&lt;5k)"/>
    <n v="19170"/>
    <n v="1"/>
    <x v="1"/>
    <n v="25"/>
    <n v="4"/>
    <n v="4"/>
    <n v="1"/>
    <n v="10"/>
    <n v="2"/>
    <s v="Bad"/>
    <n v="10"/>
    <x v="2"/>
    <n v="6"/>
    <n v="0"/>
    <n v="7"/>
  </r>
  <r>
    <n v="35"/>
    <s v="Middle Aged"/>
    <n v="0"/>
    <s v="Travel_Rarely"/>
    <n v="1219"/>
    <x v="1"/>
    <n v="18"/>
    <s v="Long Commute"/>
    <s v="Bachelor"/>
    <s v="Medical"/>
    <n v="3"/>
    <s v="Female"/>
    <n v="86"/>
    <n v="3"/>
    <n v="2"/>
    <s v="Sales Executive"/>
    <s v="High"/>
    <s v="Married"/>
    <n v="4601"/>
    <s v="Low (&lt;5k)"/>
    <n v="6179"/>
    <n v="1"/>
    <x v="0"/>
    <n v="16"/>
    <n v="3"/>
    <n v="2"/>
    <n v="0"/>
    <n v="5"/>
    <n v="3"/>
    <s v="Better"/>
    <n v="5"/>
    <x v="1"/>
    <n v="2"/>
    <n v="1"/>
    <n v="0"/>
  </r>
  <r>
    <n v="35"/>
    <s v="Middle Aged"/>
    <n v="0"/>
    <s v="Travel_Rarely"/>
    <n v="882"/>
    <x v="1"/>
    <n v="3"/>
    <s v="Near Office"/>
    <s v="Master"/>
    <s v="Life Sciences"/>
    <n v="4"/>
    <s v="Male"/>
    <n v="92"/>
    <n v="3"/>
    <n v="3"/>
    <s v="Sales Executive"/>
    <s v="Very High"/>
    <s v="Divorced"/>
    <n v="7823"/>
    <s v="Medium (5k-10k)"/>
    <n v="6812"/>
    <n v="6"/>
    <x v="0"/>
    <n v="13"/>
    <n v="3"/>
    <n v="2"/>
    <n v="1"/>
    <n v="12"/>
    <n v="2"/>
    <s v="Better"/>
    <n v="10"/>
    <x v="2"/>
    <n v="9"/>
    <n v="0"/>
    <n v="8"/>
  </r>
  <r>
    <n v="35"/>
    <s v="Middle Aged"/>
    <n v="1"/>
    <s v="Travel_Rarely"/>
    <n v="622"/>
    <x v="0"/>
    <n v="14"/>
    <s v="Moderate"/>
    <s v="Master"/>
    <s v="Other"/>
    <n v="3"/>
    <s v="Male"/>
    <n v="39"/>
    <n v="2"/>
    <n v="1"/>
    <s v="Laboratory Technician"/>
    <s v="Medium"/>
    <s v="Divorced"/>
    <n v="3743"/>
    <s v="Low (&lt;5k)"/>
    <n v="10074"/>
    <n v="1"/>
    <x v="1"/>
    <n v="24"/>
    <n v="4"/>
    <n v="4"/>
    <n v="1"/>
    <n v="5"/>
    <n v="2"/>
    <s v="Bad"/>
    <n v="4"/>
    <x v="1"/>
    <n v="2"/>
    <n v="0"/>
    <n v="2"/>
  </r>
  <r>
    <n v="35"/>
    <s v="Middle Aged"/>
    <n v="0"/>
    <s v="Travel_Rarely"/>
    <n v="583"/>
    <x v="0"/>
    <n v="25"/>
    <s v="Long Commute"/>
    <s v="Master"/>
    <s v="Medical"/>
    <n v="3"/>
    <s v="Female"/>
    <n v="57"/>
    <n v="3"/>
    <n v="3"/>
    <s v="Healthcare Representative"/>
    <s v="High"/>
    <s v="Divorced"/>
    <n v="10388"/>
    <s v="High (&gt;10k)"/>
    <n v="6975"/>
    <n v="1"/>
    <x v="1"/>
    <n v="11"/>
    <n v="3"/>
    <n v="3"/>
    <n v="1"/>
    <n v="16"/>
    <n v="3"/>
    <s v="Good"/>
    <n v="16"/>
    <x v="2"/>
    <n v="10"/>
    <n v="10"/>
    <n v="1"/>
  </r>
  <r>
    <n v="35"/>
    <s v="Middle Aged"/>
    <n v="0"/>
    <s v="Travel_Rarely"/>
    <n v="802"/>
    <x v="0"/>
    <n v="10"/>
    <s v="Moderate"/>
    <s v="Bachelor"/>
    <s v="Other"/>
    <n v="2"/>
    <s v="Male"/>
    <n v="45"/>
    <n v="3"/>
    <n v="1"/>
    <s v="Laboratory Technician"/>
    <s v="Very High"/>
    <s v="Divorced"/>
    <n v="3917"/>
    <s v="Low (&lt;5k)"/>
    <n v="9541"/>
    <n v="1"/>
    <x v="0"/>
    <n v="20"/>
    <n v="4"/>
    <n v="1"/>
    <n v="1"/>
    <n v="3"/>
    <n v="4"/>
    <s v="Good"/>
    <n v="3"/>
    <x v="1"/>
    <n v="2"/>
    <n v="1"/>
    <n v="2"/>
  </r>
  <r>
    <n v="35"/>
    <s v="Middle Aged"/>
    <n v="1"/>
    <s v="Travel_Rarely"/>
    <n v="1204"/>
    <x v="1"/>
    <n v="4"/>
    <s v="Near Office"/>
    <s v="Bachelor"/>
    <s v="Technical Degree"/>
    <n v="4"/>
    <s v="Male"/>
    <n v="86"/>
    <n v="3"/>
    <n v="3"/>
    <s v="Sales Executive"/>
    <s v="Low"/>
    <s v="Single"/>
    <n v="9582"/>
    <s v="Medium (5k-10k)"/>
    <n v="10333"/>
    <n v="0"/>
    <x v="1"/>
    <n v="22"/>
    <n v="4"/>
    <n v="1"/>
    <n v="0"/>
    <n v="9"/>
    <n v="2"/>
    <s v="Better"/>
    <n v="8"/>
    <x v="1"/>
    <n v="7"/>
    <n v="4"/>
    <n v="7"/>
  </r>
  <r>
    <n v="35"/>
    <s v="Middle Aged"/>
    <n v="0"/>
    <s v="Travel_Frequently"/>
    <n v="1182"/>
    <x v="1"/>
    <n v="11"/>
    <s v="Moderate"/>
    <s v="College"/>
    <s v="Marketing"/>
    <n v="4"/>
    <s v="Male"/>
    <n v="54"/>
    <n v="3"/>
    <n v="2"/>
    <s v="Sales Executive"/>
    <s v="Very High"/>
    <s v="Divorced"/>
    <n v="4968"/>
    <s v="Low (&lt;5k)"/>
    <n v="18500"/>
    <n v="1"/>
    <x v="0"/>
    <n v="11"/>
    <n v="3"/>
    <n v="4"/>
    <n v="1"/>
    <n v="5"/>
    <n v="3"/>
    <s v="Better"/>
    <n v="5"/>
    <x v="1"/>
    <n v="2"/>
    <n v="0"/>
    <n v="2"/>
  </r>
  <r>
    <n v="35"/>
    <s v="Middle Aged"/>
    <n v="0"/>
    <s v="Travel_Rarely"/>
    <n v="528"/>
    <x v="2"/>
    <n v="8"/>
    <s v="Moderate"/>
    <s v="Master"/>
    <s v="Technical Degree"/>
    <n v="3"/>
    <s v="Male"/>
    <n v="100"/>
    <n v="3"/>
    <n v="1"/>
    <s v="Human Resources"/>
    <s v="High"/>
    <s v="Single"/>
    <n v="4323"/>
    <s v="Low (&lt;5k)"/>
    <n v="7108"/>
    <n v="1"/>
    <x v="0"/>
    <n v="17"/>
    <n v="3"/>
    <n v="2"/>
    <n v="0"/>
    <n v="6"/>
    <n v="2"/>
    <s v="Bad"/>
    <n v="5"/>
    <x v="1"/>
    <n v="4"/>
    <n v="1"/>
    <n v="4"/>
  </r>
  <r>
    <n v="35"/>
    <s v="Middle Aged"/>
    <n v="0"/>
    <s v="Travel_Rarely"/>
    <n v="982"/>
    <x v="0"/>
    <n v="1"/>
    <s v="Near Office"/>
    <s v="Master"/>
    <s v="Medical"/>
    <n v="4"/>
    <s v="Male"/>
    <n v="58"/>
    <n v="2"/>
    <n v="1"/>
    <s v="Laboratory Technician"/>
    <s v="High"/>
    <s v="Married"/>
    <n v="2258"/>
    <s v="Low (&lt;5k)"/>
    <n v="16340"/>
    <n v="6"/>
    <x v="0"/>
    <n v="12"/>
    <n v="3"/>
    <n v="2"/>
    <n v="1"/>
    <n v="10"/>
    <n v="2"/>
    <s v="Better"/>
    <n v="8"/>
    <x v="1"/>
    <n v="0"/>
    <n v="1"/>
    <n v="7"/>
  </r>
  <r>
    <n v="35"/>
    <s v="Middle Aged"/>
    <n v="0"/>
    <s v="Travel_Rarely"/>
    <n v="819"/>
    <x v="0"/>
    <n v="2"/>
    <s v="Near Office"/>
    <s v="Bachelor"/>
    <s v="Life Sciences"/>
    <n v="3"/>
    <s v="Male"/>
    <n v="44"/>
    <n v="2"/>
    <n v="3"/>
    <s v="Manufacturing Director"/>
    <s v="Medium"/>
    <s v="Divorced"/>
    <n v="10274"/>
    <s v="High (&gt;10k)"/>
    <n v="19588"/>
    <n v="2"/>
    <x v="0"/>
    <n v="18"/>
    <n v="3"/>
    <n v="2"/>
    <n v="1"/>
    <n v="15"/>
    <n v="2"/>
    <s v="Best"/>
    <n v="7"/>
    <x v="1"/>
    <n v="7"/>
    <n v="6"/>
    <n v="4"/>
  </r>
  <r>
    <n v="35"/>
    <s v="Middle Aged"/>
    <n v="0"/>
    <s v="Travel_Frequently"/>
    <n v="636"/>
    <x v="0"/>
    <n v="4"/>
    <s v="Near Office"/>
    <s v="Master"/>
    <s v="Other"/>
    <n v="4"/>
    <s v="Male"/>
    <n v="47"/>
    <n v="2"/>
    <n v="1"/>
    <s v="Laboratory Technician"/>
    <s v="Very High"/>
    <s v="Married"/>
    <n v="2376"/>
    <s v="Low (&lt;5k)"/>
    <n v="26537"/>
    <n v="1"/>
    <x v="0"/>
    <n v="13"/>
    <n v="3"/>
    <n v="2"/>
    <n v="1"/>
    <n v="2"/>
    <n v="2"/>
    <s v="Best"/>
    <n v="2"/>
    <x v="0"/>
    <n v="2"/>
    <n v="2"/>
    <n v="2"/>
  </r>
  <r>
    <n v="35"/>
    <s v="Middle Aged"/>
    <n v="0"/>
    <s v="Travel_Rarely"/>
    <n v="1361"/>
    <x v="1"/>
    <n v="17"/>
    <s v="Long Commute"/>
    <s v="Master"/>
    <s v="Life Sciences"/>
    <n v="3"/>
    <s v="Male"/>
    <n v="94"/>
    <n v="3"/>
    <n v="2"/>
    <s v="Sales Executive"/>
    <s v="Low"/>
    <s v="Married"/>
    <n v="8966"/>
    <s v="Medium (5k-10k)"/>
    <n v="21026"/>
    <n v="3"/>
    <x v="1"/>
    <n v="15"/>
    <n v="3"/>
    <n v="4"/>
    <n v="3"/>
    <n v="15"/>
    <n v="2"/>
    <s v="Better"/>
    <n v="7"/>
    <x v="1"/>
    <n v="7"/>
    <n v="1"/>
    <n v="7"/>
  </r>
  <r>
    <n v="35"/>
    <s v="Middle Aged"/>
    <n v="0"/>
    <s v="Non-Travel"/>
    <n v="1212"/>
    <x v="1"/>
    <n v="8"/>
    <s v="Moderate"/>
    <s v="College"/>
    <s v="Marketing"/>
    <n v="3"/>
    <s v="Female"/>
    <n v="78"/>
    <n v="2"/>
    <n v="3"/>
    <s v="Sales Executive"/>
    <s v="Very High"/>
    <s v="Married"/>
    <n v="10377"/>
    <s v="High (&gt;10k)"/>
    <n v="13755"/>
    <n v="4"/>
    <x v="1"/>
    <n v="11"/>
    <n v="3"/>
    <n v="2"/>
    <n v="1"/>
    <n v="16"/>
    <n v="6"/>
    <s v="Good"/>
    <n v="13"/>
    <x v="2"/>
    <n v="2"/>
    <n v="4"/>
    <n v="12"/>
  </r>
  <r>
    <n v="35"/>
    <s v="Middle Aged"/>
    <n v="0"/>
    <s v="Travel_Rarely"/>
    <n v="735"/>
    <x v="0"/>
    <n v="6"/>
    <s v="Moderate"/>
    <s v="Below College"/>
    <s v="Life Sciences"/>
    <n v="3"/>
    <s v="Male"/>
    <n v="66"/>
    <n v="3"/>
    <n v="1"/>
    <s v="Research Scientist"/>
    <s v="High"/>
    <s v="Married"/>
    <n v="3506"/>
    <s v="Low (&lt;5k)"/>
    <n v="6020"/>
    <n v="0"/>
    <x v="1"/>
    <n v="14"/>
    <n v="3"/>
    <n v="4"/>
    <n v="0"/>
    <n v="4"/>
    <n v="3"/>
    <s v="Better"/>
    <n v="3"/>
    <x v="1"/>
    <n v="2"/>
    <n v="2"/>
    <n v="2"/>
  </r>
  <r>
    <n v="35"/>
    <s v="Middle Aged"/>
    <n v="0"/>
    <s v="Travel_Frequently"/>
    <n v="482"/>
    <x v="0"/>
    <n v="4"/>
    <s v="Near Office"/>
    <s v="Master"/>
    <s v="Life Sciences"/>
    <n v="3"/>
    <s v="Male"/>
    <n v="87"/>
    <n v="3"/>
    <n v="2"/>
    <s v="Research Scientist"/>
    <s v="High"/>
    <s v="Single"/>
    <n v="4249"/>
    <s v="Low (&lt;5k)"/>
    <n v="2690"/>
    <n v="1"/>
    <x v="1"/>
    <n v="11"/>
    <n v="3"/>
    <n v="2"/>
    <n v="0"/>
    <n v="9"/>
    <n v="3"/>
    <s v="Better"/>
    <n v="9"/>
    <x v="1"/>
    <n v="6"/>
    <n v="1"/>
    <n v="1"/>
  </r>
  <r>
    <n v="35"/>
    <s v="Middle Aged"/>
    <n v="0"/>
    <s v="Travel_Rarely"/>
    <n v="817"/>
    <x v="0"/>
    <n v="1"/>
    <s v="Near Office"/>
    <s v="Bachelor"/>
    <s v="Medical"/>
    <n v="4"/>
    <s v="Female"/>
    <n v="60"/>
    <n v="2"/>
    <n v="2"/>
    <s v="Laboratory Technician"/>
    <s v="Very High"/>
    <s v="Married"/>
    <n v="5363"/>
    <s v="Medium (5k-10k)"/>
    <n v="10846"/>
    <n v="0"/>
    <x v="0"/>
    <n v="12"/>
    <n v="3"/>
    <n v="2"/>
    <n v="1"/>
    <n v="10"/>
    <n v="0"/>
    <s v="Better"/>
    <n v="9"/>
    <x v="1"/>
    <n v="7"/>
    <n v="0"/>
    <n v="0"/>
  </r>
  <r>
    <n v="35"/>
    <s v="Middle Aged"/>
    <n v="1"/>
    <s v="Travel_Frequently"/>
    <n v="662"/>
    <x v="1"/>
    <n v="18"/>
    <s v="Long Commute"/>
    <s v="Master"/>
    <s v="Marketing"/>
    <n v="4"/>
    <s v="Female"/>
    <n v="67"/>
    <n v="3"/>
    <n v="2"/>
    <s v="Sales Executive"/>
    <s v="High"/>
    <s v="Married"/>
    <n v="4614"/>
    <s v="Low (&lt;5k)"/>
    <n v="23288"/>
    <n v="0"/>
    <x v="1"/>
    <n v="18"/>
    <n v="3"/>
    <n v="3"/>
    <n v="1"/>
    <n v="5"/>
    <n v="0"/>
    <s v="Good"/>
    <n v="4"/>
    <x v="1"/>
    <n v="2"/>
    <n v="3"/>
    <n v="2"/>
  </r>
  <r>
    <n v="35"/>
    <s v="Middle Aged"/>
    <n v="0"/>
    <s v="Travel_Frequently"/>
    <n v="200"/>
    <x v="0"/>
    <n v="18"/>
    <s v="Long Commute"/>
    <s v="College"/>
    <s v="Life Sciences"/>
    <n v="3"/>
    <s v="Male"/>
    <n v="60"/>
    <n v="3"/>
    <n v="3"/>
    <s v="Manufacturing Director"/>
    <s v="Very High"/>
    <s v="Single"/>
    <n v="9362"/>
    <s v="Medium (5k-10k)"/>
    <n v="19944"/>
    <n v="2"/>
    <x v="0"/>
    <n v="11"/>
    <n v="3"/>
    <n v="3"/>
    <n v="0"/>
    <n v="10"/>
    <n v="2"/>
    <s v="Better"/>
    <n v="2"/>
    <x v="0"/>
    <n v="2"/>
    <n v="2"/>
    <n v="2"/>
  </r>
  <r>
    <n v="35"/>
    <s v="Middle Aged"/>
    <n v="0"/>
    <s v="Travel_Rarely"/>
    <n v="660"/>
    <x v="1"/>
    <n v="7"/>
    <s v="Moderate"/>
    <s v="Below College"/>
    <s v="Life Sciences"/>
    <n v="4"/>
    <s v="Male"/>
    <n v="76"/>
    <n v="3"/>
    <n v="1"/>
    <s v="Sales Representative"/>
    <s v="High"/>
    <s v="Married"/>
    <n v="2404"/>
    <s v="Low (&lt;5k)"/>
    <n v="16192"/>
    <n v="1"/>
    <x v="0"/>
    <n v="13"/>
    <n v="3"/>
    <n v="1"/>
    <n v="1"/>
    <n v="1"/>
    <n v="3"/>
    <s v="Better"/>
    <n v="1"/>
    <x v="0"/>
    <n v="0"/>
    <n v="0"/>
    <n v="0"/>
  </r>
  <r>
    <n v="35"/>
    <s v="Middle Aged"/>
    <n v="0"/>
    <s v="Travel_Rarely"/>
    <n v="1029"/>
    <x v="0"/>
    <n v="16"/>
    <s v="Long Commute"/>
    <s v="Bachelor"/>
    <s v="Life Sciences"/>
    <n v="4"/>
    <s v="Female"/>
    <n v="91"/>
    <n v="2"/>
    <n v="3"/>
    <s v="Healthcare Representative"/>
    <s v="Medium"/>
    <s v="Single"/>
    <n v="8606"/>
    <s v="Medium (5k-10k)"/>
    <n v="21195"/>
    <n v="1"/>
    <x v="0"/>
    <n v="19"/>
    <n v="3"/>
    <n v="4"/>
    <n v="0"/>
    <n v="11"/>
    <n v="3"/>
    <s v="Bad"/>
    <n v="11"/>
    <x v="2"/>
    <n v="8"/>
    <n v="3"/>
    <n v="3"/>
  </r>
  <r>
    <n v="35"/>
    <s v="Middle Aged"/>
    <n v="0"/>
    <s v="Travel_Rarely"/>
    <n v="1402"/>
    <x v="1"/>
    <n v="28"/>
    <s v="Long Commute"/>
    <s v="Master"/>
    <s v="Life Sciences"/>
    <n v="2"/>
    <s v="Female"/>
    <n v="98"/>
    <n v="2"/>
    <n v="1"/>
    <s v="Sales Representative"/>
    <s v="High"/>
    <s v="Married"/>
    <n v="2430"/>
    <s v="Low (&lt;5k)"/>
    <n v="26204"/>
    <n v="0"/>
    <x v="0"/>
    <n v="23"/>
    <n v="4"/>
    <n v="1"/>
    <n v="2"/>
    <n v="6"/>
    <n v="5"/>
    <s v="Better"/>
    <n v="5"/>
    <x v="1"/>
    <n v="3"/>
    <n v="4"/>
    <n v="2"/>
  </r>
  <r>
    <n v="35"/>
    <s v="Middle Aged"/>
    <n v="0"/>
    <s v="Travel_Rarely"/>
    <n v="992"/>
    <x v="0"/>
    <n v="1"/>
    <s v="Near Office"/>
    <s v="Bachelor"/>
    <s v="Medical"/>
    <n v="4"/>
    <s v="Male"/>
    <n v="68"/>
    <n v="2"/>
    <n v="1"/>
    <s v="Laboratory Technician"/>
    <s v="Low"/>
    <s v="Single"/>
    <n v="2450"/>
    <s v="Low (&lt;5k)"/>
    <n v="21731"/>
    <n v="1"/>
    <x v="0"/>
    <n v="19"/>
    <n v="3"/>
    <n v="2"/>
    <n v="0"/>
    <n v="3"/>
    <n v="3"/>
    <s v="Better"/>
    <n v="3"/>
    <x v="1"/>
    <n v="0"/>
    <n v="1"/>
    <n v="2"/>
  </r>
  <r>
    <n v="35"/>
    <s v="Middle Aged"/>
    <n v="1"/>
    <s v="Travel_Rarely"/>
    <n v="104"/>
    <x v="0"/>
    <n v="2"/>
    <s v="Near Office"/>
    <s v="Bachelor"/>
    <s v="Life Sciences"/>
    <n v="1"/>
    <s v="Female"/>
    <n v="69"/>
    <n v="3"/>
    <n v="1"/>
    <s v="Laboratory Technician"/>
    <s v="Low"/>
    <s v="Divorced"/>
    <n v="2074"/>
    <s v="Low (&lt;5k)"/>
    <n v="26619"/>
    <n v="1"/>
    <x v="1"/>
    <n v="12"/>
    <n v="3"/>
    <n v="4"/>
    <n v="1"/>
    <n v="1"/>
    <n v="2"/>
    <s v="Better"/>
    <n v="1"/>
    <x v="0"/>
    <n v="0"/>
    <n v="0"/>
    <n v="0"/>
  </r>
  <r>
    <n v="35"/>
    <s v="Middle Aged"/>
    <n v="0"/>
    <s v="Travel_Rarely"/>
    <n v="670"/>
    <x v="0"/>
    <n v="10"/>
    <s v="Moderate"/>
    <s v="Master"/>
    <s v="Medical"/>
    <n v="1"/>
    <s v="Female"/>
    <n v="51"/>
    <n v="3"/>
    <n v="2"/>
    <s v="Healthcare Representative"/>
    <s v="High"/>
    <s v="Single"/>
    <n v="6142"/>
    <s v="Medium (5k-10k)"/>
    <n v="4223"/>
    <n v="3"/>
    <x v="1"/>
    <n v="16"/>
    <n v="3"/>
    <n v="3"/>
    <n v="0"/>
    <n v="10"/>
    <n v="4"/>
    <s v="Better"/>
    <n v="5"/>
    <x v="1"/>
    <n v="2"/>
    <n v="0"/>
    <n v="4"/>
  </r>
  <r>
    <n v="35"/>
    <s v="Middle Aged"/>
    <n v="0"/>
    <s v="Travel_Rarely"/>
    <n v="750"/>
    <x v="0"/>
    <n v="28"/>
    <s v="Long Commute"/>
    <s v="Bachelor"/>
    <s v="Life Sciences"/>
    <n v="2"/>
    <s v="Male"/>
    <n v="46"/>
    <n v="4"/>
    <n v="2"/>
    <s v="Laboratory Technician"/>
    <s v="High"/>
    <s v="Married"/>
    <n v="3407"/>
    <s v="Low (&lt;5k)"/>
    <n v="25348"/>
    <n v="1"/>
    <x v="0"/>
    <n v="17"/>
    <n v="3"/>
    <n v="4"/>
    <n v="2"/>
    <n v="10"/>
    <n v="3"/>
    <s v="Good"/>
    <n v="10"/>
    <x v="2"/>
    <n v="9"/>
    <n v="6"/>
    <n v="8"/>
  </r>
  <r>
    <n v="35"/>
    <s v="Middle Aged"/>
    <n v="0"/>
    <s v="Travel_Rarely"/>
    <n v="1349"/>
    <x v="0"/>
    <n v="7"/>
    <s v="Moderate"/>
    <s v="College"/>
    <s v="Life Sciences"/>
    <n v="3"/>
    <s v="Male"/>
    <n v="63"/>
    <n v="2"/>
    <n v="1"/>
    <s v="Laboratory Technician"/>
    <s v="Very High"/>
    <s v="Married"/>
    <n v="2690"/>
    <s v="Low (&lt;5k)"/>
    <n v="7713"/>
    <n v="1"/>
    <x v="0"/>
    <n v="18"/>
    <n v="3"/>
    <n v="4"/>
    <n v="1"/>
    <n v="1"/>
    <n v="5"/>
    <s v="Good"/>
    <n v="1"/>
    <x v="0"/>
    <n v="0"/>
    <n v="0"/>
    <n v="1"/>
  </r>
  <r>
    <n v="35"/>
    <s v="Middle Aged"/>
    <n v="0"/>
    <s v="Travel_Rarely"/>
    <n v="819"/>
    <x v="0"/>
    <n v="18"/>
    <s v="Long Commute"/>
    <s v="Doctor"/>
    <s v="Life Sciences"/>
    <n v="2"/>
    <s v="Male"/>
    <n v="48"/>
    <n v="4"/>
    <n v="2"/>
    <s v="Research Scientist"/>
    <s v="Low"/>
    <s v="Married"/>
    <n v="5208"/>
    <s v="Medium (5k-10k)"/>
    <n v="26312"/>
    <n v="1"/>
    <x v="0"/>
    <n v="11"/>
    <n v="3"/>
    <n v="4"/>
    <n v="0"/>
    <n v="16"/>
    <n v="2"/>
    <s v="Better"/>
    <n v="16"/>
    <x v="2"/>
    <n v="15"/>
    <n v="1"/>
    <n v="10"/>
  </r>
  <r>
    <n v="35"/>
    <s v="Middle Aged"/>
    <n v="0"/>
    <s v="Non-Travel"/>
    <n v="208"/>
    <x v="0"/>
    <n v="8"/>
    <s v="Moderate"/>
    <s v="Master"/>
    <s v="Life Sciences"/>
    <n v="3"/>
    <s v="Female"/>
    <n v="52"/>
    <n v="3"/>
    <n v="2"/>
    <s v="Healthcare Representative"/>
    <s v="High"/>
    <s v="Married"/>
    <n v="4148"/>
    <s v="Low (&lt;5k)"/>
    <n v="12250"/>
    <n v="1"/>
    <x v="0"/>
    <n v="12"/>
    <n v="3"/>
    <n v="4"/>
    <n v="1"/>
    <n v="15"/>
    <n v="5"/>
    <s v="Better"/>
    <n v="14"/>
    <x v="2"/>
    <n v="11"/>
    <n v="2"/>
    <n v="9"/>
  </r>
  <r>
    <n v="35"/>
    <s v="Middle Aged"/>
    <n v="1"/>
    <s v="Travel_Rarely"/>
    <n v="737"/>
    <x v="1"/>
    <n v="10"/>
    <s v="Moderate"/>
    <s v="Bachelor"/>
    <s v="Medical"/>
    <n v="4"/>
    <s v="Male"/>
    <n v="55"/>
    <n v="2"/>
    <n v="3"/>
    <s v="Sales Executive"/>
    <s v="Low"/>
    <s v="Married"/>
    <n v="10306"/>
    <s v="High (&gt;10k)"/>
    <n v="21530"/>
    <n v="9"/>
    <x v="0"/>
    <n v="17"/>
    <n v="3"/>
    <n v="3"/>
    <n v="0"/>
    <n v="15"/>
    <n v="3"/>
    <s v="Better"/>
    <n v="13"/>
    <x v="2"/>
    <n v="12"/>
    <n v="6"/>
    <n v="0"/>
  </r>
  <r>
    <n v="35"/>
    <s v="Middle Aged"/>
    <n v="1"/>
    <s v="Travel_Rarely"/>
    <n v="763"/>
    <x v="1"/>
    <n v="15"/>
    <s v="Moderate"/>
    <s v="College"/>
    <s v="Medical"/>
    <n v="1"/>
    <s v="Male"/>
    <n v="59"/>
    <n v="1"/>
    <n v="2"/>
    <s v="Sales Executive"/>
    <s v="Very High"/>
    <s v="Divorced"/>
    <n v="5440"/>
    <s v="Medium (5k-10k)"/>
    <n v="22098"/>
    <n v="6"/>
    <x v="1"/>
    <n v="14"/>
    <n v="3"/>
    <n v="4"/>
    <n v="2"/>
    <n v="7"/>
    <n v="2"/>
    <s v="Good"/>
    <n v="2"/>
    <x v="0"/>
    <n v="2"/>
    <n v="2"/>
    <n v="2"/>
  </r>
  <r>
    <n v="35"/>
    <s v="Middle Aged"/>
    <n v="1"/>
    <s v="Travel_Frequently"/>
    <n v="880"/>
    <x v="1"/>
    <n v="12"/>
    <s v="Moderate"/>
    <s v="Master"/>
    <s v="Other"/>
    <n v="4"/>
    <s v="Male"/>
    <n v="36"/>
    <n v="3"/>
    <n v="2"/>
    <s v="Sales Executive"/>
    <s v="Very High"/>
    <s v="Single"/>
    <n v="4581"/>
    <s v="Low (&lt;5k)"/>
    <n v="10414"/>
    <n v="3"/>
    <x v="1"/>
    <n v="24"/>
    <n v="4"/>
    <n v="1"/>
    <n v="0"/>
    <n v="13"/>
    <n v="2"/>
    <s v="Best"/>
    <n v="11"/>
    <x v="2"/>
    <n v="9"/>
    <n v="6"/>
    <n v="7"/>
  </r>
  <r>
    <n v="35"/>
    <s v="Middle Aged"/>
    <n v="0"/>
    <s v="Travel_Frequently"/>
    <n v="146"/>
    <x v="0"/>
    <n v="2"/>
    <s v="Near Office"/>
    <s v="Master"/>
    <s v="Medical"/>
    <n v="1"/>
    <s v="Male"/>
    <n v="79"/>
    <n v="2"/>
    <n v="1"/>
    <s v="Research Scientist"/>
    <s v="Very High"/>
    <s v="Single"/>
    <n v="4930"/>
    <s v="Low (&lt;5k)"/>
    <n v="13970"/>
    <n v="0"/>
    <x v="1"/>
    <n v="14"/>
    <n v="3"/>
    <n v="3"/>
    <n v="0"/>
    <n v="6"/>
    <n v="2"/>
    <s v="Best"/>
    <n v="5"/>
    <x v="1"/>
    <n v="4"/>
    <n v="1"/>
    <n v="4"/>
  </r>
  <r>
    <n v="35"/>
    <s v="Middle Aged"/>
    <n v="0"/>
    <s v="Travel_Rarely"/>
    <n v="1370"/>
    <x v="0"/>
    <n v="27"/>
    <s v="Long Commute"/>
    <s v="Master"/>
    <s v="Life Sciences"/>
    <n v="4"/>
    <s v="Male"/>
    <n v="49"/>
    <n v="3"/>
    <n v="2"/>
    <s v="Manufacturing Director"/>
    <s v="High"/>
    <s v="Married"/>
    <n v="6883"/>
    <s v="Medium (5k-10k)"/>
    <n v="5151"/>
    <n v="2"/>
    <x v="0"/>
    <n v="16"/>
    <n v="3"/>
    <n v="2"/>
    <n v="1"/>
    <n v="17"/>
    <n v="3"/>
    <s v="Better"/>
    <n v="7"/>
    <x v="1"/>
    <n v="7"/>
    <n v="0"/>
    <n v="7"/>
  </r>
  <r>
    <n v="35"/>
    <s v="Middle Aged"/>
    <n v="1"/>
    <s v="Travel_Rarely"/>
    <n v="303"/>
    <x v="1"/>
    <n v="27"/>
    <s v="Long Commute"/>
    <s v="Bachelor"/>
    <s v="Life Sciences"/>
    <n v="3"/>
    <s v="Male"/>
    <n v="84"/>
    <n v="3"/>
    <n v="2"/>
    <s v="Sales Executive"/>
    <s v="Very High"/>
    <s v="Single"/>
    <n v="5813"/>
    <s v="Medium (5k-10k)"/>
    <n v="13492"/>
    <n v="1"/>
    <x v="1"/>
    <n v="18"/>
    <n v="3"/>
    <n v="4"/>
    <n v="0"/>
    <n v="10"/>
    <n v="2"/>
    <s v="Better"/>
    <n v="10"/>
    <x v="2"/>
    <n v="7"/>
    <n v="7"/>
    <n v="7"/>
  </r>
  <r>
    <n v="35"/>
    <s v="Middle Aged"/>
    <n v="0"/>
    <s v="Non-Travel"/>
    <n v="1180"/>
    <x v="0"/>
    <n v="2"/>
    <s v="Near Office"/>
    <s v="College"/>
    <s v="Medical"/>
    <n v="2"/>
    <s v="Male"/>
    <n v="90"/>
    <n v="3"/>
    <n v="2"/>
    <s v="Manufacturing Director"/>
    <s v="Very High"/>
    <s v="Divorced"/>
    <n v="5762"/>
    <s v="Medium (5k-10k)"/>
    <n v="24442"/>
    <n v="2"/>
    <x v="0"/>
    <n v="14"/>
    <n v="3"/>
    <n v="3"/>
    <n v="1"/>
    <n v="15"/>
    <n v="6"/>
    <s v="Better"/>
    <n v="7"/>
    <x v="1"/>
    <n v="7"/>
    <n v="1"/>
    <n v="7"/>
  </r>
  <r>
    <n v="35"/>
    <s v="Middle Aged"/>
    <n v="0"/>
    <s v="Travel_Rarely"/>
    <n v="185"/>
    <x v="0"/>
    <n v="23"/>
    <s v="Long Commute"/>
    <s v="Master"/>
    <s v="Medical"/>
    <n v="2"/>
    <s v="Male"/>
    <n v="91"/>
    <n v="1"/>
    <n v="1"/>
    <s v="Laboratory Technician"/>
    <s v="High"/>
    <s v="Married"/>
    <n v="2705"/>
    <s v="Low (&lt;5k)"/>
    <n v="9696"/>
    <n v="0"/>
    <x v="0"/>
    <n v="16"/>
    <n v="3"/>
    <n v="2"/>
    <n v="1"/>
    <n v="6"/>
    <n v="2"/>
    <s v="Best"/>
    <n v="5"/>
    <x v="1"/>
    <n v="4"/>
    <n v="0"/>
    <n v="3"/>
  </r>
  <r>
    <n v="35"/>
    <s v="Middle Aged"/>
    <n v="0"/>
    <s v="Travel_Rarely"/>
    <n v="219"/>
    <x v="0"/>
    <n v="16"/>
    <s v="Long Commute"/>
    <s v="College"/>
    <s v="Other"/>
    <n v="4"/>
    <s v="Female"/>
    <n v="44"/>
    <n v="2"/>
    <n v="2"/>
    <s v="Manufacturing Director"/>
    <s v="Medium"/>
    <s v="Married"/>
    <n v="4788"/>
    <s v="Low (&lt;5k)"/>
    <n v="25388"/>
    <n v="0"/>
    <x v="1"/>
    <n v="11"/>
    <n v="3"/>
    <n v="4"/>
    <n v="0"/>
    <n v="4"/>
    <n v="2"/>
    <s v="Better"/>
    <n v="3"/>
    <x v="1"/>
    <n v="2"/>
    <n v="0"/>
    <n v="2"/>
  </r>
  <r>
    <n v="35"/>
    <s v="Middle Aged"/>
    <n v="0"/>
    <s v="Travel_Rarely"/>
    <n v="682"/>
    <x v="1"/>
    <n v="18"/>
    <s v="Long Commute"/>
    <s v="Master"/>
    <s v="Medical"/>
    <n v="2"/>
    <s v="Male"/>
    <n v="71"/>
    <n v="3"/>
    <n v="2"/>
    <s v="Sales Executive"/>
    <s v="Low"/>
    <s v="Married"/>
    <n v="5561"/>
    <s v="Medium (5k-10k)"/>
    <n v="15975"/>
    <n v="0"/>
    <x v="0"/>
    <n v="16"/>
    <n v="3"/>
    <n v="4"/>
    <n v="1"/>
    <n v="6"/>
    <n v="2"/>
    <s v="Bad"/>
    <n v="5"/>
    <x v="1"/>
    <n v="3"/>
    <n v="0"/>
    <n v="4"/>
  </r>
  <r>
    <n v="35"/>
    <s v="Middle Aged"/>
    <n v="0"/>
    <s v="Travel_Rarely"/>
    <n v="1224"/>
    <x v="1"/>
    <n v="7"/>
    <s v="Moderate"/>
    <s v="Master"/>
    <s v="Life Sciences"/>
    <n v="3"/>
    <s v="Female"/>
    <n v="55"/>
    <n v="3"/>
    <n v="2"/>
    <s v="Sales Executive"/>
    <s v="Very High"/>
    <s v="Married"/>
    <n v="5204"/>
    <s v="Medium (5k-10k)"/>
    <n v="13586"/>
    <n v="1"/>
    <x v="1"/>
    <n v="11"/>
    <n v="3"/>
    <n v="4"/>
    <n v="0"/>
    <n v="10"/>
    <n v="2"/>
    <s v="Better"/>
    <n v="10"/>
    <x v="2"/>
    <n v="8"/>
    <n v="0"/>
    <n v="9"/>
  </r>
  <r>
    <n v="35"/>
    <s v="Middle Aged"/>
    <n v="0"/>
    <s v="Travel_Rarely"/>
    <n v="1490"/>
    <x v="0"/>
    <n v="11"/>
    <s v="Moderate"/>
    <s v="Master"/>
    <s v="Medical"/>
    <n v="4"/>
    <s v="Male"/>
    <n v="43"/>
    <n v="3"/>
    <n v="1"/>
    <s v="Laboratory Technician"/>
    <s v="High"/>
    <s v="Married"/>
    <n v="2660"/>
    <s v="Low (&lt;5k)"/>
    <n v="20232"/>
    <n v="7"/>
    <x v="1"/>
    <n v="11"/>
    <n v="3"/>
    <n v="3"/>
    <n v="1"/>
    <n v="5"/>
    <n v="3"/>
    <s v="Better"/>
    <n v="2"/>
    <x v="0"/>
    <n v="2"/>
    <n v="2"/>
    <n v="2"/>
  </r>
  <r>
    <n v="35"/>
    <s v="Middle Aged"/>
    <n v="0"/>
    <s v="Travel_Rarely"/>
    <n v="1395"/>
    <x v="0"/>
    <n v="9"/>
    <s v="Moderate"/>
    <s v="Master"/>
    <s v="Medical"/>
    <n v="2"/>
    <s v="Male"/>
    <n v="48"/>
    <n v="3"/>
    <n v="2"/>
    <s v="Research Scientist"/>
    <s v="High"/>
    <s v="Single"/>
    <n v="5098"/>
    <s v="Medium (5k-10k)"/>
    <n v="18698"/>
    <n v="1"/>
    <x v="0"/>
    <n v="19"/>
    <n v="3"/>
    <n v="2"/>
    <n v="0"/>
    <n v="10"/>
    <n v="5"/>
    <s v="Better"/>
    <n v="10"/>
    <x v="2"/>
    <n v="7"/>
    <n v="0"/>
    <n v="8"/>
  </r>
  <r>
    <n v="35"/>
    <s v="Middle Aged"/>
    <n v="0"/>
    <s v="Travel_Rarely"/>
    <n v="1146"/>
    <x v="2"/>
    <n v="26"/>
    <s v="Long Commute"/>
    <s v="Master"/>
    <s v="Life Sciences"/>
    <n v="3"/>
    <s v="Female"/>
    <n v="31"/>
    <n v="3"/>
    <n v="3"/>
    <s v="Human Resources"/>
    <s v="Very High"/>
    <s v="Single"/>
    <n v="8837"/>
    <s v="Medium (5k-10k)"/>
    <n v="16642"/>
    <n v="1"/>
    <x v="1"/>
    <n v="16"/>
    <n v="3"/>
    <n v="3"/>
    <n v="0"/>
    <n v="9"/>
    <n v="2"/>
    <s v="Better"/>
    <n v="9"/>
    <x v="1"/>
    <n v="0"/>
    <n v="1"/>
    <n v="7"/>
  </r>
  <r>
    <n v="35"/>
    <s v="Middle Aged"/>
    <n v="0"/>
    <s v="Travel_Frequently"/>
    <n v="1199"/>
    <x v="0"/>
    <n v="18"/>
    <s v="Long Commute"/>
    <s v="Master"/>
    <s v="Life Sciences"/>
    <n v="3"/>
    <s v="Male"/>
    <n v="80"/>
    <n v="3"/>
    <n v="2"/>
    <s v="Healthcare Representative"/>
    <s v="High"/>
    <s v="Married"/>
    <n v="5689"/>
    <s v="Medium (5k-10k)"/>
    <n v="24594"/>
    <n v="1"/>
    <x v="1"/>
    <n v="14"/>
    <n v="3"/>
    <n v="4"/>
    <n v="2"/>
    <n v="10"/>
    <n v="2"/>
    <s v="Best"/>
    <n v="10"/>
    <x v="2"/>
    <n v="2"/>
    <n v="0"/>
    <n v="2"/>
  </r>
  <r>
    <n v="35"/>
    <s v="Middle Aged"/>
    <n v="0"/>
    <s v="Travel_Rarely"/>
    <n v="287"/>
    <x v="0"/>
    <n v="1"/>
    <s v="Near Office"/>
    <s v="Master"/>
    <s v="Life Sciences"/>
    <n v="3"/>
    <s v="Female"/>
    <n v="62"/>
    <n v="1"/>
    <n v="1"/>
    <s v="Research Scientist"/>
    <s v="Very High"/>
    <s v="Married"/>
    <n v="2977"/>
    <s v="Low (&lt;5k)"/>
    <n v="8952"/>
    <n v="1"/>
    <x v="0"/>
    <n v="12"/>
    <n v="3"/>
    <n v="4"/>
    <n v="1"/>
    <n v="4"/>
    <n v="5"/>
    <s v="Better"/>
    <n v="4"/>
    <x v="1"/>
    <n v="3"/>
    <n v="1"/>
    <n v="1"/>
  </r>
  <r>
    <n v="36"/>
    <s v="Middle Aged"/>
    <n v="0"/>
    <s v="Travel_Rarely"/>
    <n v="1299"/>
    <x v="0"/>
    <n v="27"/>
    <s v="Long Commute"/>
    <s v="Bachelor"/>
    <s v="Medical"/>
    <n v="3"/>
    <s v="Male"/>
    <n v="94"/>
    <n v="3"/>
    <n v="2"/>
    <s v="Healthcare Representative"/>
    <s v="High"/>
    <s v="Married"/>
    <n v="5237"/>
    <s v="Medium (5k-10k)"/>
    <n v="16577"/>
    <n v="6"/>
    <x v="0"/>
    <n v="13"/>
    <n v="3"/>
    <n v="2"/>
    <n v="2"/>
    <n v="17"/>
    <n v="3"/>
    <s v="Good"/>
    <n v="7"/>
    <x v="1"/>
    <n v="7"/>
    <n v="7"/>
    <n v="7"/>
  </r>
  <r>
    <n v="36"/>
    <s v="Middle Aged"/>
    <n v="1"/>
    <s v="Travel_Rarely"/>
    <n v="1218"/>
    <x v="1"/>
    <n v="9"/>
    <s v="Moderate"/>
    <s v="Master"/>
    <s v="Life Sciences"/>
    <n v="3"/>
    <s v="Male"/>
    <n v="82"/>
    <n v="2"/>
    <n v="1"/>
    <s v="Sales Representative"/>
    <s v="Low"/>
    <s v="Single"/>
    <n v="3407"/>
    <s v="Low (&lt;5k)"/>
    <n v="6986"/>
    <n v="7"/>
    <x v="0"/>
    <n v="23"/>
    <n v="4"/>
    <n v="2"/>
    <n v="0"/>
    <n v="10"/>
    <n v="4"/>
    <s v="Better"/>
    <n v="5"/>
    <x v="1"/>
    <n v="3"/>
    <n v="0"/>
    <n v="3"/>
  </r>
  <r>
    <n v="36"/>
    <s v="Middle Aged"/>
    <n v="0"/>
    <s v="Travel_Rarely"/>
    <n v="852"/>
    <x v="0"/>
    <n v="5"/>
    <s v="Near Office"/>
    <s v="Master"/>
    <s v="Life Sciences"/>
    <n v="2"/>
    <s v="Female"/>
    <n v="82"/>
    <n v="2"/>
    <n v="1"/>
    <s v="Research Scientist"/>
    <s v="Low"/>
    <s v="Married"/>
    <n v="3419"/>
    <s v="Low (&lt;5k)"/>
    <n v="13072"/>
    <n v="9"/>
    <x v="1"/>
    <n v="14"/>
    <n v="3"/>
    <n v="4"/>
    <n v="1"/>
    <n v="6"/>
    <n v="3"/>
    <s v="Best"/>
    <n v="1"/>
    <x v="0"/>
    <n v="1"/>
    <n v="0"/>
    <n v="0"/>
  </r>
  <r>
    <n v="36"/>
    <s v="Middle Aged"/>
    <n v="0"/>
    <s v="Travel_Rarely"/>
    <n v="1223"/>
    <x v="0"/>
    <n v="8"/>
    <s v="Moderate"/>
    <s v="Bachelor"/>
    <s v="Technical Degree"/>
    <n v="3"/>
    <s v="Female"/>
    <n v="59"/>
    <n v="3"/>
    <n v="3"/>
    <s v="Healthcare Representative"/>
    <s v="High"/>
    <s v="Divorced"/>
    <n v="10096"/>
    <s v="High (&gt;10k)"/>
    <n v="8202"/>
    <n v="1"/>
    <x v="0"/>
    <n v="13"/>
    <n v="3"/>
    <n v="2"/>
    <n v="3"/>
    <n v="17"/>
    <n v="2"/>
    <s v="Better"/>
    <n v="17"/>
    <x v="2"/>
    <n v="14"/>
    <n v="12"/>
    <n v="8"/>
  </r>
  <r>
    <n v="36"/>
    <s v="Middle Aged"/>
    <n v="0"/>
    <s v="Travel_Frequently"/>
    <n v="1195"/>
    <x v="0"/>
    <n v="11"/>
    <s v="Moderate"/>
    <s v="Bachelor"/>
    <s v="Life Sciences"/>
    <n v="2"/>
    <s v="Male"/>
    <n v="95"/>
    <n v="2"/>
    <n v="2"/>
    <s v="Manufacturing Director"/>
    <s v="Medium"/>
    <s v="Single"/>
    <n v="6499"/>
    <s v="Medium (5k-10k)"/>
    <n v="22656"/>
    <n v="1"/>
    <x v="0"/>
    <n v="13"/>
    <n v="3"/>
    <n v="3"/>
    <n v="0"/>
    <n v="6"/>
    <n v="3"/>
    <s v="Better"/>
    <n v="6"/>
    <x v="1"/>
    <n v="5"/>
    <n v="0"/>
    <n v="3"/>
  </r>
  <r>
    <n v="36"/>
    <s v="Middle Aged"/>
    <n v="1"/>
    <s v="Travel_Rarely"/>
    <n v="318"/>
    <x v="0"/>
    <n v="9"/>
    <s v="Moderate"/>
    <s v="Bachelor"/>
    <s v="Medical"/>
    <n v="4"/>
    <s v="Male"/>
    <n v="79"/>
    <n v="2"/>
    <n v="1"/>
    <s v="Research Scientist"/>
    <s v="High"/>
    <s v="Married"/>
    <n v="3388"/>
    <s v="Low (&lt;5k)"/>
    <n v="21777"/>
    <n v="0"/>
    <x v="1"/>
    <n v="17"/>
    <n v="3"/>
    <n v="1"/>
    <n v="1"/>
    <n v="2"/>
    <n v="0"/>
    <s v="Good"/>
    <n v="1"/>
    <x v="0"/>
    <n v="0"/>
    <n v="0"/>
    <n v="0"/>
  </r>
  <r>
    <n v="36"/>
    <s v="Middle Aged"/>
    <n v="0"/>
    <s v="Travel_Rarely"/>
    <n v="132"/>
    <x v="0"/>
    <n v="6"/>
    <s v="Moderate"/>
    <s v="Bachelor"/>
    <s v="Life Sciences"/>
    <n v="2"/>
    <s v="Female"/>
    <n v="55"/>
    <n v="4"/>
    <n v="1"/>
    <s v="Laboratory Technician"/>
    <s v="Very High"/>
    <s v="Married"/>
    <n v="3038"/>
    <s v="Low (&lt;5k)"/>
    <n v="22002"/>
    <n v="3"/>
    <x v="0"/>
    <n v="12"/>
    <n v="3"/>
    <n v="2"/>
    <n v="0"/>
    <n v="5"/>
    <n v="3"/>
    <s v="Better"/>
    <n v="1"/>
    <x v="0"/>
    <n v="0"/>
    <n v="0"/>
    <n v="0"/>
  </r>
  <r>
    <n v="36"/>
    <s v="Middle Aged"/>
    <n v="0"/>
    <s v="Travel_Frequently"/>
    <n v="1467"/>
    <x v="1"/>
    <n v="11"/>
    <s v="Moderate"/>
    <s v="College"/>
    <s v="Technical Degree"/>
    <n v="2"/>
    <s v="Female"/>
    <n v="92"/>
    <n v="3"/>
    <n v="3"/>
    <s v="Sales Executive"/>
    <s v="Very High"/>
    <s v="Married"/>
    <n v="9738"/>
    <s v="Medium (5k-10k)"/>
    <n v="22952"/>
    <n v="0"/>
    <x v="0"/>
    <n v="14"/>
    <n v="3"/>
    <n v="3"/>
    <n v="1"/>
    <n v="10"/>
    <n v="6"/>
    <s v="Better"/>
    <n v="9"/>
    <x v="1"/>
    <n v="7"/>
    <n v="2"/>
    <n v="8"/>
  </r>
  <r>
    <n v="36"/>
    <s v="Middle Aged"/>
    <n v="0"/>
    <s v="Travel_Rarely"/>
    <n v="922"/>
    <x v="0"/>
    <n v="3"/>
    <s v="Near Office"/>
    <s v="College"/>
    <s v="Life Sciences"/>
    <n v="1"/>
    <s v="Female"/>
    <n v="39"/>
    <n v="3"/>
    <n v="1"/>
    <s v="Laboratory Technician"/>
    <s v="Very High"/>
    <s v="Divorced"/>
    <n v="2835"/>
    <s v="Low (&lt;5k)"/>
    <n v="2561"/>
    <n v="5"/>
    <x v="0"/>
    <n v="22"/>
    <n v="4"/>
    <n v="1"/>
    <n v="1"/>
    <n v="7"/>
    <n v="2"/>
    <s v="Better"/>
    <n v="1"/>
    <x v="0"/>
    <n v="0"/>
    <n v="0"/>
    <n v="0"/>
  </r>
  <r>
    <n v="36"/>
    <s v="Middle Aged"/>
    <n v="0"/>
    <s v="Travel_Rarely"/>
    <n v="216"/>
    <x v="0"/>
    <n v="6"/>
    <s v="Moderate"/>
    <s v="College"/>
    <s v="Medical"/>
    <n v="2"/>
    <s v="Male"/>
    <n v="84"/>
    <n v="3"/>
    <n v="2"/>
    <s v="Manufacturing Director"/>
    <s v="Medium"/>
    <s v="Divorced"/>
    <n v="4941"/>
    <s v="Low (&lt;5k)"/>
    <n v="2819"/>
    <n v="6"/>
    <x v="0"/>
    <n v="20"/>
    <n v="4"/>
    <n v="4"/>
    <n v="2"/>
    <n v="7"/>
    <n v="0"/>
    <s v="Better"/>
    <n v="3"/>
    <x v="1"/>
    <n v="2"/>
    <n v="0"/>
    <n v="1"/>
  </r>
  <r>
    <n v="36"/>
    <s v="Middle Aged"/>
    <n v="0"/>
    <s v="Travel_Frequently"/>
    <n v="1480"/>
    <x v="0"/>
    <n v="3"/>
    <s v="Near Office"/>
    <s v="College"/>
    <s v="Medical"/>
    <n v="4"/>
    <s v="Male"/>
    <n v="30"/>
    <n v="3"/>
    <n v="1"/>
    <s v="Laboratory Technician"/>
    <s v="Medium"/>
    <s v="Single"/>
    <n v="2088"/>
    <s v="Low (&lt;5k)"/>
    <n v="15062"/>
    <n v="4"/>
    <x v="0"/>
    <n v="12"/>
    <n v="3"/>
    <n v="3"/>
    <n v="0"/>
    <n v="13"/>
    <n v="3"/>
    <s v="Good"/>
    <n v="8"/>
    <x v="1"/>
    <n v="7"/>
    <n v="7"/>
    <n v="2"/>
  </r>
  <r>
    <n v="36"/>
    <s v="Middle Aged"/>
    <n v="0"/>
    <s v="Travel_Frequently"/>
    <n v="635"/>
    <x v="0"/>
    <n v="18"/>
    <s v="Long Commute"/>
    <s v="Below College"/>
    <s v="Medical"/>
    <n v="2"/>
    <s v="Female"/>
    <n v="73"/>
    <n v="3"/>
    <n v="1"/>
    <s v="Laboratory Technician"/>
    <s v="Very High"/>
    <s v="Single"/>
    <n v="2153"/>
    <s v="Low (&lt;5k)"/>
    <n v="7703"/>
    <n v="1"/>
    <x v="0"/>
    <n v="13"/>
    <n v="3"/>
    <n v="1"/>
    <n v="0"/>
    <n v="8"/>
    <n v="2"/>
    <s v="Better"/>
    <n v="8"/>
    <x v="1"/>
    <n v="1"/>
    <n v="1"/>
    <n v="7"/>
  </r>
  <r>
    <n v="36"/>
    <s v="Middle Aged"/>
    <n v="0"/>
    <s v="Travel_Rarely"/>
    <n v="1396"/>
    <x v="0"/>
    <n v="5"/>
    <s v="Near Office"/>
    <s v="College"/>
    <s v="Life Sciences"/>
    <n v="4"/>
    <s v="Male"/>
    <n v="62"/>
    <n v="3"/>
    <n v="2"/>
    <s v="Laboratory Technician"/>
    <s v="Medium"/>
    <s v="Single"/>
    <n v="5914"/>
    <s v="Medium (5k-10k)"/>
    <n v="9945"/>
    <n v="8"/>
    <x v="0"/>
    <n v="16"/>
    <n v="3"/>
    <n v="4"/>
    <n v="0"/>
    <n v="16"/>
    <n v="3"/>
    <s v="Best"/>
    <n v="13"/>
    <x v="2"/>
    <n v="11"/>
    <n v="3"/>
    <n v="7"/>
  </r>
  <r>
    <n v="36"/>
    <s v="Middle Aged"/>
    <n v="0"/>
    <s v="Travel_Rarely"/>
    <n v="1403"/>
    <x v="0"/>
    <n v="6"/>
    <s v="Moderate"/>
    <s v="Bachelor"/>
    <s v="Life Sciences"/>
    <n v="4"/>
    <s v="Male"/>
    <n v="47"/>
    <n v="3"/>
    <n v="1"/>
    <s v="Laboratory Technician"/>
    <s v="Very High"/>
    <s v="Married"/>
    <n v="3210"/>
    <s v="Low (&lt;5k)"/>
    <n v="20251"/>
    <n v="0"/>
    <x v="0"/>
    <n v="11"/>
    <n v="3"/>
    <n v="3"/>
    <n v="1"/>
    <n v="16"/>
    <n v="4"/>
    <s v="Better"/>
    <n v="15"/>
    <x v="2"/>
    <n v="13"/>
    <n v="10"/>
    <n v="11"/>
  </r>
  <r>
    <n v="36"/>
    <s v="Middle Aged"/>
    <n v="0"/>
    <s v="Travel_Rarely"/>
    <n v="506"/>
    <x v="0"/>
    <n v="3"/>
    <s v="Near Office"/>
    <s v="Bachelor"/>
    <s v="Technical Degree"/>
    <n v="3"/>
    <s v="Male"/>
    <n v="30"/>
    <n v="3"/>
    <n v="2"/>
    <s v="Research Scientist"/>
    <s v="Medium"/>
    <s v="Single"/>
    <n v="4485"/>
    <s v="Low (&lt;5k)"/>
    <n v="26285"/>
    <n v="4"/>
    <x v="0"/>
    <n v="12"/>
    <n v="3"/>
    <n v="4"/>
    <n v="0"/>
    <n v="10"/>
    <n v="2"/>
    <s v="Better"/>
    <n v="8"/>
    <x v="1"/>
    <n v="0"/>
    <n v="7"/>
    <n v="7"/>
  </r>
  <r>
    <n v="36"/>
    <s v="Middle Aged"/>
    <n v="0"/>
    <s v="Travel_Frequently"/>
    <n v="566"/>
    <x v="0"/>
    <n v="18"/>
    <s v="Long Commute"/>
    <s v="Master"/>
    <s v="Life Sciences"/>
    <n v="3"/>
    <s v="Male"/>
    <n v="81"/>
    <n v="4"/>
    <n v="1"/>
    <s v="Laboratory Technician"/>
    <s v="Very High"/>
    <s v="Married"/>
    <n v="3688"/>
    <s v="Low (&lt;5k)"/>
    <n v="7122"/>
    <n v="4"/>
    <x v="0"/>
    <n v="18"/>
    <n v="3"/>
    <n v="4"/>
    <n v="2"/>
    <n v="4"/>
    <n v="2"/>
    <s v="Better"/>
    <n v="1"/>
    <x v="0"/>
    <n v="0"/>
    <n v="0"/>
    <n v="0"/>
  </r>
  <r>
    <n v="36"/>
    <s v="Middle Aged"/>
    <n v="0"/>
    <s v="Non-Travel"/>
    <n v="1105"/>
    <x v="0"/>
    <n v="24"/>
    <s v="Long Commute"/>
    <s v="Master"/>
    <s v="Life Sciences"/>
    <n v="2"/>
    <s v="Female"/>
    <n v="47"/>
    <n v="3"/>
    <n v="2"/>
    <s v="Laboratory Technician"/>
    <s v="Medium"/>
    <s v="Married"/>
    <n v="5674"/>
    <s v="Medium (5k-10k)"/>
    <n v="6927"/>
    <n v="7"/>
    <x v="0"/>
    <n v="15"/>
    <n v="3"/>
    <n v="3"/>
    <n v="1"/>
    <n v="11"/>
    <n v="3"/>
    <s v="Better"/>
    <n v="9"/>
    <x v="1"/>
    <n v="8"/>
    <n v="0"/>
    <n v="8"/>
  </r>
  <r>
    <n v="36"/>
    <s v="Middle Aged"/>
    <n v="0"/>
    <s v="Non-Travel"/>
    <n v="845"/>
    <x v="1"/>
    <n v="1"/>
    <s v="Near Office"/>
    <s v="Doctor"/>
    <s v="Medical"/>
    <n v="4"/>
    <s v="Female"/>
    <n v="45"/>
    <n v="3"/>
    <n v="2"/>
    <s v="Sales Executive"/>
    <s v="Very High"/>
    <s v="Single"/>
    <n v="6653"/>
    <s v="Medium (5k-10k)"/>
    <n v="15276"/>
    <n v="4"/>
    <x v="0"/>
    <n v="15"/>
    <n v="3"/>
    <n v="2"/>
    <n v="0"/>
    <n v="7"/>
    <n v="6"/>
    <s v="Better"/>
    <n v="1"/>
    <x v="0"/>
    <n v="0"/>
    <n v="0"/>
    <n v="0"/>
  </r>
  <r>
    <n v="36"/>
    <s v="Middle Aged"/>
    <n v="0"/>
    <s v="Travel_Frequently"/>
    <n v="541"/>
    <x v="1"/>
    <n v="3"/>
    <s v="Near Office"/>
    <s v="Master"/>
    <s v="Medical"/>
    <n v="1"/>
    <s v="Male"/>
    <n v="48"/>
    <n v="2"/>
    <n v="3"/>
    <s v="Sales Executive"/>
    <s v="Very High"/>
    <s v="Married"/>
    <n v="9699"/>
    <s v="Medium (5k-10k)"/>
    <n v="7246"/>
    <n v="4"/>
    <x v="0"/>
    <n v="11"/>
    <n v="3"/>
    <n v="1"/>
    <n v="1"/>
    <n v="16"/>
    <n v="2"/>
    <s v="Better"/>
    <n v="13"/>
    <x v="2"/>
    <n v="9"/>
    <n v="1"/>
    <n v="12"/>
  </r>
  <r>
    <n v="36"/>
    <s v="Middle Aged"/>
    <n v="0"/>
    <s v="Travel_Rarely"/>
    <n v="329"/>
    <x v="0"/>
    <n v="2"/>
    <s v="Near Office"/>
    <s v="Bachelor"/>
    <s v="Life Sciences"/>
    <n v="4"/>
    <s v="Female"/>
    <n v="96"/>
    <n v="3"/>
    <n v="1"/>
    <s v="Research Scientist"/>
    <s v="High"/>
    <s v="Married"/>
    <n v="2543"/>
    <s v="Low (&lt;5k)"/>
    <n v="11868"/>
    <n v="4"/>
    <x v="0"/>
    <n v="13"/>
    <n v="3"/>
    <n v="2"/>
    <n v="1"/>
    <n v="6"/>
    <n v="3"/>
    <s v="Better"/>
    <n v="2"/>
    <x v="0"/>
    <n v="2"/>
    <n v="2"/>
    <n v="2"/>
  </r>
  <r>
    <n v="36"/>
    <s v="Middle Aged"/>
    <n v="0"/>
    <s v="Travel_Rarely"/>
    <n v="164"/>
    <x v="1"/>
    <n v="2"/>
    <s v="Near Office"/>
    <s v="College"/>
    <s v="Medical"/>
    <n v="2"/>
    <s v="Male"/>
    <n v="61"/>
    <n v="2"/>
    <n v="3"/>
    <s v="Sales Executive"/>
    <s v="High"/>
    <s v="Married"/>
    <n v="7596"/>
    <s v="Medium (5k-10k)"/>
    <n v="3809"/>
    <n v="1"/>
    <x v="0"/>
    <n v="13"/>
    <n v="3"/>
    <n v="2"/>
    <n v="2"/>
    <n v="10"/>
    <n v="2"/>
    <s v="Better"/>
    <n v="10"/>
    <x v="2"/>
    <n v="9"/>
    <n v="9"/>
    <n v="0"/>
  </r>
  <r>
    <n v="36"/>
    <s v="Middle Aged"/>
    <n v="0"/>
    <s v="Non-Travel"/>
    <n v="635"/>
    <x v="1"/>
    <n v="10"/>
    <s v="Moderate"/>
    <s v="Master"/>
    <s v="Medical"/>
    <n v="2"/>
    <s v="Male"/>
    <n v="32"/>
    <n v="3"/>
    <n v="3"/>
    <s v="Sales Executive"/>
    <s v="Very High"/>
    <s v="Single"/>
    <n v="9980"/>
    <s v="Medium (5k-10k)"/>
    <n v="15318"/>
    <n v="1"/>
    <x v="0"/>
    <n v="14"/>
    <n v="3"/>
    <n v="4"/>
    <n v="0"/>
    <n v="10"/>
    <n v="3"/>
    <s v="Good"/>
    <n v="10"/>
    <x v="2"/>
    <n v="3"/>
    <n v="9"/>
    <n v="7"/>
  </r>
  <r>
    <n v="36"/>
    <s v="Middle Aged"/>
    <n v="0"/>
    <s v="Travel_Rarely"/>
    <n v="913"/>
    <x v="0"/>
    <n v="9"/>
    <s v="Moderate"/>
    <s v="College"/>
    <s v="Medical"/>
    <n v="2"/>
    <s v="Male"/>
    <n v="48"/>
    <n v="2"/>
    <n v="2"/>
    <s v="Manufacturing Director"/>
    <s v="Medium"/>
    <s v="Divorced"/>
    <n v="8847"/>
    <s v="Medium (5k-10k)"/>
    <n v="13934"/>
    <n v="2"/>
    <x v="1"/>
    <n v="11"/>
    <n v="3"/>
    <n v="3"/>
    <n v="1"/>
    <n v="13"/>
    <n v="2"/>
    <s v="Better"/>
    <n v="3"/>
    <x v="1"/>
    <n v="2"/>
    <n v="0"/>
    <n v="2"/>
  </r>
  <r>
    <n v="36"/>
    <s v="Middle Aged"/>
    <n v="0"/>
    <s v="Non-Travel"/>
    <n v="427"/>
    <x v="0"/>
    <n v="8"/>
    <s v="Moderate"/>
    <s v="Bachelor"/>
    <s v="Life Sciences"/>
    <n v="1"/>
    <s v="Female"/>
    <n v="63"/>
    <n v="4"/>
    <n v="3"/>
    <s v="Research Director"/>
    <s v="Low"/>
    <s v="Married"/>
    <n v="11713"/>
    <s v="High (&gt;10k)"/>
    <n v="20335"/>
    <n v="9"/>
    <x v="0"/>
    <n v="14"/>
    <n v="3"/>
    <n v="1"/>
    <n v="1"/>
    <n v="10"/>
    <n v="2"/>
    <s v="Better"/>
    <n v="8"/>
    <x v="1"/>
    <n v="7"/>
    <n v="0"/>
    <n v="5"/>
  </r>
  <r>
    <n v="36"/>
    <s v="Middle Aged"/>
    <n v="0"/>
    <s v="Non-Travel"/>
    <n v="1434"/>
    <x v="1"/>
    <n v="8"/>
    <s v="Moderate"/>
    <s v="Master"/>
    <s v="Life Sciences"/>
    <n v="1"/>
    <s v="Male"/>
    <n v="76"/>
    <n v="2"/>
    <n v="3"/>
    <s v="Sales Executive"/>
    <s v="Low"/>
    <s v="Single"/>
    <n v="7587"/>
    <s v="Medium (5k-10k)"/>
    <n v="14229"/>
    <n v="1"/>
    <x v="0"/>
    <n v="15"/>
    <n v="3"/>
    <n v="2"/>
    <n v="0"/>
    <n v="10"/>
    <n v="1"/>
    <s v="Better"/>
    <n v="10"/>
    <x v="2"/>
    <n v="7"/>
    <n v="0"/>
    <n v="9"/>
  </r>
  <r>
    <n v="36"/>
    <s v="Middle Aged"/>
    <n v="0"/>
    <s v="Travel_Rarely"/>
    <n v="676"/>
    <x v="0"/>
    <n v="1"/>
    <s v="Near Office"/>
    <s v="Bachelor"/>
    <s v="Other"/>
    <n v="3"/>
    <s v="Female"/>
    <n v="35"/>
    <n v="3"/>
    <n v="2"/>
    <s v="Manufacturing Director"/>
    <s v="Medium"/>
    <s v="Married"/>
    <n v="5228"/>
    <s v="Medium (5k-10k)"/>
    <n v="23361"/>
    <n v="0"/>
    <x v="0"/>
    <n v="15"/>
    <n v="3"/>
    <n v="1"/>
    <n v="1"/>
    <n v="10"/>
    <n v="2"/>
    <s v="Better"/>
    <n v="9"/>
    <x v="1"/>
    <n v="7"/>
    <n v="0"/>
    <n v="5"/>
  </r>
  <r>
    <n v="36"/>
    <s v="Middle Aged"/>
    <n v="0"/>
    <s v="Travel_Rarely"/>
    <n v="1041"/>
    <x v="2"/>
    <n v="13"/>
    <s v="Moderate"/>
    <s v="Bachelor"/>
    <s v="Human Resources"/>
    <n v="3"/>
    <s v="Male"/>
    <n v="36"/>
    <n v="3"/>
    <n v="1"/>
    <s v="Human Resources"/>
    <s v="Medium"/>
    <s v="Married"/>
    <n v="2143"/>
    <s v="Low (&lt;5k)"/>
    <n v="25527"/>
    <n v="4"/>
    <x v="0"/>
    <n v="13"/>
    <n v="3"/>
    <n v="2"/>
    <n v="1"/>
    <n v="8"/>
    <n v="2"/>
    <s v="Better"/>
    <n v="5"/>
    <x v="1"/>
    <n v="2"/>
    <n v="0"/>
    <n v="4"/>
  </r>
  <r>
    <n v="36"/>
    <s v="Middle Aged"/>
    <n v="0"/>
    <s v="Travel_Rarely"/>
    <n v="928"/>
    <x v="1"/>
    <n v="1"/>
    <s v="Near Office"/>
    <s v="College"/>
    <s v="Life Sciences"/>
    <n v="2"/>
    <s v="Male"/>
    <n v="56"/>
    <n v="3"/>
    <n v="2"/>
    <s v="Sales Executive"/>
    <s v="Very High"/>
    <s v="Married"/>
    <n v="6201"/>
    <s v="Medium (5k-10k)"/>
    <n v="2823"/>
    <n v="1"/>
    <x v="1"/>
    <n v="14"/>
    <n v="3"/>
    <n v="4"/>
    <n v="1"/>
    <n v="18"/>
    <n v="1"/>
    <s v="Good"/>
    <n v="18"/>
    <x v="2"/>
    <n v="14"/>
    <n v="4"/>
    <n v="11"/>
  </r>
  <r>
    <n v="36"/>
    <s v="Middle Aged"/>
    <n v="0"/>
    <s v="Travel_Rarely"/>
    <n v="1278"/>
    <x v="2"/>
    <n v="8"/>
    <s v="Moderate"/>
    <s v="Bachelor"/>
    <s v="Life Sciences"/>
    <n v="1"/>
    <s v="Male"/>
    <n v="77"/>
    <n v="2"/>
    <n v="1"/>
    <s v="Human Resources"/>
    <s v="Low"/>
    <s v="Married"/>
    <n v="2342"/>
    <s v="Low (&lt;5k)"/>
    <n v="8635"/>
    <n v="0"/>
    <x v="0"/>
    <n v="21"/>
    <n v="4"/>
    <n v="3"/>
    <n v="0"/>
    <n v="6"/>
    <n v="3"/>
    <s v="Better"/>
    <n v="5"/>
    <x v="1"/>
    <n v="4"/>
    <n v="0"/>
    <n v="3"/>
  </r>
  <r>
    <n v="36"/>
    <s v="Middle Aged"/>
    <n v="0"/>
    <s v="Travel_Rarely"/>
    <n v="1425"/>
    <x v="0"/>
    <n v="14"/>
    <s v="Moderate"/>
    <s v="Below College"/>
    <s v="Life Sciences"/>
    <n v="3"/>
    <s v="Male"/>
    <n v="68"/>
    <n v="3"/>
    <n v="2"/>
    <s v="Healthcare Representative"/>
    <s v="Very High"/>
    <s v="Married"/>
    <n v="6586"/>
    <s v="Medium (5k-10k)"/>
    <n v="4821"/>
    <n v="0"/>
    <x v="1"/>
    <n v="17"/>
    <n v="3"/>
    <n v="1"/>
    <n v="1"/>
    <n v="17"/>
    <n v="2"/>
    <s v="Good"/>
    <n v="16"/>
    <x v="2"/>
    <n v="8"/>
    <n v="4"/>
    <n v="11"/>
  </r>
  <r>
    <n v="36"/>
    <s v="Middle Aged"/>
    <n v="0"/>
    <s v="Travel_Rarely"/>
    <n v="188"/>
    <x v="0"/>
    <n v="7"/>
    <s v="Moderate"/>
    <s v="Master"/>
    <s v="Other"/>
    <n v="2"/>
    <s v="Male"/>
    <n v="65"/>
    <n v="3"/>
    <n v="1"/>
    <s v="Research Scientist"/>
    <s v="Very High"/>
    <s v="Single"/>
    <n v="4678"/>
    <s v="Low (&lt;5k)"/>
    <n v="23293"/>
    <n v="2"/>
    <x v="0"/>
    <n v="18"/>
    <n v="3"/>
    <n v="3"/>
    <n v="0"/>
    <n v="8"/>
    <n v="6"/>
    <s v="Better"/>
    <n v="6"/>
    <x v="1"/>
    <n v="2"/>
    <n v="0"/>
    <n v="1"/>
  </r>
  <r>
    <n v="36"/>
    <s v="Middle Aged"/>
    <n v="0"/>
    <s v="Travel_Rarely"/>
    <n v="938"/>
    <x v="0"/>
    <n v="2"/>
    <s v="Near Office"/>
    <s v="Master"/>
    <s v="Medical"/>
    <n v="3"/>
    <s v="Male"/>
    <n v="79"/>
    <n v="3"/>
    <n v="1"/>
    <s v="Laboratory Technician"/>
    <s v="High"/>
    <s v="Single"/>
    <n v="2519"/>
    <s v="Low (&lt;5k)"/>
    <n v="12287"/>
    <n v="4"/>
    <x v="0"/>
    <n v="21"/>
    <n v="4"/>
    <n v="3"/>
    <n v="0"/>
    <n v="16"/>
    <n v="6"/>
    <s v="Better"/>
    <n v="11"/>
    <x v="2"/>
    <n v="8"/>
    <n v="3"/>
    <n v="9"/>
  </r>
  <r>
    <n v="36"/>
    <s v="Middle Aged"/>
    <n v="1"/>
    <s v="Travel_Rarely"/>
    <n v="530"/>
    <x v="1"/>
    <n v="3"/>
    <s v="Near Office"/>
    <s v="Below College"/>
    <s v="Life Sciences"/>
    <n v="3"/>
    <s v="Male"/>
    <n v="51"/>
    <n v="2"/>
    <n v="3"/>
    <s v="Sales Executive"/>
    <s v="Very High"/>
    <s v="Married"/>
    <n v="10325"/>
    <s v="High (&gt;10k)"/>
    <n v="5518"/>
    <n v="1"/>
    <x v="1"/>
    <n v="11"/>
    <n v="3"/>
    <n v="1"/>
    <n v="1"/>
    <n v="16"/>
    <n v="6"/>
    <s v="Better"/>
    <n v="16"/>
    <x v="2"/>
    <n v="7"/>
    <n v="3"/>
    <n v="7"/>
  </r>
  <r>
    <n v="36"/>
    <s v="Middle Aged"/>
    <n v="0"/>
    <s v="Non-Travel"/>
    <n v="1229"/>
    <x v="1"/>
    <n v="8"/>
    <s v="Moderate"/>
    <s v="Master"/>
    <s v="Technical Degree"/>
    <n v="1"/>
    <s v="Male"/>
    <n v="84"/>
    <n v="3"/>
    <n v="2"/>
    <s v="Sales Executive"/>
    <s v="Very High"/>
    <s v="Divorced"/>
    <n v="5079"/>
    <s v="Medium (5k-10k)"/>
    <n v="25952"/>
    <n v="4"/>
    <x v="0"/>
    <n v="13"/>
    <n v="3"/>
    <n v="4"/>
    <n v="2"/>
    <n v="12"/>
    <n v="3"/>
    <s v="Better"/>
    <n v="7"/>
    <x v="1"/>
    <n v="7"/>
    <n v="0"/>
    <n v="7"/>
  </r>
  <r>
    <n v="36"/>
    <s v="Middle Aged"/>
    <n v="1"/>
    <s v="Travel_Rarely"/>
    <n v="885"/>
    <x v="0"/>
    <n v="16"/>
    <s v="Long Commute"/>
    <s v="Master"/>
    <s v="Life Sciences"/>
    <n v="3"/>
    <s v="Female"/>
    <n v="43"/>
    <n v="4"/>
    <n v="1"/>
    <s v="Laboratory Technician"/>
    <s v="Low"/>
    <s v="Single"/>
    <n v="2743"/>
    <s v="Low (&lt;5k)"/>
    <n v="8269"/>
    <n v="1"/>
    <x v="0"/>
    <n v="16"/>
    <n v="3"/>
    <n v="3"/>
    <n v="0"/>
    <n v="18"/>
    <n v="1"/>
    <s v="Better"/>
    <n v="17"/>
    <x v="2"/>
    <n v="13"/>
    <n v="15"/>
    <n v="14"/>
  </r>
  <r>
    <n v="36"/>
    <s v="Middle Aged"/>
    <n v="1"/>
    <s v="Travel_Rarely"/>
    <n v="660"/>
    <x v="0"/>
    <n v="15"/>
    <s v="Moderate"/>
    <s v="Bachelor"/>
    <s v="Other"/>
    <n v="1"/>
    <s v="Male"/>
    <n v="81"/>
    <n v="3"/>
    <n v="2"/>
    <s v="Laboratory Technician"/>
    <s v="High"/>
    <s v="Divorced"/>
    <n v="4834"/>
    <s v="Low (&lt;5k)"/>
    <n v="7858"/>
    <n v="7"/>
    <x v="0"/>
    <n v="14"/>
    <n v="3"/>
    <n v="2"/>
    <n v="1"/>
    <n v="9"/>
    <n v="3"/>
    <s v="Good"/>
    <n v="1"/>
    <x v="0"/>
    <n v="0"/>
    <n v="0"/>
    <n v="0"/>
  </r>
  <r>
    <n v="36"/>
    <s v="Middle Aged"/>
    <n v="0"/>
    <s v="Travel_Rarely"/>
    <n v="796"/>
    <x v="0"/>
    <n v="12"/>
    <s v="Moderate"/>
    <s v="Doctor"/>
    <s v="Medical"/>
    <n v="4"/>
    <s v="Female"/>
    <n v="51"/>
    <n v="2"/>
    <n v="3"/>
    <s v="Manufacturing Director"/>
    <s v="Very High"/>
    <s v="Single"/>
    <n v="8858"/>
    <s v="Medium (5k-10k)"/>
    <n v="15669"/>
    <n v="0"/>
    <x v="0"/>
    <n v="11"/>
    <n v="3"/>
    <n v="2"/>
    <n v="0"/>
    <n v="15"/>
    <n v="2"/>
    <s v="Good"/>
    <n v="14"/>
    <x v="2"/>
    <n v="8"/>
    <n v="7"/>
    <n v="8"/>
  </r>
  <r>
    <n v="36"/>
    <s v="Middle Aged"/>
    <n v="0"/>
    <s v="Non-Travel"/>
    <n v="217"/>
    <x v="0"/>
    <n v="18"/>
    <s v="Long Commute"/>
    <s v="Master"/>
    <s v="Life Sciences"/>
    <n v="1"/>
    <s v="Male"/>
    <n v="78"/>
    <n v="3"/>
    <n v="2"/>
    <s v="Manufacturing Director"/>
    <s v="Very High"/>
    <s v="Single"/>
    <n v="7779"/>
    <s v="Medium (5k-10k)"/>
    <n v="23238"/>
    <n v="2"/>
    <x v="0"/>
    <n v="20"/>
    <n v="4"/>
    <n v="1"/>
    <n v="0"/>
    <n v="18"/>
    <n v="0"/>
    <s v="Better"/>
    <n v="11"/>
    <x v="2"/>
    <n v="9"/>
    <n v="0"/>
    <n v="9"/>
  </r>
  <r>
    <n v="36"/>
    <s v="Middle Aged"/>
    <n v="0"/>
    <s v="Travel_Rarely"/>
    <n v="917"/>
    <x v="0"/>
    <n v="6"/>
    <s v="Moderate"/>
    <s v="Master"/>
    <s v="Life Sciences"/>
    <n v="3"/>
    <s v="Male"/>
    <n v="60"/>
    <n v="1"/>
    <n v="1"/>
    <s v="Laboratory Technician"/>
    <s v="High"/>
    <s v="Divorced"/>
    <n v="2741"/>
    <s v="Low (&lt;5k)"/>
    <n v="6865"/>
    <n v="1"/>
    <x v="0"/>
    <n v="14"/>
    <n v="3"/>
    <n v="3"/>
    <n v="1"/>
    <n v="7"/>
    <n v="4"/>
    <s v="Better"/>
    <n v="7"/>
    <x v="1"/>
    <n v="7"/>
    <n v="1"/>
    <n v="7"/>
  </r>
  <r>
    <n v="36"/>
    <s v="Middle Aged"/>
    <n v="0"/>
    <s v="Travel_Rarely"/>
    <n v="363"/>
    <x v="0"/>
    <n v="1"/>
    <s v="Near Office"/>
    <s v="Bachelor"/>
    <s v="Technical Degree"/>
    <n v="3"/>
    <s v="Female"/>
    <n v="77"/>
    <n v="1"/>
    <n v="3"/>
    <s v="Manufacturing Director"/>
    <s v="Low"/>
    <s v="Divorced"/>
    <n v="10252"/>
    <s v="High (&gt;10k)"/>
    <n v="4235"/>
    <n v="2"/>
    <x v="1"/>
    <n v="21"/>
    <n v="4"/>
    <n v="3"/>
    <n v="1"/>
    <n v="17"/>
    <n v="2"/>
    <s v="Better"/>
    <n v="7"/>
    <x v="1"/>
    <n v="7"/>
    <n v="7"/>
    <n v="7"/>
  </r>
  <r>
    <n v="36"/>
    <s v="Middle Aged"/>
    <n v="0"/>
    <s v="Travel_Frequently"/>
    <n v="469"/>
    <x v="0"/>
    <n v="3"/>
    <s v="Near Office"/>
    <s v="Bachelor"/>
    <s v="Technical Degree"/>
    <n v="3"/>
    <s v="Male"/>
    <n v="46"/>
    <n v="3"/>
    <n v="1"/>
    <s v="Research Scientist"/>
    <s v="Medium"/>
    <s v="Married"/>
    <n v="3692"/>
    <s v="Low (&lt;5k)"/>
    <n v="9256"/>
    <n v="1"/>
    <x v="0"/>
    <n v="12"/>
    <n v="3"/>
    <n v="3"/>
    <n v="0"/>
    <n v="12"/>
    <n v="2"/>
    <s v="Good"/>
    <n v="11"/>
    <x v="2"/>
    <n v="10"/>
    <n v="0"/>
    <n v="7"/>
  </r>
  <r>
    <n v="36"/>
    <s v="Middle Aged"/>
    <n v="0"/>
    <s v="Travel_Rarely"/>
    <n v="429"/>
    <x v="0"/>
    <n v="2"/>
    <s v="Near Office"/>
    <s v="Master"/>
    <s v="Life Sciences"/>
    <n v="3"/>
    <s v="Female"/>
    <n v="53"/>
    <n v="3"/>
    <n v="2"/>
    <s v="Manufacturing Director"/>
    <s v="Medium"/>
    <s v="Single"/>
    <n v="5410"/>
    <s v="Medium (5k-10k)"/>
    <n v="2323"/>
    <n v="9"/>
    <x v="1"/>
    <n v="11"/>
    <n v="3"/>
    <n v="4"/>
    <n v="0"/>
    <n v="18"/>
    <n v="2"/>
    <s v="Better"/>
    <n v="16"/>
    <x v="2"/>
    <n v="14"/>
    <n v="5"/>
    <n v="12"/>
  </r>
  <r>
    <n v="36"/>
    <s v="Middle Aged"/>
    <n v="0"/>
    <s v="Travel_Rarely"/>
    <n v="325"/>
    <x v="0"/>
    <n v="10"/>
    <s v="Moderate"/>
    <s v="Master"/>
    <s v="Technical Degree"/>
    <n v="4"/>
    <s v="Female"/>
    <n v="63"/>
    <n v="3"/>
    <n v="3"/>
    <s v="Healthcare Representative"/>
    <s v="High"/>
    <s v="Married"/>
    <n v="7094"/>
    <s v="Medium (5k-10k)"/>
    <n v="5747"/>
    <n v="3"/>
    <x v="0"/>
    <n v="12"/>
    <n v="3"/>
    <n v="1"/>
    <n v="0"/>
    <n v="10"/>
    <n v="0"/>
    <s v="Better"/>
    <n v="7"/>
    <x v="1"/>
    <n v="7"/>
    <n v="1"/>
    <n v="7"/>
  </r>
  <r>
    <n v="36"/>
    <s v="Middle Aged"/>
    <n v="0"/>
    <s v="Travel_Frequently"/>
    <n v="607"/>
    <x v="1"/>
    <n v="7"/>
    <s v="Moderate"/>
    <s v="Bachelor"/>
    <s v="Marketing"/>
    <n v="1"/>
    <s v="Female"/>
    <n v="83"/>
    <n v="4"/>
    <n v="2"/>
    <s v="Sales Executive"/>
    <s v="Low"/>
    <s v="Married"/>
    <n v="4639"/>
    <s v="Low (&lt;5k)"/>
    <n v="2261"/>
    <n v="2"/>
    <x v="0"/>
    <n v="16"/>
    <n v="3"/>
    <n v="4"/>
    <n v="1"/>
    <n v="17"/>
    <n v="2"/>
    <s v="Good"/>
    <n v="15"/>
    <x v="2"/>
    <n v="7"/>
    <n v="6"/>
    <n v="13"/>
  </r>
  <r>
    <n v="36"/>
    <s v="Middle Aged"/>
    <n v="0"/>
    <s v="Travel_Rarely"/>
    <n v="1174"/>
    <x v="1"/>
    <n v="3"/>
    <s v="Near Office"/>
    <s v="Master"/>
    <s v="Marketing"/>
    <n v="1"/>
    <s v="Female"/>
    <n v="99"/>
    <n v="3"/>
    <n v="2"/>
    <s v="Sales Executive"/>
    <s v="Medium"/>
    <s v="Single"/>
    <n v="9278"/>
    <s v="Medium (5k-10k)"/>
    <n v="20763"/>
    <n v="3"/>
    <x v="1"/>
    <n v="16"/>
    <n v="3"/>
    <n v="4"/>
    <n v="0"/>
    <n v="15"/>
    <n v="3"/>
    <s v="Better"/>
    <n v="5"/>
    <x v="1"/>
    <n v="4"/>
    <n v="0"/>
    <n v="1"/>
  </r>
  <r>
    <n v="36"/>
    <s v="Middle Aged"/>
    <n v="0"/>
    <s v="Travel_Rarely"/>
    <n v="172"/>
    <x v="0"/>
    <n v="4"/>
    <s v="Near Office"/>
    <s v="Master"/>
    <s v="Life Sciences"/>
    <n v="1"/>
    <s v="Male"/>
    <n v="37"/>
    <n v="2"/>
    <n v="2"/>
    <s v="Laboratory Technician"/>
    <s v="Very High"/>
    <s v="Single"/>
    <n v="5810"/>
    <s v="Medium (5k-10k)"/>
    <n v="22604"/>
    <n v="1"/>
    <x v="0"/>
    <n v="16"/>
    <n v="3"/>
    <n v="3"/>
    <n v="0"/>
    <n v="10"/>
    <n v="2"/>
    <s v="Good"/>
    <n v="10"/>
    <x v="2"/>
    <n v="4"/>
    <n v="1"/>
    <n v="8"/>
  </r>
  <r>
    <n v="36"/>
    <s v="Middle Aged"/>
    <n v="0"/>
    <s v="Travel_Rarely"/>
    <n v="329"/>
    <x v="1"/>
    <n v="16"/>
    <s v="Long Commute"/>
    <s v="Master"/>
    <s v="Marketing"/>
    <n v="3"/>
    <s v="Female"/>
    <n v="98"/>
    <n v="2"/>
    <n v="2"/>
    <s v="Sales Executive"/>
    <s v="Low"/>
    <s v="Married"/>
    <n v="5647"/>
    <s v="Medium (5k-10k)"/>
    <n v="13494"/>
    <n v="4"/>
    <x v="0"/>
    <n v="13"/>
    <n v="3"/>
    <n v="1"/>
    <n v="2"/>
    <n v="11"/>
    <n v="3"/>
    <s v="Good"/>
    <n v="3"/>
    <x v="1"/>
    <n v="2"/>
    <n v="0"/>
    <n v="2"/>
  </r>
  <r>
    <n v="36"/>
    <s v="Middle Aged"/>
    <n v="0"/>
    <s v="Travel_Rarely"/>
    <n v="1157"/>
    <x v="1"/>
    <n v="2"/>
    <s v="Near Office"/>
    <s v="Master"/>
    <s v="Life Sciences"/>
    <n v="3"/>
    <s v="Male"/>
    <n v="70"/>
    <n v="3"/>
    <n v="1"/>
    <s v="Sales Representative"/>
    <s v="Very High"/>
    <s v="Single"/>
    <n v="2644"/>
    <s v="Low (&lt;5k)"/>
    <n v="17001"/>
    <n v="3"/>
    <x v="1"/>
    <n v="21"/>
    <n v="4"/>
    <n v="4"/>
    <n v="0"/>
    <n v="7"/>
    <n v="3"/>
    <s v="Good"/>
    <n v="3"/>
    <x v="1"/>
    <n v="2"/>
    <n v="1"/>
    <n v="2"/>
  </r>
  <r>
    <n v="36"/>
    <s v="Middle Aged"/>
    <n v="0"/>
    <s v="Travel_Rarely"/>
    <n v="884"/>
    <x v="1"/>
    <n v="1"/>
    <s v="Near Office"/>
    <s v="Master"/>
    <s v="Life Sciences"/>
    <n v="2"/>
    <s v="Female"/>
    <n v="73"/>
    <n v="3"/>
    <n v="2"/>
    <s v="Sales Executive"/>
    <s v="High"/>
    <s v="Single"/>
    <n v="6815"/>
    <s v="Medium (5k-10k)"/>
    <n v="21447"/>
    <n v="6"/>
    <x v="0"/>
    <n v="13"/>
    <n v="3"/>
    <n v="1"/>
    <n v="0"/>
    <n v="15"/>
    <n v="5"/>
    <s v="Better"/>
    <n v="1"/>
    <x v="0"/>
    <n v="0"/>
    <n v="0"/>
    <n v="0"/>
  </r>
  <r>
    <n v="36"/>
    <s v="Middle Aged"/>
    <n v="0"/>
    <s v="Travel_Frequently"/>
    <n v="1302"/>
    <x v="0"/>
    <n v="6"/>
    <s v="Moderate"/>
    <s v="Master"/>
    <s v="Life Sciences"/>
    <n v="1"/>
    <s v="Male"/>
    <n v="80"/>
    <n v="4"/>
    <n v="2"/>
    <s v="Laboratory Technician"/>
    <s v="Low"/>
    <s v="Married"/>
    <n v="5562"/>
    <s v="Medium (5k-10k)"/>
    <n v="19711"/>
    <n v="3"/>
    <x v="1"/>
    <n v="13"/>
    <n v="3"/>
    <n v="4"/>
    <n v="1"/>
    <n v="9"/>
    <n v="3"/>
    <s v="Better"/>
    <n v="3"/>
    <x v="1"/>
    <n v="2"/>
    <n v="0"/>
    <n v="2"/>
  </r>
  <r>
    <n v="36"/>
    <s v="Middle Aged"/>
    <n v="0"/>
    <s v="Travel_Rarely"/>
    <n v="559"/>
    <x v="0"/>
    <n v="12"/>
    <s v="Moderate"/>
    <s v="Master"/>
    <s v="Life Sciences"/>
    <n v="3"/>
    <s v="Female"/>
    <n v="76"/>
    <n v="3"/>
    <n v="2"/>
    <s v="Manufacturing Director"/>
    <s v="High"/>
    <s v="Married"/>
    <n v="4663"/>
    <s v="Low (&lt;5k)"/>
    <n v="12421"/>
    <n v="9"/>
    <x v="1"/>
    <n v="12"/>
    <n v="3"/>
    <n v="2"/>
    <n v="2"/>
    <n v="7"/>
    <n v="2"/>
    <s v="Better"/>
    <n v="3"/>
    <x v="1"/>
    <n v="2"/>
    <n v="1"/>
    <n v="1"/>
  </r>
  <r>
    <n v="36"/>
    <s v="Middle Aged"/>
    <n v="0"/>
    <s v="Travel_Rarely"/>
    <n v="711"/>
    <x v="0"/>
    <n v="5"/>
    <s v="Near Office"/>
    <s v="Master"/>
    <s v="Life Sciences"/>
    <n v="2"/>
    <s v="Female"/>
    <n v="42"/>
    <n v="3"/>
    <n v="3"/>
    <s v="Healthcare Representative"/>
    <s v="Low"/>
    <s v="Married"/>
    <n v="8008"/>
    <s v="Medium (5k-10k)"/>
    <n v="22792"/>
    <n v="4"/>
    <x v="0"/>
    <n v="12"/>
    <n v="3"/>
    <n v="3"/>
    <n v="2"/>
    <n v="9"/>
    <n v="6"/>
    <s v="Better"/>
    <n v="3"/>
    <x v="1"/>
    <n v="2"/>
    <n v="0"/>
    <n v="2"/>
  </r>
  <r>
    <n v="36"/>
    <s v="Middle Aged"/>
    <n v="0"/>
    <s v="Travel_Rarely"/>
    <n v="311"/>
    <x v="0"/>
    <n v="7"/>
    <s v="Moderate"/>
    <s v="Bachelor"/>
    <s v="Life Sciences"/>
    <n v="1"/>
    <s v="Male"/>
    <n v="77"/>
    <n v="3"/>
    <n v="1"/>
    <s v="Laboratory Technician"/>
    <s v="Medium"/>
    <s v="Single"/>
    <n v="2013"/>
    <s v="Low (&lt;5k)"/>
    <n v="10950"/>
    <n v="2"/>
    <x v="0"/>
    <n v="11"/>
    <n v="3"/>
    <n v="3"/>
    <n v="0"/>
    <n v="15"/>
    <n v="4"/>
    <s v="Better"/>
    <n v="4"/>
    <x v="1"/>
    <n v="3"/>
    <n v="1"/>
    <n v="3"/>
  </r>
  <r>
    <n v="36"/>
    <s v="Middle Aged"/>
    <n v="0"/>
    <s v="Non-Travel"/>
    <n v="894"/>
    <x v="0"/>
    <n v="1"/>
    <s v="Near Office"/>
    <s v="Master"/>
    <s v="Medical"/>
    <n v="4"/>
    <s v="Female"/>
    <n v="33"/>
    <n v="2"/>
    <n v="2"/>
    <s v="Manufacturing Director"/>
    <s v="High"/>
    <s v="Married"/>
    <n v="4374"/>
    <s v="Low (&lt;5k)"/>
    <n v="15411"/>
    <n v="0"/>
    <x v="0"/>
    <n v="15"/>
    <n v="3"/>
    <n v="3"/>
    <n v="0"/>
    <n v="4"/>
    <n v="6"/>
    <s v="Better"/>
    <n v="3"/>
    <x v="1"/>
    <n v="2"/>
    <n v="1"/>
    <n v="2"/>
  </r>
  <r>
    <n v="36"/>
    <s v="Middle Aged"/>
    <n v="0"/>
    <s v="Travel_Rarely"/>
    <n v="1040"/>
    <x v="0"/>
    <n v="3"/>
    <s v="Near Office"/>
    <s v="College"/>
    <s v="Life Sciences"/>
    <n v="4"/>
    <s v="Male"/>
    <n v="79"/>
    <n v="4"/>
    <n v="2"/>
    <s v="Healthcare Representative"/>
    <s v="Low"/>
    <s v="Divorced"/>
    <n v="6842"/>
    <s v="Medium (5k-10k)"/>
    <n v="26308"/>
    <n v="6"/>
    <x v="0"/>
    <n v="20"/>
    <n v="4"/>
    <n v="1"/>
    <n v="1"/>
    <n v="13"/>
    <n v="3"/>
    <s v="Better"/>
    <n v="5"/>
    <x v="1"/>
    <n v="4"/>
    <n v="0"/>
    <n v="4"/>
  </r>
  <r>
    <n v="36"/>
    <s v="Middle Aged"/>
    <n v="0"/>
    <s v="Travel_Rarely"/>
    <n v="1351"/>
    <x v="0"/>
    <n v="26"/>
    <s v="Long Commute"/>
    <s v="Master"/>
    <s v="Life Sciences"/>
    <n v="1"/>
    <s v="Male"/>
    <n v="80"/>
    <n v="3"/>
    <n v="2"/>
    <s v="Healthcare Representative"/>
    <s v="High"/>
    <s v="Married"/>
    <n v="5347"/>
    <s v="Medium (5k-10k)"/>
    <n v="7419"/>
    <n v="6"/>
    <x v="0"/>
    <n v="14"/>
    <n v="3"/>
    <n v="2"/>
    <n v="2"/>
    <n v="10"/>
    <n v="2"/>
    <s v="Good"/>
    <n v="3"/>
    <x v="1"/>
    <n v="2"/>
    <n v="0"/>
    <n v="2"/>
  </r>
  <r>
    <n v="36"/>
    <s v="Middle Aged"/>
    <n v="0"/>
    <s v="Travel_Rarely"/>
    <n v="530"/>
    <x v="1"/>
    <n v="2"/>
    <s v="Near Office"/>
    <s v="Master"/>
    <s v="Life Sciences"/>
    <n v="3"/>
    <s v="Female"/>
    <n v="51"/>
    <n v="3"/>
    <n v="2"/>
    <s v="Sales Representative"/>
    <s v="Very High"/>
    <s v="Single"/>
    <n v="4502"/>
    <s v="Low (&lt;5k)"/>
    <n v="7439"/>
    <n v="3"/>
    <x v="0"/>
    <n v="15"/>
    <n v="3"/>
    <n v="3"/>
    <n v="0"/>
    <n v="17"/>
    <n v="2"/>
    <s v="Good"/>
    <n v="13"/>
    <x v="2"/>
    <n v="7"/>
    <n v="6"/>
    <n v="7"/>
  </r>
  <r>
    <n v="36"/>
    <s v="Middle Aged"/>
    <n v="1"/>
    <s v="Travel_Rarely"/>
    <n v="1456"/>
    <x v="1"/>
    <n v="13"/>
    <s v="Moderate"/>
    <s v="Doctor"/>
    <s v="Marketing"/>
    <n v="2"/>
    <s v="Male"/>
    <n v="96"/>
    <n v="2"/>
    <n v="2"/>
    <s v="Sales Executive"/>
    <s v="Low"/>
    <s v="Divorced"/>
    <n v="6134"/>
    <s v="Medium (5k-10k)"/>
    <n v="8658"/>
    <n v="5"/>
    <x v="1"/>
    <n v="13"/>
    <n v="3"/>
    <n v="2"/>
    <n v="3"/>
    <n v="16"/>
    <n v="3"/>
    <s v="Better"/>
    <n v="2"/>
    <x v="0"/>
    <n v="2"/>
    <n v="2"/>
    <n v="2"/>
  </r>
  <r>
    <n v="36"/>
    <s v="Middle Aged"/>
    <n v="0"/>
    <s v="Travel_Rarely"/>
    <n v="1383"/>
    <x v="0"/>
    <n v="10"/>
    <s v="Moderate"/>
    <s v="Bachelor"/>
    <s v="Life Sciences"/>
    <n v="4"/>
    <s v="Male"/>
    <n v="90"/>
    <n v="3"/>
    <n v="3"/>
    <s v="Healthcare Representative"/>
    <s v="Low"/>
    <s v="Married"/>
    <n v="8321"/>
    <s v="Medium (5k-10k)"/>
    <n v="25949"/>
    <n v="7"/>
    <x v="1"/>
    <n v="13"/>
    <n v="3"/>
    <n v="4"/>
    <n v="1"/>
    <n v="15"/>
    <n v="1"/>
    <s v="Better"/>
    <n v="12"/>
    <x v="2"/>
    <n v="8"/>
    <n v="5"/>
    <n v="7"/>
  </r>
  <r>
    <n v="36"/>
    <s v="Middle Aged"/>
    <n v="0"/>
    <s v="Travel_Rarely"/>
    <n v="430"/>
    <x v="0"/>
    <n v="2"/>
    <s v="Near Office"/>
    <s v="Master"/>
    <s v="Other"/>
    <n v="4"/>
    <s v="Female"/>
    <n v="73"/>
    <n v="3"/>
    <n v="2"/>
    <s v="Research Scientist"/>
    <s v="Medium"/>
    <s v="Married"/>
    <n v="6962"/>
    <s v="Medium (5k-10k)"/>
    <n v="19573"/>
    <n v="4"/>
    <x v="1"/>
    <n v="22"/>
    <n v="4"/>
    <n v="4"/>
    <n v="1"/>
    <n v="15"/>
    <n v="2"/>
    <s v="Better"/>
    <n v="1"/>
    <x v="0"/>
    <n v="0"/>
    <n v="0"/>
    <n v="0"/>
  </r>
  <r>
    <n v="36"/>
    <s v="Middle Aged"/>
    <n v="0"/>
    <s v="Travel_Rarely"/>
    <n v="1266"/>
    <x v="1"/>
    <n v="10"/>
    <s v="Moderate"/>
    <s v="Master"/>
    <s v="Technical Degree"/>
    <n v="2"/>
    <s v="Female"/>
    <n v="63"/>
    <n v="2"/>
    <n v="2"/>
    <s v="Sales Executive"/>
    <s v="High"/>
    <s v="Married"/>
    <n v="5673"/>
    <s v="Medium (5k-10k)"/>
    <n v="6060"/>
    <n v="1"/>
    <x v="1"/>
    <n v="13"/>
    <n v="3"/>
    <n v="1"/>
    <n v="1"/>
    <n v="10"/>
    <n v="4"/>
    <s v="Better"/>
    <n v="10"/>
    <x v="2"/>
    <n v="9"/>
    <n v="1"/>
    <n v="7"/>
  </r>
  <r>
    <n v="36"/>
    <s v="Middle Aged"/>
    <n v="0"/>
    <s v="Travel_Frequently"/>
    <n v="1213"/>
    <x v="2"/>
    <n v="2"/>
    <s v="Near Office"/>
    <s v="Below College"/>
    <s v="Human Resources"/>
    <n v="2"/>
    <s v="Male"/>
    <n v="94"/>
    <n v="2"/>
    <n v="2"/>
    <s v="Human Resources"/>
    <s v="Very High"/>
    <s v="Single"/>
    <n v="3886"/>
    <s v="Low (&lt;5k)"/>
    <n v="4223"/>
    <n v="1"/>
    <x v="0"/>
    <n v="21"/>
    <n v="4"/>
    <n v="4"/>
    <n v="0"/>
    <n v="10"/>
    <n v="2"/>
    <s v="Good"/>
    <n v="10"/>
    <x v="2"/>
    <n v="1"/>
    <n v="0"/>
    <n v="8"/>
  </r>
  <r>
    <n v="36"/>
    <s v="Middle Aged"/>
    <n v="0"/>
    <s v="Travel_Rarely"/>
    <n v="335"/>
    <x v="1"/>
    <n v="17"/>
    <s v="Long Commute"/>
    <s v="College"/>
    <s v="Marketing"/>
    <n v="3"/>
    <s v="Male"/>
    <n v="33"/>
    <n v="2"/>
    <n v="2"/>
    <s v="Sales Executive"/>
    <s v="Medium"/>
    <s v="Married"/>
    <n v="5507"/>
    <s v="Medium (5k-10k)"/>
    <n v="16822"/>
    <n v="2"/>
    <x v="0"/>
    <n v="16"/>
    <n v="3"/>
    <n v="3"/>
    <n v="2"/>
    <n v="12"/>
    <n v="1"/>
    <s v="Bad"/>
    <n v="4"/>
    <x v="1"/>
    <n v="2"/>
    <n v="1"/>
    <n v="3"/>
  </r>
  <r>
    <n v="36"/>
    <s v="Middle Aged"/>
    <n v="0"/>
    <s v="Non-Travel"/>
    <n v="1351"/>
    <x v="0"/>
    <n v="9"/>
    <s v="Moderate"/>
    <s v="Master"/>
    <s v="Life Sciences"/>
    <n v="1"/>
    <s v="Male"/>
    <n v="66"/>
    <n v="4"/>
    <n v="1"/>
    <s v="Laboratory Technician"/>
    <s v="Medium"/>
    <s v="Married"/>
    <n v="2810"/>
    <s v="Low (&lt;5k)"/>
    <n v="9238"/>
    <n v="1"/>
    <x v="0"/>
    <n v="22"/>
    <n v="4"/>
    <n v="2"/>
    <n v="0"/>
    <n v="5"/>
    <n v="3"/>
    <s v="Better"/>
    <n v="5"/>
    <x v="1"/>
    <n v="4"/>
    <n v="0"/>
    <n v="2"/>
  </r>
  <r>
    <n v="36"/>
    <s v="Middle Aged"/>
    <n v="0"/>
    <s v="Travel_Rarely"/>
    <n v="557"/>
    <x v="1"/>
    <n v="3"/>
    <s v="Near Office"/>
    <s v="Bachelor"/>
    <s v="Medical"/>
    <n v="1"/>
    <s v="Female"/>
    <n v="94"/>
    <n v="2"/>
    <n v="3"/>
    <s v="Sales Executive"/>
    <s v="Very High"/>
    <s v="Married"/>
    <n v="7644"/>
    <s v="Medium (5k-10k)"/>
    <n v="12695"/>
    <n v="0"/>
    <x v="0"/>
    <n v="19"/>
    <n v="3"/>
    <n v="3"/>
    <n v="2"/>
    <n v="10"/>
    <n v="2"/>
    <s v="Better"/>
    <n v="9"/>
    <x v="1"/>
    <n v="7"/>
    <n v="3"/>
    <n v="4"/>
  </r>
  <r>
    <n v="36"/>
    <s v="Middle Aged"/>
    <n v="0"/>
    <s v="Travel_Frequently"/>
    <n v="688"/>
    <x v="0"/>
    <n v="4"/>
    <s v="Near Office"/>
    <s v="College"/>
    <s v="Life Sciences"/>
    <n v="4"/>
    <s v="Female"/>
    <n v="97"/>
    <n v="3"/>
    <n v="2"/>
    <s v="Manufacturing Director"/>
    <s v="Medium"/>
    <s v="Divorced"/>
    <n v="5131"/>
    <s v="Medium (5k-10k)"/>
    <n v="9192"/>
    <n v="7"/>
    <x v="0"/>
    <n v="13"/>
    <n v="3"/>
    <n v="2"/>
    <n v="3"/>
    <n v="18"/>
    <n v="3"/>
    <s v="Better"/>
    <n v="4"/>
    <x v="1"/>
    <n v="2"/>
    <n v="0"/>
    <n v="2"/>
  </r>
  <r>
    <n v="36"/>
    <s v="Middle Aged"/>
    <n v="0"/>
    <s v="Non-Travel"/>
    <n v="301"/>
    <x v="1"/>
    <n v="15"/>
    <s v="Moderate"/>
    <s v="Master"/>
    <s v="Marketing"/>
    <n v="4"/>
    <s v="Male"/>
    <n v="88"/>
    <n v="1"/>
    <n v="2"/>
    <s v="Sales Executive"/>
    <s v="Very High"/>
    <s v="Divorced"/>
    <n v="5406"/>
    <s v="Medium (5k-10k)"/>
    <n v="10436"/>
    <n v="1"/>
    <x v="0"/>
    <n v="24"/>
    <n v="4"/>
    <n v="1"/>
    <n v="1"/>
    <n v="15"/>
    <n v="4"/>
    <s v="Good"/>
    <n v="15"/>
    <x v="2"/>
    <n v="12"/>
    <n v="11"/>
    <n v="11"/>
  </r>
  <r>
    <n v="36"/>
    <s v="Middle Aged"/>
    <n v="0"/>
    <s v="Travel_Rarely"/>
    <n v="1120"/>
    <x v="1"/>
    <n v="11"/>
    <s v="Moderate"/>
    <s v="Master"/>
    <s v="Marketing"/>
    <n v="2"/>
    <s v="Female"/>
    <n v="100"/>
    <n v="2"/>
    <n v="2"/>
    <s v="Sales Executive"/>
    <s v="Very High"/>
    <s v="Married"/>
    <n v="6652"/>
    <s v="Medium (5k-10k)"/>
    <n v="14369"/>
    <n v="4"/>
    <x v="0"/>
    <n v="13"/>
    <n v="3"/>
    <n v="1"/>
    <n v="1"/>
    <n v="8"/>
    <n v="2"/>
    <s v="Good"/>
    <n v="6"/>
    <x v="1"/>
    <n v="3"/>
    <n v="0"/>
    <n v="0"/>
  </r>
  <r>
    <n v="36"/>
    <s v="Middle Aged"/>
    <n v="0"/>
    <s v="Travel_Frequently"/>
    <n v="884"/>
    <x v="0"/>
    <n v="23"/>
    <s v="Long Commute"/>
    <s v="College"/>
    <s v="Medical"/>
    <n v="3"/>
    <s v="Male"/>
    <n v="41"/>
    <n v="4"/>
    <n v="2"/>
    <s v="Laboratory Technician"/>
    <s v="Very High"/>
    <s v="Married"/>
    <n v="2571"/>
    <s v="Low (&lt;5k)"/>
    <n v="12290"/>
    <n v="4"/>
    <x v="0"/>
    <n v="17"/>
    <n v="3"/>
    <n v="3"/>
    <n v="1"/>
    <n v="17"/>
    <n v="3"/>
    <s v="Better"/>
    <n v="5"/>
    <x v="1"/>
    <n v="2"/>
    <n v="0"/>
    <n v="3"/>
  </r>
  <r>
    <n v="37"/>
    <s v="Middle Aged"/>
    <n v="1"/>
    <s v="Travel_Rarely"/>
    <n v="1373"/>
    <x v="0"/>
    <n v="2"/>
    <s v="Near Office"/>
    <s v="College"/>
    <s v="Other"/>
    <n v="4"/>
    <s v="Male"/>
    <n v="92"/>
    <n v="2"/>
    <n v="1"/>
    <s v="Laboratory Technician"/>
    <s v="High"/>
    <s v="Single"/>
    <n v="2090"/>
    <s v="Low (&lt;5k)"/>
    <n v="2396"/>
    <n v="6"/>
    <x v="1"/>
    <n v="15"/>
    <n v="3"/>
    <n v="2"/>
    <n v="0"/>
    <n v="7"/>
    <n v="3"/>
    <s v="Better"/>
    <n v="0"/>
    <x v="0"/>
    <n v="0"/>
    <n v="0"/>
    <n v="0"/>
  </r>
  <r>
    <n v="37"/>
    <s v="Middle Aged"/>
    <n v="0"/>
    <s v="Travel_Rarely"/>
    <n v="408"/>
    <x v="0"/>
    <n v="19"/>
    <s v="Long Commute"/>
    <s v="College"/>
    <s v="Life Sciences"/>
    <n v="2"/>
    <s v="Male"/>
    <n v="73"/>
    <n v="3"/>
    <n v="1"/>
    <s v="Research Scientist"/>
    <s v="Medium"/>
    <s v="Married"/>
    <n v="3022"/>
    <s v="Low (&lt;5k)"/>
    <n v="10227"/>
    <n v="4"/>
    <x v="0"/>
    <n v="21"/>
    <n v="4"/>
    <n v="1"/>
    <n v="0"/>
    <n v="8"/>
    <n v="1"/>
    <s v="Better"/>
    <n v="1"/>
    <x v="0"/>
    <n v="0"/>
    <n v="0"/>
    <n v="0"/>
  </r>
  <r>
    <n v="37"/>
    <s v="Middle Aged"/>
    <n v="0"/>
    <s v="Travel_Rarely"/>
    <n v="1115"/>
    <x v="0"/>
    <n v="1"/>
    <s v="Near Office"/>
    <s v="Master"/>
    <s v="Life Sciences"/>
    <n v="1"/>
    <s v="Male"/>
    <n v="51"/>
    <n v="2"/>
    <n v="2"/>
    <s v="Manufacturing Director"/>
    <s v="High"/>
    <s v="Divorced"/>
    <n v="5993"/>
    <s v="Medium (5k-10k)"/>
    <n v="2689"/>
    <n v="1"/>
    <x v="0"/>
    <n v="18"/>
    <n v="3"/>
    <n v="3"/>
    <n v="1"/>
    <n v="7"/>
    <n v="2"/>
    <s v="Best"/>
    <n v="7"/>
    <x v="1"/>
    <n v="5"/>
    <n v="0"/>
    <n v="7"/>
  </r>
  <r>
    <n v="37"/>
    <s v="Middle Aged"/>
    <n v="0"/>
    <s v="Travel_Rarely"/>
    <n v="397"/>
    <x v="0"/>
    <n v="7"/>
    <s v="Moderate"/>
    <s v="Master"/>
    <s v="Medical"/>
    <n v="1"/>
    <s v="Male"/>
    <n v="30"/>
    <n v="3"/>
    <n v="3"/>
    <s v="Research Director"/>
    <s v="High"/>
    <s v="Single"/>
    <n v="13664"/>
    <s v="High (&gt;10k)"/>
    <n v="25258"/>
    <n v="4"/>
    <x v="0"/>
    <n v="13"/>
    <n v="3"/>
    <n v="1"/>
    <n v="0"/>
    <n v="16"/>
    <n v="3"/>
    <s v="Best"/>
    <n v="5"/>
    <x v="1"/>
    <n v="2"/>
    <n v="0"/>
    <n v="2"/>
  </r>
  <r>
    <n v="37"/>
    <s v="Middle Aged"/>
    <n v="1"/>
    <s v="Travel_Rarely"/>
    <n v="807"/>
    <x v="2"/>
    <n v="6"/>
    <s v="Moderate"/>
    <s v="Master"/>
    <s v="Human Resources"/>
    <n v="3"/>
    <s v="Male"/>
    <n v="63"/>
    <n v="3"/>
    <n v="1"/>
    <s v="Human Resources"/>
    <s v="Low"/>
    <s v="Divorced"/>
    <n v="2073"/>
    <s v="Low (&lt;5k)"/>
    <n v="23648"/>
    <n v="4"/>
    <x v="1"/>
    <n v="22"/>
    <n v="4"/>
    <n v="4"/>
    <n v="0"/>
    <n v="7"/>
    <n v="3"/>
    <s v="Better"/>
    <n v="3"/>
    <x v="1"/>
    <n v="2"/>
    <n v="0"/>
    <n v="2"/>
  </r>
  <r>
    <n v="37"/>
    <s v="Middle Aged"/>
    <n v="0"/>
    <s v="Non-Travel"/>
    <n v="1040"/>
    <x v="0"/>
    <n v="2"/>
    <s v="Near Office"/>
    <s v="College"/>
    <s v="Life Sciences"/>
    <n v="3"/>
    <s v="Male"/>
    <n v="100"/>
    <n v="2"/>
    <n v="2"/>
    <s v="Healthcare Representative"/>
    <s v="Very High"/>
    <s v="Divorced"/>
    <n v="5163"/>
    <s v="Medium (5k-10k)"/>
    <n v="15850"/>
    <n v="5"/>
    <x v="0"/>
    <n v="14"/>
    <n v="3"/>
    <n v="4"/>
    <n v="1"/>
    <n v="17"/>
    <n v="2"/>
    <s v="Best"/>
    <n v="1"/>
    <x v="0"/>
    <n v="0"/>
    <n v="0"/>
    <n v="0"/>
  </r>
  <r>
    <n v="37"/>
    <s v="Middle Aged"/>
    <n v="0"/>
    <s v="Travel_Rarely"/>
    <n v="1189"/>
    <x v="1"/>
    <n v="3"/>
    <s v="Near Office"/>
    <s v="Bachelor"/>
    <s v="Life Sciences"/>
    <n v="3"/>
    <s v="Male"/>
    <n v="87"/>
    <n v="3"/>
    <n v="3"/>
    <s v="Sales Executive"/>
    <s v="Very High"/>
    <s v="Single"/>
    <n v="7428"/>
    <s v="Medium (5k-10k)"/>
    <n v="14506"/>
    <n v="2"/>
    <x v="0"/>
    <n v="12"/>
    <n v="3"/>
    <n v="1"/>
    <n v="0"/>
    <n v="12"/>
    <n v="3"/>
    <s v="Better"/>
    <n v="5"/>
    <x v="1"/>
    <n v="3"/>
    <n v="1"/>
    <n v="3"/>
  </r>
  <r>
    <n v="37"/>
    <s v="Middle Aged"/>
    <n v="0"/>
    <s v="Travel_Rarely"/>
    <n v="290"/>
    <x v="0"/>
    <n v="21"/>
    <s v="Long Commute"/>
    <s v="Bachelor"/>
    <s v="Life Sciences"/>
    <n v="2"/>
    <s v="Male"/>
    <n v="65"/>
    <n v="4"/>
    <n v="1"/>
    <s v="Research Scientist"/>
    <s v="Low"/>
    <s v="Married"/>
    <n v="3564"/>
    <s v="Low (&lt;5k)"/>
    <n v="22977"/>
    <n v="1"/>
    <x v="1"/>
    <n v="12"/>
    <n v="3"/>
    <n v="1"/>
    <n v="1"/>
    <n v="8"/>
    <n v="3"/>
    <s v="Good"/>
    <n v="8"/>
    <x v="1"/>
    <n v="7"/>
    <n v="1"/>
    <n v="7"/>
  </r>
  <r>
    <n v="37"/>
    <s v="Middle Aged"/>
    <n v="0"/>
    <s v="Travel_Frequently"/>
    <n v="663"/>
    <x v="0"/>
    <n v="11"/>
    <s v="Moderate"/>
    <s v="Bachelor"/>
    <s v="Other"/>
    <n v="2"/>
    <s v="Male"/>
    <n v="47"/>
    <n v="3"/>
    <n v="3"/>
    <s v="Research Director"/>
    <s v="Very High"/>
    <s v="Divorced"/>
    <n v="12185"/>
    <s v="High (&gt;10k)"/>
    <n v="10056"/>
    <n v="1"/>
    <x v="1"/>
    <n v="14"/>
    <n v="3"/>
    <n v="3"/>
    <n v="3"/>
    <n v="10"/>
    <n v="1"/>
    <s v="Better"/>
    <n v="10"/>
    <x v="2"/>
    <n v="8"/>
    <n v="0"/>
    <n v="7"/>
  </r>
  <r>
    <n v="37"/>
    <s v="Middle Aged"/>
    <n v="0"/>
    <s v="Travel_Frequently"/>
    <n v="319"/>
    <x v="1"/>
    <n v="4"/>
    <s v="Near Office"/>
    <s v="Master"/>
    <s v="Marketing"/>
    <n v="1"/>
    <s v="Male"/>
    <n v="41"/>
    <n v="3"/>
    <n v="1"/>
    <s v="Sales Representative"/>
    <s v="Very High"/>
    <s v="Divorced"/>
    <n v="2793"/>
    <s v="Low (&lt;5k)"/>
    <n v="2539"/>
    <n v="4"/>
    <x v="0"/>
    <n v="17"/>
    <n v="3"/>
    <n v="3"/>
    <n v="1"/>
    <n v="13"/>
    <n v="2"/>
    <s v="Better"/>
    <n v="9"/>
    <x v="1"/>
    <n v="8"/>
    <n v="5"/>
    <n v="8"/>
  </r>
  <r>
    <n v="37"/>
    <s v="Middle Aged"/>
    <n v="0"/>
    <s v="Travel_Rarely"/>
    <n v="1017"/>
    <x v="0"/>
    <n v="1"/>
    <s v="Near Office"/>
    <s v="College"/>
    <s v="Medical"/>
    <n v="3"/>
    <s v="Female"/>
    <n v="83"/>
    <n v="2"/>
    <n v="1"/>
    <s v="Research Scientist"/>
    <s v="Low"/>
    <s v="Married"/>
    <n v="3920"/>
    <s v="Low (&lt;5k)"/>
    <n v="18697"/>
    <n v="2"/>
    <x v="0"/>
    <n v="14"/>
    <n v="3"/>
    <n v="1"/>
    <n v="1"/>
    <n v="17"/>
    <n v="2"/>
    <s v="Good"/>
    <n v="3"/>
    <x v="1"/>
    <n v="1"/>
    <n v="0"/>
    <n v="2"/>
  </r>
  <r>
    <n v="37"/>
    <s v="Middle Aged"/>
    <n v="1"/>
    <s v="Travel_Frequently"/>
    <n v="504"/>
    <x v="0"/>
    <n v="10"/>
    <s v="Moderate"/>
    <s v="Bachelor"/>
    <s v="Medical"/>
    <n v="1"/>
    <s v="Male"/>
    <n v="61"/>
    <n v="3"/>
    <n v="3"/>
    <s v="Manufacturing Director"/>
    <s v="High"/>
    <s v="Divorced"/>
    <n v="10048"/>
    <s v="High (&gt;10k)"/>
    <n v="22573"/>
    <n v="6"/>
    <x v="0"/>
    <n v="11"/>
    <n v="3"/>
    <n v="2"/>
    <n v="2"/>
    <n v="17"/>
    <n v="5"/>
    <s v="Better"/>
    <n v="1"/>
    <x v="0"/>
    <n v="0"/>
    <n v="0"/>
    <n v="0"/>
  </r>
  <r>
    <n v="37"/>
    <s v="Middle Aged"/>
    <n v="0"/>
    <s v="Travel_Rarely"/>
    <n v="228"/>
    <x v="1"/>
    <n v="6"/>
    <s v="Moderate"/>
    <s v="Master"/>
    <s v="Medical"/>
    <n v="3"/>
    <s v="Male"/>
    <n v="98"/>
    <n v="3"/>
    <n v="2"/>
    <s v="Sales Executive"/>
    <s v="Very High"/>
    <s v="Married"/>
    <n v="6502"/>
    <s v="Medium (5k-10k)"/>
    <n v="22825"/>
    <n v="4"/>
    <x v="0"/>
    <n v="14"/>
    <n v="3"/>
    <n v="2"/>
    <n v="1"/>
    <n v="7"/>
    <n v="5"/>
    <s v="Best"/>
    <n v="5"/>
    <x v="1"/>
    <n v="4"/>
    <n v="0"/>
    <n v="1"/>
  </r>
  <r>
    <n v="37"/>
    <s v="Middle Aged"/>
    <n v="0"/>
    <s v="Non-Travel"/>
    <n v="728"/>
    <x v="0"/>
    <n v="1"/>
    <s v="Near Office"/>
    <s v="Master"/>
    <s v="Medical"/>
    <n v="1"/>
    <s v="Female"/>
    <n v="80"/>
    <n v="3"/>
    <n v="3"/>
    <s v="Research Director"/>
    <s v="Very High"/>
    <s v="Divorced"/>
    <n v="13603"/>
    <s v="High (&gt;10k)"/>
    <n v="11677"/>
    <n v="2"/>
    <x v="1"/>
    <n v="18"/>
    <n v="3"/>
    <n v="1"/>
    <n v="2"/>
    <n v="15"/>
    <n v="2"/>
    <s v="Better"/>
    <n v="5"/>
    <x v="1"/>
    <n v="2"/>
    <n v="0"/>
    <n v="2"/>
  </r>
  <r>
    <n v="37"/>
    <s v="Middle Aged"/>
    <n v="0"/>
    <s v="Travel_Rarely"/>
    <n v="1372"/>
    <x v="0"/>
    <n v="1"/>
    <s v="Near Office"/>
    <s v="Bachelor"/>
    <s v="Life Sciences"/>
    <n v="4"/>
    <s v="Female"/>
    <n v="42"/>
    <n v="3"/>
    <n v="1"/>
    <s v="Research Scientist"/>
    <s v="Very High"/>
    <s v="Single"/>
    <n v="2115"/>
    <s v="Low (&lt;5k)"/>
    <n v="15881"/>
    <n v="1"/>
    <x v="0"/>
    <n v="12"/>
    <n v="3"/>
    <n v="2"/>
    <n v="0"/>
    <n v="17"/>
    <n v="3"/>
    <s v="Better"/>
    <n v="17"/>
    <x v="2"/>
    <n v="12"/>
    <n v="5"/>
    <n v="7"/>
  </r>
  <r>
    <n v="37"/>
    <s v="Middle Aged"/>
    <n v="0"/>
    <s v="Travel_Frequently"/>
    <n v="889"/>
    <x v="0"/>
    <n v="9"/>
    <s v="Moderate"/>
    <s v="Bachelor"/>
    <s v="Medical"/>
    <n v="2"/>
    <s v="Male"/>
    <n v="53"/>
    <n v="3"/>
    <n v="1"/>
    <s v="Research Scientist"/>
    <s v="Very High"/>
    <s v="Married"/>
    <n v="2326"/>
    <s v="Low (&lt;5k)"/>
    <n v="11411"/>
    <n v="1"/>
    <x v="1"/>
    <n v="12"/>
    <n v="3"/>
    <n v="3"/>
    <n v="3"/>
    <n v="4"/>
    <n v="3"/>
    <s v="Good"/>
    <n v="4"/>
    <x v="1"/>
    <n v="2"/>
    <n v="1"/>
    <n v="2"/>
  </r>
  <r>
    <n v="37"/>
    <s v="Middle Aged"/>
    <n v="0"/>
    <s v="Travel_Rarely"/>
    <n v="1192"/>
    <x v="0"/>
    <n v="5"/>
    <s v="Near Office"/>
    <s v="College"/>
    <s v="Medical"/>
    <n v="4"/>
    <s v="Male"/>
    <n v="61"/>
    <n v="3"/>
    <n v="2"/>
    <s v="Manufacturing Director"/>
    <s v="Very High"/>
    <s v="Divorced"/>
    <n v="6347"/>
    <s v="Medium (5k-10k)"/>
    <n v="23177"/>
    <n v="7"/>
    <x v="0"/>
    <n v="16"/>
    <n v="3"/>
    <n v="3"/>
    <n v="2"/>
    <n v="8"/>
    <n v="2"/>
    <s v="Good"/>
    <n v="6"/>
    <x v="1"/>
    <n v="2"/>
    <n v="0"/>
    <n v="4"/>
  </r>
  <r>
    <n v="37"/>
    <s v="Middle Aged"/>
    <n v="0"/>
    <s v="Travel_Rarely"/>
    <n v="1319"/>
    <x v="0"/>
    <n v="6"/>
    <s v="Moderate"/>
    <s v="Bachelor"/>
    <s v="Medical"/>
    <n v="3"/>
    <s v="Male"/>
    <n v="51"/>
    <n v="4"/>
    <n v="2"/>
    <s v="Research Scientist"/>
    <s v="Low"/>
    <s v="Divorced"/>
    <n v="5974"/>
    <s v="Medium (5k-10k)"/>
    <n v="17001"/>
    <n v="4"/>
    <x v="1"/>
    <n v="13"/>
    <n v="3"/>
    <n v="1"/>
    <n v="2"/>
    <n v="13"/>
    <n v="2"/>
    <s v="Better"/>
    <n v="7"/>
    <x v="1"/>
    <n v="7"/>
    <n v="6"/>
    <n v="7"/>
  </r>
  <r>
    <n v="37"/>
    <s v="Middle Aged"/>
    <n v="0"/>
    <s v="Travel_Rarely"/>
    <n v="921"/>
    <x v="0"/>
    <n v="10"/>
    <s v="Moderate"/>
    <s v="Bachelor"/>
    <s v="Medical"/>
    <n v="3"/>
    <s v="Female"/>
    <n v="98"/>
    <n v="3"/>
    <n v="1"/>
    <s v="Laboratory Technician"/>
    <s v="Low"/>
    <s v="Married"/>
    <n v="3452"/>
    <s v="Low (&lt;5k)"/>
    <n v="17663"/>
    <n v="6"/>
    <x v="0"/>
    <n v="20"/>
    <n v="4"/>
    <n v="2"/>
    <n v="1"/>
    <n v="17"/>
    <n v="3"/>
    <s v="Better"/>
    <n v="5"/>
    <x v="1"/>
    <n v="4"/>
    <n v="0"/>
    <n v="3"/>
  </r>
  <r>
    <n v="37"/>
    <s v="Middle Aged"/>
    <n v="0"/>
    <s v="Travel_Rarely"/>
    <n v="1107"/>
    <x v="0"/>
    <n v="14"/>
    <s v="Moderate"/>
    <s v="Bachelor"/>
    <s v="Life Sciences"/>
    <n v="4"/>
    <s v="Female"/>
    <n v="95"/>
    <n v="3"/>
    <n v="1"/>
    <s v="Laboratory Technician"/>
    <s v="Low"/>
    <s v="Divorced"/>
    <n v="3034"/>
    <s v="Low (&lt;5k)"/>
    <n v="26914"/>
    <n v="1"/>
    <x v="0"/>
    <n v="12"/>
    <n v="3"/>
    <n v="3"/>
    <n v="1"/>
    <n v="18"/>
    <n v="2"/>
    <s v="Good"/>
    <n v="18"/>
    <x v="2"/>
    <n v="7"/>
    <n v="12"/>
    <n v="17"/>
  </r>
  <r>
    <n v="37"/>
    <s v="Middle Aged"/>
    <n v="0"/>
    <s v="Travel_Rarely"/>
    <n v="1305"/>
    <x v="0"/>
    <n v="10"/>
    <s v="Moderate"/>
    <s v="Master"/>
    <s v="Life Sciences"/>
    <n v="3"/>
    <s v="Male"/>
    <n v="49"/>
    <n v="3"/>
    <n v="2"/>
    <s v="Manufacturing Director"/>
    <s v="Medium"/>
    <s v="Single"/>
    <n v="4197"/>
    <s v="Low (&lt;5k)"/>
    <n v="21123"/>
    <n v="2"/>
    <x v="1"/>
    <n v="12"/>
    <n v="3"/>
    <n v="4"/>
    <n v="0"/>
    <n v="18"/>
    <n v="2"/>
    <s v="Good"/>
    <n v="1"/>
    <x v="0"/>
    <n v="0"/>
    <n v="0"/>
    <n v="1"/>
  </r>
  <r>
    <n v="37"/>
    <s v="Middle Aged"/>
    <n v="0"/>
    <s v="Non-Travel"/>
    <n v="1063"/>
    <x v="0"/>
    <n v="25"/>
    <s v="Long Commute"/>
    <s v="Doctor"/>
    <s v="Medical"/>
    <n v="2"/>
    <s v="Female"/>
    <n v="72"/>
    <n v="3"/>
    <n v="2"/>
    <s v="Research Scientist"/>
    <s v="High"/>
    <s v="Married"/>
    <n v="4449"/>
    <s v="Low (&lt;5k)"/>
    <n v="23866"/>
    <n v="3"/>
    <x v="1"/>
    <n v="15"/>
    <n v="3"/>
    <n v="1"/>
    <n v="2"/>
    <n v="15"/>
    <n v="2"/>
    <s v="Better"/>
    <n v="13"/>
    <x v="2"/>
    <n v="11"/>
    <n v="10"/>
    <n v="7"/>
  </r>
  <r>
    <n v="37"/>
    <s v="Middle Aged"/>
    <n v="0"/>
    <s v="Travel_Rarely"/>
    <n v="799"/>
    <x v="0"/>
    <n v="1"/>
    <s v="Near Office"/>
    <s v="Bachelor"/>
    <s v="Technical Degree"/>
    <n v="2"/>
    <s v="Female"/>
    <n v="59"/>
    <n v="3"/>
    <n v="3"/>
    <s v="Manufacturing Director"/>
    <s v="Very High"/>
    <s v="Single"/>
    <n v="7491"/>
    <s v="Medium (5k-10k)"/>
    <n v="23848"/>
    <n v="4"/>
    <x v="0"/>
    <n v="17"/>
    <n v="3"/>
    <n v="4"/>
    <n v="0"/>
    <n v="12"/>
    <n v="3"/>
    <s v="Best"/>
    <n v="6"/>
    <x v="1"/>
    <n v="5"/>
    <n v="1"/>
    <n v="2"/>
  </r>
  <r>
    <n v="37"/>
    <s v="Middle Aged"/>
    <n v="0"/>
    <s v="Non-Travel"/>
    <n v="142"/>
    <x v="1"/>
    <n v="9"/>
    <s v="Moderate"/>
    <s v="Master"/>
    <s v="Medical"/>
    <n v="1"/>
    <s v="Male"/>
    <n v="69"/>
    <n v="3"/>
    <n v="3"/>
    <s v="Sales Executive"/>
    <s v="Medium"/>
    <s v="Divorced"/>
    <n v="8834"/>
    <s v="Medium (5k-10k)"/>
    <n v="24666"/>
    <n v="1"/>
    <x v="0"/>
    <n v="13"/>
    <n v="3"/>
    <n v="4"/>
    <n v="1"/>
    <n v="9"/>
    <n v="6"/>
    <s v="Better"/>
    <n v="9"/>
    <x v="1"/>
    <n v="5"/>
    <n v="7"/>
    <n v="7"/>
  </r>
  <r>
    <n v="37"/>
    <s v="Middle Aged"/>
    <n v="0"/>
    <s v="Travel_Rarely"/>
    <n v="446"/>
    <x v="0"/>
    <n v="1"/>
    <s v="Near Office"/>
    <s v="Master"/>
    <s v="Life Sciences"/>
    <n v="2"/>
    <s v="Female"/>
    <n v="65"/>
    <n v="3"/>
    <n v="2"/>
    <s v="Manufacturing Director"/>
    <s v="Medium"/>
    <s v="Married"/>
    <n v="6447"/>
    <s v="Medium (5k-10k)"/>
    <n v="15701"/>
    <n v="6"/>
    <x v="0"/>
    <n v="12"/>
    <n v="3"/>
    <n v="2"/>
    <n v="1"/>
    <n v="8"/>
    <n v="2"/>
    <s v="Good"/>
    <n v="6"/>
    <x v="1"/>
    <n v="5"/>
    <n v="4"/>
    <n v="3"/>
  </r>
  <r>
    <n v="37"/>
    <s v="Middle Aged"/>
    <n v="0"/>
    <s v="Travel_Rarely"/>
    <n v="558"/>
    <x v="1"/>
    <n v="2"/>
    <s v="Near Office"/>
    <s v="Bachelor"/>
    <s v="Marketing"/>
    <n v="4"/>
    <s v="Male"/>
    <n v="75"/>
    <n v="3"/>
    <n v="2"/>
    <s v="Sales Executive"/>
    <s v="High"/>
    <s v="Married"/>
    <n v="9602"/>
    <s v="Medium (5k-10k)"/>
    <n v="3010"/>
    <n v="4"/>
    <x v="1"/>
    <n v="11"/>
    <n v="3"/>
    <n v="3"/>
    <n v="1"/>
    <n v="17"/>
    <n v="3"/>
    <s v="Good"/>
    <n v="3"/>
    <x v="1"/>
    <n v="0"/>
    <n v="1"/>
    <n v="0"/>
  </r>
  <r>
    <n v="37"/>
    <s v="Middle Aged"/>
    <n v="0"/>
    <s v="Travel_Rarely"/>
    <n v="482"/>
    <x v="0"/>
    <n v="3"/>
    <s v="Near Office"/>
    <s v="Bachelor"/>
    <s v="Other"/>
    <n v="3"/>
    <s v="Male"/>
    <n v="36"/>
    <n v="3"/>
    <n v="3"/>
    <s v="Manufacturing Director"/>
    <s v="High"/>
    <s v="Married"/>
    <n v="9434"/>
    <s v="Medium (5k-10k)"/>
    <n v="9606"/>
    <n v="1"/>
    <x v="0"/>
    <n v="15"/>
    <n v="3"/>
    <n v="3"/>
    <n v="1"/>
    <n v="10"/>
    <n v="2"/>
    <s v="Better"/>
    <n v="10"/>
    <x v="2"/>
    <n v="7"/>
    <n v="7"/>
    <n v="8"/>
  </r>
  <r>
    <n v="37"/>
    <s v="Middle Aged"/>
    <n v="0"/>
    <s v="Travel_Rarely"/>
    <n v="1225"/>
    <x v="0"/>
    <n v="10"/>
    <s v="Moderate"/>
    <s v="College"/>
    <s v="Life Sciences"/>
    <n v="4"/>
    <s v="Male"/>
    <n v="80"/>
    <n v="4"/>
    <n v="1"/>
    <s v="Research Scientist"/>
    <s v="Very High"/>
    <s v="Single"/>
    <n v="4680"/>
    <s v="Low (&lt;5k)"/>
    <n v="15232"/>
    <n v="3"/>
    <x v="0"/>
    <n v="17"/>
    <n v="3"/>
    <n v="1"/>
    <n v="0"/>
    <n v="4"/>
    <n v="2"/>
    <s v="Better"/>
    <n v="1"/>
    <x v="0"/>
    <n v="0"/>
    <n v="0"/>
    <n v="0"/>
  </r>
  <r>
    <n v="37"/>
    <s v="Middle Aged"/>
    <n v="0"/>
    <s v="Travel_Rarely"/>
    <n v="571"/>
    <x v="0"/>
    <n v="10"/>
    <s v="Moderate"/>
    <s v="Below College"/>
    <s v="Life Sciences"/>
    <n v="4"/>
    <s v="Female"/>
    <n v="82"/>
    <n v="3"/>
    <n v="1"/>
    <s v="Research Scientist"/>
    <s v="Low"/>
    <s v="Divorced"/>
    <n v="2782"/>
    <s v="Low (&lt;5k)"/>
    <n v="19905"/>
    <n v="0"/>
    <x v="1"/>
    <n v="13"/>
    <n v="3"/>
    <n v="2"/>
    <n v="2"/>
    <n v="6"/>
    <n v="3"/>
    <s v="Good"/>
    <n v="5"/>
    <x v="1"/>
    <n v="3"/>
    <n v="4"/>
    <n v="3"/>
  </r>
  <r>
    <n v="37"/>
    <s v="Middle Aged"/>
    <n v="0"/>
    <s v="Travel_Rarely"/>
    <n v="342"/>
    <x v="1"/>
    <n v="16"/>
    <s v="Long Commute"/>
    <s v="Master"/>
    <s v="Marketing"/>
    <n v="4"/>
    <s v="Male"/>
    <n v="66"/>
    <n v="2"/>
    <n v="2"/>
    <s v="Sales Executive"/>
    <s v="High"/>
    <s v="Divorced"/>
    <n v="6334"/>
    <s v="Medium (5k-10k)"/>
    <n v="24558"/>
    <n v="4"/>
    <x v="0"/>
    <n v="19"/>
    <n v="3"/>
    <n v="4"/>
    <n v="2"/>
    <n v="9"/>
    <n v="2"/>
    <s v="Better"/>
    <n v="1"/>
    <x v="0"/>
    <n v="0"/>
    <n v="0"/>
    <n v="0"/>
  </r>
  <r>
    <n v="37"/>
    <s v="Middle Aged"/>
    <n v="0"/>
    <s v="Travel_Frequently"/>
    <n v="1231"/>
    <x v="1"/>
    <n v="21"/>
    <s v="Long Commute"/>
    <s v="College"/>
    <s v="Medical"/>
    <n v="3"/>
    <s v="Female"/>
    <n v="54"/>
    <n v="3"/>
    <n v="1"/>
    <s v="Sales Representative"/>
    <s v="Very High"/>
    <s v="Married"/>
    <n v="2973"/>
    <s v="Low (&lt;5k)"/>
    <n v="21222"/>
    <n v="5"/>
    <x v="0"/>
    <n v="15"/>
    <n v="3"/>
    <n v="2"/>
    <n v="1"/>
    <n v="10"/>
    <n v="3"/>
    <s v="Better"/>
    <n v="5"/>
    <x v="1"/>
    <n v="4"/>
    <n v="0"/>
    <n v="0"/>
  </r>
  <r>
    <n v="37"/>
    <s v="Middle Aged"/>
    <n v="0"/>
    <s v="Non-Travel"/>
    <n v="1252"/>
    <x v="1"/>
    <n v="19"/>
    <s v="Long Commute"/>
    <s v="College"/>
    <s v="Medical"/>
    <n v="1"/>
    <s v="Male"/>
    <n v="32"/>
    <n v="3"/>
    <n v="3"/>
    <s v="Sales Executive"/>
    <s v="Medium"/>
    <s v="Single"/>
    <n v="7642"/>
    <s v="Medium (5k-10k)"/>
    <n v="4814"/>
    <n v="1"/>
    <x v="1"/>
    <n v="13"/>
    <n v="3"/>
    <n v="4"/>
    <n v="0"/>
    <n v="10"/>
    <n v="2"/>
    <s v="Better"/>
    <n v="10"/>
    <x v="2"/>
    <n v="0"/>
    <n v="0"/>
    <n v="9"/>
  </r>
  <r>
    <n v="37"/>
    <s v="Middle Aged"/>
    <n v="1"/>
    <s v="Travel_Rarely"/>
    <n v="625"/>
    <x v="1"/>
    <n v="1"/>
    <s v="Near Office"/>
    <s v="Master"/>
    <s v="Life Sciences"/>
    <n v="1"/>
    <s v="Male"/>
    <n v="46"/>
    <n v="2"/>
    <n v="3"/>
    <s v="Sales Executive"/>
    <s v="High"/>
    <s v="Married"/>
    <n v="10609"/>
    <s v="High (&gt;10k)"/>
    <n v="14922"/>
    <n v="5"/>
    <x v="0"/>
    <n v="11"/>
    <n v="3"/>
    <n v="3"/>
    <n v="0"/>
    <n v="17"/>
    <n v="2"/>
    <s v="Bad"/>
    <n v="14"/>
    <x v="2"/>
    <n v="1"/>
    <n v="11"/>
    <n v="7"/>
  </r>
  <r>
    <n v="37"/>
    <s v="Middle Aged"/>
    <n v="1"/>
    <s v="Travel_Rarely"/>
    <n v="1141"/>
    <x v="0"/>
    <n v="11"/>
    <s v="Moderate"/>
    <s v="College"/>
    <s v="Medical"/>
    <n v="1"/>
    <s v="Female"/>
    <n v="61"/>
    <n v="1"/>
    <n v="2"/>
    <s v="Healthcare Representative"/>
    <s v="Medium"/>
    <s v="Married"/>
    <n v="4777"/>
    <s v="Low (&lt;5k)"/>
    <n v="14382"/>
    <n v="5"/>
    <x v="0"/>
    <n v="15"/>
    <n v="3"/>
    <n v="1"/>
    <n v="0"/>
    <n v="15"/>
    <n v="2"/>
    <s v="Bad"/>
    <n v="1"/>
    <x v="0"/>
    <n v="0"/>
    <n v="0"/>
    <n v="0"/>
  </r>
  <r>
    <n v="37"/>
    <s v="Middle Aged"/>
    <n v="0"/>
    <s v="Travel_Rarely"/>
    <n v="124"/>
    <x v="0"/>
    <n v="3"/>
    <s v="Near Office"/>
    <s v="Bachelor"/>
    <s v="Other"/>
    <n v="4"/>
    <s v="Female"/>
    <n v="35"/>
    <n v="3"/>
    <n v="2"/>
    <s v="Healthcare Representative"/>
    <s v="Medium"/>
    <s v="Single"/>
    <n v="4107"/>
    <s v="Low (&lt;5k)"/>
    <n v="13848"/>
    <n v="3"/>
    <x v="0"/>
    <n v="15"/>
    <n v="3"/>
    <n v="1"/>
    <n v="0"/>
    <n v="8"/>
    <n v="3"/>
    <s v="Good"/>
    <n v="4"/>
    <x v="1"/>
    <n v="3"/>
    <n v="0"/>
    <n v="1"/>
  </r>
  <r>
    <n v="37"/>
    <s v="Middle Aged"/>
    <n v="0"/>
    <s v="Travel_Rarely"/>
    <n v="309"/>
    <x v="1"/>
    <n v="10"/>
    <s v="Moderate"/>
    <s v="Master"/>
    <s v="Life Sciences"/>
    <n v="4"/>
    <s v="Female"/>
    <n v="88"/>
    <n v="2"/>
    <n v="2"/>
    <s v="Sales Executive"/>
    <s v="Very High"/>
    <s v="Divorced"/>
    <n v="6694"/>
    <s v="Medium (5k-10k)"/>
    <n v="24223"/>
    <n v="2"/>
    <x v="1"/>
    <n v="14"/>
    <n v="3"/>
    <n v="3"/>
    <n v="3"/>
    <n v="8"/>
    <n v="5"/>
    <s v="Better"/>
    <n v="1"/>
    <x v="0"/>
    <n v="0"/>
    <n v="0"/>
    <n v="0"/>
  </r>
  <r>
    <n v="37"/>
    <s v="Middle Aged"/>
    <n v="0"/>
    <s v="Travel_Rarely"/>
    <n v="367"/>
    <x v="0"/>
    <n v="25"/>
    <s v="Long Commute"/>
    <s v="College"/>
    <s v="Medical"/>
    <n v="3"/>
    <s v="Female"/>
    <n v="52"/>
    <n v="2"/>
    <n v="2"/>
    <s v="Healthcare Representative"/>
    <s v="Very High"/>
    <s v="Divorced"/>
    <n v="5731"/>
    <s v="Medium (5k-10k)"/>
    <n v="17171"/>
    <n v="7"/>
    <x v="0"/>
    <n v="13"/>
    <n v="3"/>
    <n v="3"/>
    <n v="2"/>
    <n v="9"/>
    <n v="2"/>
    <s v="Better"/>
    <n v="6"/>
    <x v="1"/>
    <n v="2"/>
    <n v="1"/>
    <n v="3"/>
  </r>
  <r>
    <n v="37"/>
    <s v="Middle Aged"/>
    <n v="0"/>
    <s v="Travel_Rarely"/>
    <n v="977"/>
    <x v="0"/>
    <n v="1"/>
    <s v="Near Office"/>
    <s v="Bachelor"/>
    <s v="Life Sciences"/>
    <n v="4"/>
    <s v="Female"/>
    <n v="56"/>
    <n v="2"/>
    <n v="2"/>
    <s v="Manufacturing Director"/>
    <s v="Very High"/>
    <s v="Married"/>
    <n v="6474"/>
    <s v="Medium (5k-10k)"/>
    <n v="9961"/>
    <n v="1"/>
    <x v="0"/>
    <n v="13"/>
    <n v="3"/>
    <n v="2"/>
    <n v="1"/>
    <n v="14"/>
    <n v="2"/>
    <s v="Good"/>
    <n v="14"/>
    <x v="2"/>
    <n v="8"/>
    <n v="3"/>
    <n v="11"/>
  </r>
  <r>
    <n v="37"/>
    <s v="Middle Aged"/>
    <n v="0"/>
    <s v="Travel_Rarely"/>
    <n v="1439"/>
    <x v="0"/>
    <n v="4"/>
    <s v="Near Office"/>
    <s v="Below College"/>
    <s v="Life Sciences"/>
    <n v="3"/>
    <s v="Male"/>
    <n v="54"/>
    <n v="3"/>
    <n v="1"/>
    <s v="Research Scientist"/>
    <s v="High"/>
    <s v="Married"/>
    <n v="2996"/>
    <s v="Low (&lt;5k)"/>
    <n v="5182"/>
    <n v="7"/>
    <x v="1"/>
    <n v="15"/>
    <n v="3"/>
    <n v="4"/>
    <n v="0"/>
    <n v="8"/>
    <n v="2"/>
    <s v="Better"/>
    <n v="6"/>
    <x v="1"/>
    <n v="4"/>
    <n v="1"/>
    <n v="3"/>
  </r>
  <r>
    <n v="37"/>
    <s v="Middle Aged"/>
    <n v="0"/>
    <s v="Travel_Rarely"/>
    <n v="1462"/>
    <x v="0"/>
    <n v="11"/>
    <s v="Moderate"/>
    <s v="Bachelor"/>
    <s v="Medical"/>
    <n v="1"/>
    <s v="Female"/>
    <n v="94"/>
    <n v="3"/>
    <n v="1"/>
    <s v="Laboratory Technician"/>
    <s v="High"/>
    <s v="Single"/>
    <n v="3629"/>
    <s v="Low (&lt;5k)"/>
    <n v="19106"/>
    <n v="4"/>
    <x v="0"/>
    <n v="18"/>
    <n v="3"/>
    <n v="1"/>
    <n v="0"/>
    <n v="8"/>
    <n v="6"/>
    <s v="Better"/>
    <n v="3"/>
    <x v="1"/>
    <n v="2"/>
    <n v="0"/>
    <n v="2"/>
  </r>
  <r>
    <n v="37"/>
    <s v="Middle Aged"/>
    <n v="0"/>
    <s v="Non-Travel"/>
    <n v="1413"/>
    <x v="0"/>
    <n v="5"/>
    <s v="Near Office"/>
    <s v="College"/>
    <s v="Technical Degree"/>
    <n v="3"/>
    <s v="Male"/>
    <n v="84"/>
    <n v="4"/>
    <n v="1"/>
    <s v="Laboratory Technician"/>
    <s v="High"/>
    <s v="Single"/>
    <n v="3500"/>
    <s v="Low (&lt;5k)"/>
    <n v="25470"/>
    <n v="0"/>
    <x v="0"/>
    <n v="14"/>
    <n v="3"/>
    <n v="1"/>
    <n v="0"/>
    <n v="7"/>
    <n v="2"/>
    <s v="Bad"/>
    <n v="6"/>
    <x v="1"/>
    <n v="5"/>
    <n v="1"/>
    <n v="3"/>
  </r>
  <r>
    <n v="37"/>
    <s v="Middle Aged"/>
    <n v="0"/>
    <s v="Travel_Rarely"/>
    <n v="674"/>
    <x v="0"/>
    <n v="13"/>
    <s v="Moderate"/>
    <s v="Bachelor"/>
    <s v="Medical"/>
    <n v="1"/>
    <s v="Male"/>
    <n v="47"/>
    <n v="3"/>
    <n v="2"/>
    <s v="Research Scientist"/>
    <s v="Very High"/>
    <s v="Married"/>
    <n v="4285"/>
    <s v="Low (&lt;5k)"/>
    <n v="3031"/>
    <n v="1"/>
    <x v="0"/>
    <n v="17"/>
    <n v="3"/>
    <n v="1"/>
    <n v="0"/>
    <n v="10"/>
    <n v="2"/>
    <s v="Better"/>
    <n v="10"/>
    <x v="2"/>
    <n v="8"/>
    <n v="3"/>
    <n v="7"/>
  </r>
  <r>
    <n v="37"/>
    <s v="Middle Aged"/>
    <n v="0"/>
    <s v="Travel_Rarely"/>
    <n v="671"/>
    <x v="0"/>
    <n v="19"/>
    <s v="Long Commute"/>
    <s v="Bachelor"/>
    <s v="Life Sciences"/>
    <n v="3"/>
    <s v="Male"/>
    <n v="85"/>
    <n v="3"/>
    <n v="2"/>
    <s v="Manufacturing Director"/>
    <s v="High"/>
    <s v="Married"/>
    <n v="5768"/>
    <s v="Medium (5k-10k)"/>
    <n v="26493"/>
    <n v="3"/>
    <x v="0"/>
    <n v="17"/>
    <n v="3"/>
    <n v="1"/>
    <n v="3"/>
    <n v="9"/>
    <n v="2"/>
    <s v="Good"/>
    <n v="4"/>
    <x v="1"/>
    <n v="3"/>
    <n v="0"/>
    <n v="2"/>
  </r>
  <r>
    <n v="37"/>
    <s v="Middle Aged"/>
    <n v="0"/>
    <s v="Travel_Rarely"/>
    <n v="1470"/>
    <x v="0"/>
    <n v="10"/>
    <s v="Moderate"/>
    <s v="Bachelor"/>
    <s v="Medical"/>
    <n v="2"/>
    <s v="Female"/>
    <n v="71"/>
    <n v="3"/>
    <n v="1"/>
    <s v="Research Scientist"/>
    <s v="Medium"/>
    <s v="Married"/>
    <n v="3936"/>
    <s v="Low (&lt;5k)"/>
    <n v="9953"/>
    <n v="1"/>
    <x v="0"/>
    <n v="11"/>
    <n v="3"/>
    <n v="1"/>
    <n v="1"/>
    <n v="8"/>
    <n v="2"/>
    <s v="Bad"/>
    <n v="8"/>
    <x v="1"/>
    <n v="4"/>
    <n v="7"/>
    <n v="7"/>
  </r>
  <r>
    <n v="37"/>
    <s v="Middle Aged"/>
    <n v="0"/>
    <s v="Travel_Frequently"/>
    <n v="1278"/>
    <x v="1"/>
    <n v="1"/>
    <s v="Near Office"/>
    <s v="Master"/>
    <s v="Medical"/>
    <n v="3"/>
    <s v="Male"/>
    <n v="31"/>
    <n v="1"/>
    <n v="2"/>
    <s v="Sales Executive"/>
    <s v="Very High"/>
    <s v="Divorced"/>
    <n v="9525"/>
    <s v="Medium (5k-10k)"/>
    <n v="7677"/>
    <n v="1"/>
    <x v="0"/>
    <n v="14"/>
    <n v="3"/>
    <n v="3"/>
    <n v="2"/>
    <n v="6"/>
    <n v="2"/>
    <s v="Good"/>
    <n v="6"/>
    <x v="1"/>
    <n v="3"/>
    <n v="1"/>
    <n v="3"/>
  </r>
  <r>
    <n v="37"/>
    <s v="Middle Aged"/>
    <n v="0"/>
    <s v="Travel_Rarely"/>
    <n v="589"/>
    <x v="1"/>
    <n v="9"/>
    <s v="Moderate"/>
    <s v="College"/>
    <s v="Marketing"/>
    <n v="2"/>
    <s v="Male"/>
    <n v="46"/>
    <n v="2"/>
    <n v="2"/>
    <s v="Sales Executive"/>
    <s v="Medium"/>
    <s v="Married"/>
    <n v="4189"/>
    <s v="Low (&lt;5k)"/>
    <n v="8800"/>
    <n v="1"/>
    <x v="0"/>
    <n v="14"/>
    <n v="3"/>
    <n v="1"/>
    <n v="2"/>
    <n v="5"/>
    <n v="2"/>
    <s v="Better"/>
    <n v="5"/>
    <x v="1"/>
    <n v="2"/>
    <n v="0"/>
    <n v="3"/>
  </r>
  <r>
    <n v="37"/>
    <s v="Middle Aged"/>
    <n v="0"/>
    <s v="Travel_Rarely"/>
    <n v="1239"/>
    <x v="2"/>
    <n v="8"/>
    <s v="Moderate"/>
    <s v="College"/>
    <s v="Other"/>
    <n v="3"/>
    <s v="Male"/>
    <n v="89"/>
    <n v="3"/>
    <n v="2"/>
    <s v="Human Resources"/>
    <s v="Medium"/>
    <s v="Divorced"/>
    <n v="4071"/>
    <s v="Low (&lt;5k)"/>
    <n v="12832"/>
    <n v="2"/>
    <x v="0"/>
    <n v="13"/>
    <n v="3"/>
    <n v="3"/>
    <n v="0"/>
    <n v="19"/>
    <n v="4"/>
    <s v="Good"/>
    <n v="10"/>
    <x v="2"/>
    <n v="0"/>
    <n v="4"/>
    <n v="7"/>
  </r>
  <r>
    <n v="37"/>
    <s v="Middle Aged"/>
    <n v="1"/>
    <s v="Travel_Rarely"/>
    <n v="370"/>
    <x v="0"/>
    <n v="10"/>
    <s v="Moderate"/>
    <s v="Master"/>
    <s v="Medical"/>
    <n v="4"/>
    <s v="Male"/>
    <n v="58"/>
    <n v="3"/>
    <n v="2"/>
    <s v="Manufacturing Director"/>
    <s v="Low"/>
    <s v="Single"/>
    <n v="4213"/>
    <s v="Low (&lt;5k)"/>
    <n v="4992"/>
    <n v="1"/>
    <x v="0"/>
    <n v="15"/>
    <n v="3"/>
    <n v="2"/>
    <n v="0"/>
    <n v="10"/>
    <n v="4"/>
    <s v="Bad"/>
    <n v="10"/>
    <x v="2"/>
    <n v="3"/>
    <n v="0"/>
    <n v="8"/>
  </r>
  <r>
    <n v="37"/>
    <s v="Middle Aged"/>
    <n v="0"/>
    <s v="Travel_Rarely"/>
    <n v="783"/>
    <x v="0"/>
    <n v="7"/>
    <s v="Moderate"/>
    <s v="Master"/>
    <s v="Medical"/>
    <n v="4"/>
    <s v="Male"/>
    <n v="78"/>
    <n v="3"/>
    <n v="2"/>
    <s v="Research Scientist"/>
    <s v="Low"/>
    <s v="Married"/>
    <n v="4284"/>
    <s v="Low (&lt;5k)"/>
    <n v="13588"/>
    <n v="5"/>
    <x v="1"/>
    <n v="22"/>
    <n v="4"/>
    <n v="3"/>
    <n v="1"/>
    <n v="16"/>
    <n v="2"/>
    <s v="Better"/>
    <n v="5"/>
    <x v="1"/>
    <n v="3"/>
    <n v="0"/>
    <n v="4"/>
  </r>
  <r>
    <n v="37"/>
    <s v="Middle Aged"/>
    <n v="0"/>
    <s v="Travel_Rarely"/>
    <n v="161"/>
    <x v="0"/>
    <n v="10"/>
    <s v="Moderate"/>
    <s v="Bachelor"/>
    <s v="Life Sciences"/>
    <n v="3"/>
    <s v="Female"/>
    <n v="42"/>
    <n v="4"/>
    <n v="3"/>
    <s v="Research Director"/>
    <s v="Very High"/>
    <s v="Married"/>
    <n v="13744"/>
    <s v="High (&gt;10k)"/>
    <n v="15471"/>
    <n v="1"/>
    <x v="1"/>
    <n v="25"/>
    <n v="4"/>
    <n v="1"/>
    <n v="1"/>
    <n v="16"/>
    <n v="2"/>
    <s v="Better"/>
    <n v="16"/>
    <x v="2"/>
    <n v="11"/>
    <n v="6"/>
    <n v="8"/>
  </r>
  <r>
    <n v="38"/>
    <s v="Middle Aged"/>
    <n v="0"/>
    <s v="Travel_Frequently"/>
    <n v="216"/>
    <x v="0"/>
    <n v="23"/>
    <s v="Long Commute"/>
    <s v="Bachelor"/>
    <s v="Life Sciences"/>
    <n v="4"/>
    <s v="Male"/>
    <n v="44"/>
    <n v="2"/>
    <n v="3"/>
    <s v="Manufacturing Director"/>
    <s v="High"/>
    <s v="Single"/>
    <n v="9526"/>
    <s v="Medium (5k-10k)"/>
    <n v="8787"/>
    <n v="0"/>
    <x v="0"/>
    <n v="21"/>
    <n v="4"/>
    <n v="2"/>
    <n v="0"/>
    <n v="10"/>
    <n v="2"/>
    <s v="Better"/>
    <n v="9"/>
    <x v="1"/>
    <n v="7"/>
    <n v="1"/>
    <n v="8"/>
  </r>
  <r>
    <n v="38"/>
    <s v="Middle Aged"/>
    <n v="0"/>
    <s v="Travel_Rarely"/>
    <n v="371"/>
    <x v="0"/>
    <n v="2"/>
    <s v="Near Office"/>
    <s v="Bachelor"/>
    <s v="Life Sciences"/>
    <n v="4"/>
    <s v="Male"/>
    <n v="45"/>
    <n v="3"/>
    <n v="1"/>
    <s v="Research Scientist"/>
    <s v="Very High"/>
    <s v="Single"/>
    <n v="3944"/>
    <s v="Low (&lt;5k)"/>
    <n v="4306"/>
    <n v="5"/>
    <x v="1"/>
    <n v="11"/>
    <n v="3"/>
    <n v="3"/>
    <n v="0"/>
    <n v="6"/>
    <n v="3"/>
    <s v="Better"/>
    <n v="3"/>
    <x v="1"/>
    <n v="2"/>
    <n v="1"/>
    <n v="2"/>
  </r>
  <r>
    <n v="38"/>
    <s v="Middle Aged"/>
    <n v="0"/>
    <s v="Travel_Frequently"/>
    <n v="653"/>
    <x v="0"/>
    <n v="29"/>
    <s v="Long Commute"/>
    <s v="Doctor"/>
    <s v="Life Sciences"/>
    <n v="4"/>
    <s v="Female"/>
    <n v="50"/>
    <n v="3"/>
    <n v="2"/>
    <s v="Laboratory Technician"/>
    <s v="Very High"/>
    <s v="Single"/>
    <n v="2406"/>
    <s v="Low (&lt;5k)"/>
    <n v="5456"/>
    <n v="1"/>
    <x v="0"/>
    <n v="11"/>
    <n v="3"/>
    <n v="4"/>
    <n v="0"/>
    <n v="10"/>
    <n v="2"/>
    <s v="Better"/>
    <n v="10"/>
    <x v="2"/>
    <n v="3"/>
    <n v="9"/>
    <n v="9"/>
  </r>
  <r>
    <n v="38"/>
    <s v="Middle Aged"/>
    <n v="0"/>
    <s v="Non-Travel"/>
    <n v="573"/>
    <x v="0"/>
    <n v="6"/>
    <s v="Moderate"/>
    <s v="Bachelor"/>
    <s v="Medical"/>
    <n v="2"/>
    <s v="Female"/>
    <n v="79"/>
    <n v="1"/>
    <n v="2"/>
    <s v="Research Scientist"/>
    <s v="Very High"/>
    <s v="Divorced"/>
    <n v="5329"/>
    <s v="Medium (5k-10k)"/>
    <n v="15717"/>
    <n v="7"/>
    <x v="1"/>
    <n v="12"/>
    <n v="3"/>
    <n v="4"/>
    <n v="3"/>
    <n v="17"/>
    <n v="3"/>
    <s v="Better"/>
    <n v="13"/>
    <x v="2"/>
    <n v="11"/>
    <n v="1"/>
    <n v="9"/>
  </r>
  <r>
    <n v="38"/>
    <s v="Middle Aged"/>
    <n v="0"/>
    <s v="Travel_Rarely"/>
    <n v="364"/>
    <x v="0"/>
    <n v="3"/>
    <s v="Near Office"/>
    <s v="Doctor"/>
    <s v="Technical Degree"/>
    <n v="4"/>
    <s v="Female"/>
    <n v="32"/>
    <n v="3"/>
    <n v="2"/>
    <s v="Research Scientist"/>
    <s v="High"/>
    <s v="Single"/>
    <n v="4317"/>
    <s v="Low (&lt;5k)"/>
    <n v="2302"/>
    <n v="3"/>
    <x v="1"/>
    <n v="20"/>
    <n v="4"/>
    <n v="2"/>
    <n v="0"/>
    <n v="19"/>
    <n v="2"/>
    <s v="Better"/>
    <n v="3"/>
    <x v="1"/>
    <n v="2"/>
    <n v="2"/>
    <n v="2"/>
  </r>
  <r>
    <n v="38"/>
    <s v="Middle Aged"/>
    <n v="0"/>
    <s v="Travel_Rarely"/>
    <n v="702"/>
    <x v="1"/>
    <n v="1"/>
    <s v="Near Office"/>
    <s v="Master"/>
    <s v="Life Sciences"/>
    <n v="1"/>
    <s v="Female"/>
    <n v="59"/>
    <n v="2"/>
    <n v="2"/>
    <s v="Sales Executive"/>
    <s v="Very High"/>
    <s v="Single"/>
    <n v="8686"/>
    <s v="Medium (5k-10k)"/>
    <n v="12930"/>
    <n v="4"/>
    <x v="0"/>
    <n v="22"/>
    <n v="4"/>
    <n v="3"/>
    <n v="0"/>
    <n v="12"/>
    <n v="2"/>
    <s v="Best"/>
    <n v="8"/>
    <x v="1"/>
    <n v="3"/>
    <n v="0"/>
    <n v="7"/>
  </r>
  <r>
    <n v="38"/>
    <s v="Middle Aged"/>
    <n v="0"/>
    <s v="Travel_Rarely"/>
    <n v="1380"/>
    <x v="0"/>
    <n v="9"/>
    <s v="Moderate"/>
    <s v="College"/>
    <s v="Life Sciences"/>
    <n v="3"/>
    <s v="Female"/>
    <n v="75"/>
    <n v="3"/>
    <n v="1"/>
    <s v="Laboratory Technician"/>
    <s v="Very High"/>
    <s v="Single"/>
    <n v="2288"/>
    <s v="Low (&lt;5k)"/>
    <n v="6319"/>
    <n v="1"/>
    <x v="0"/>
    <n v="12"/>
    <n v="3"/>
    <n v="3"/>
    <n v="0"/>
    <n v="2"/>
    <n v="3"/>
    <s v="Better"/>
    <n v="2"/>
    <x v="0"/>
    <n v="2"/>
    <n v="2"/>
    <n v="1"/>
  </r>
  <r>
    <n v="38"/>
    <s v="Middle Aged"/>
    <n v="0"/>
    <s v="Travel_Rarely"/>
    <n v="1261"/>
    <x v="0"/>
    <n v="2"/>
    <s v="Near Office"/>
    <s v="Master"/>
    <s v="Life Sciences"/>
    <n v="4"/>
    <s v="Male"/>
    <n v="88"/>
    <n v="3"/>
    <n v="2"/>
    <s v="Manufacturing Director"/>
    <s v="High"/>
    <s v="Married"/>
    <n v="6553"/>
    <s v="Medium (5k-10k)"/>
    <n v="7259"/>
    <n v="9"/>
    <x v="0"/>
    <n v="14"/>
    <n v="3"/>
    <n v="2"/>
    <n v="0"/>
    <n v="14"/>
    <n v="3"/>
    <s v="Better"/>
    <n v="1"/>
    <x v="0"/>
    <n v="0"/>
    <n v="0"/>
    <n v="0"/>
  </r>
  <r>
    <n v="38"/>
    <s v="Middle Aged"/>
    <n v="0"/>
    <s v="Travel_Rarely"/>
    <n v="1084"/>
    <x v="0"/>
    <n v="29"/>
    <s v="Long Commute"/>
    <s v="Bachelor"/>
    <s v="Technical Degree"/>
    <n v="4"/>
    <s v="Male"/>
    <n v="54"/>
    <n v="3"/>
    <n v="2"/>
    <s v="Manufacturing Director"/>
    <s v="Very High"/>
    <s v="Married"/>
    <n v="6261"/>
    <s v="Medium (5k-10k)"/>
    <n v="4185"/>
    <n v="3"/>
    <x v="0"/>
    <n v="18"/>
    <n v="3"/>
    <n v="1"/>
    <n v="1"/>
    <n v="9"/>
    <n v="3"/>
    <s v="Bad"/>
    <n v="7"/>
    <x v="1"/>
    <n v="7"/>
    <n v="1"/>
    <n v="7"/>
  </r>
  <r>
    <n v="38"/>
    <s v="Middle Aged"/>
    <n v="1"/>
    <s v="Travel_Rarely"/>
    <n v="1180"/>
    <x v="0"/>
    <n v="29"/>
    <s v="Long Commute"/>
    <s v="Below College"/>
    <s v="Medical"/>
    <n v="2"/>
    <s v="Male"/>
    <n v="70"/>
    <n v="3"/>
    <n v="2"/>
    <s v="Healthcare Representative"/>
    <s v="Low"/>
    <s v="Married"/>
    <n v="6673"/>
    <s v="Medium (5k-10k)"/>
    <n v="11354"/>
    <n v="7"/>
    <x v="1"/>
    <n v="19"/>
    <n v="3"/>
    <n v="2"/>
    <n v="0"/>
    <n v="17"/>
    <n v="2"/>
    <s v="Better"/>
    <n v="1"/>
    <x v="0"/>
    <n v="0"/>
    <n v="0"/>
    <n v="0"/>
  </r>
  <r>
    <n v="38"/>
    <s v="Middle Aged"/>
    <n v="0"/>
    <s v="Travel_Rarely"/>
    <n v="119"/>
    <x v="1"/>
    <n v="3"/>
    <s v="Near Office"/>
    <s v="Bachelor"/>
    <s v="Life Sciences"/>
    <n v="1"/>
    <s v="Male"/>
    <n v="76"/>
    <n v="3"/>
    <n v="3"/>
    <s v="Sales Executive"/>
    <s v="High"/>
    <s v="Divorced"/>
    <n v="10609"/>
    <s v="High (&gt;10k)"/>
    <n v="9647"/>
    <n v="0"/>
    <x v="0"/>
    <n v="12"/>
    <n v="3"/>
    <n v="3"/>
    <n v="2"/>
    <n v="17"/>
    <n v="6"/>
    <s v="Good"/>
    <n v="16"/>
    <x v="2"/>
    <n v="10"/>
    <n v="5"/>
    <n v="13"/>
  </r>
  <r>
    <n v="38"/>
    <s v="Middle Aged"/>
    <n v="0"/>
    <s v="Non-Travel"/>
    <n v="1327"/>
    <x v="1"/>
    <n v="2"/>
    <s v="Near Office"/>
    <s v="College"/>
    <s v="Life Sciences"/>
    <n v="4"/>
    <s v="Male"/>
    <n v="39"/>
    <n v="2"/>
    <n v="2"/>
    <s v="Sales Executive"/>
    <s v="Very High"/>
    <s v="Married"/>
    <n v="5249"/>
    <s v="Medium (5k-10k)"/>
    <n v="19682"/>
    <n v="3"/>
    <x v="0"/>
    <n v="18"/>
    <n v="3"/>
    <n v="4"/>
    <n v="1"/>
    <n v="13"/>
    <n v="0"/>
    <s v="Better"/>
    <n v="8"/>
    <x v="1"/>
    <n v="7"/>
    <n v="7"/>
    <n v="5"/>
  </r>
  <r>
    <n v="38"/>
    <s v="Middle Aged"/>
    <n v="0"/>
    <s v="Travel_Rarely"/>
    <n v="322"/>
    <x v="1"/>
    <n v="7"/>
    <s v="Moderate"/>
    <s v="College"/>
    <s v="Medical"/>
    <n v="1"/>
    <s v="Female"/>
    <n v="44"/>
    <n v="4"/>
    <n v="2"/>
    <s v="Sales Executive"/>
    <s v="Low"/>
    <s v="Divorced"/>
    <n v="5605"/>
    <s v="Medium (5k-10k)"/>
    <n v="19191"/>
    <n v="1"/>
    <x v="1"/>
    <n v="24"/>
    <n v="4"/>
    <n v="3"/>
    <n v="1"/>
    <n v="8"/>
    <n v="3"/>
    <s v="Better"/>
    <n v="8"/>
    <x v="1"/>
    <n v="0"/>
    <n v="7"/>
    <n v="7"/>
  </r>
  <r>
    <n v="38"/>
    <s v="Middle Aged"/>
    <n v="0"/>
    <s v="Travel_Rarely"/>
    <n v="688"/>
    <x v="0"/>
    <n v="23"/>
    <s v="Long Commute"/>
    <s v="Master"/>
    <s v="Life Sciences"/>
    <n v="4"/>
    <s v="Male"/>
    <n v="82"/>
    <n v="3"/>
    <n v="2"/>
    <s v="Healthcare Representative"/>
    <s v="Very High"/>
    <s v="Divorced"/>
    <n v="5745"/>
    <s v="Medium (5k-10k)"/>
    <n v="18899"/>
    <n v="9"/>
    <x v="0"/>
    <n v="14"/>
    <n v="3"/>
    <n v="2"/>
    <n v="1"/>
    <n v="10"/>
    <n v="2"/>
    <s v="Better"/>
    <n v="2"/>
    <x v="0"/>
    <n v="2"/>
    <n v="1"/>
    <n v="2"/>
  </r>
  <r>
    <n v="38"/>
    <s v="Middle Aged"/>
    <n v="0"/>
    <s v="Travel_Rarely"/>
    <n v="849"/>
    <x v="0"/>
    <n v="25"/>
    <s v="Long Commute"/>
    <s v="College"/>
    <s v="Life Sciences"/>
    <n v="1"/>
    <s v="Female"/>
    <n v="81"/>
    <n v="2"/>
    <n v="3"/>
    <s v="Research Director"/>
    <s v="Medium"/>
    <s v="Married"/>
    <n v="12061"/>
    <s v="High (&gt;10k)"/>
    <n v="26707"/>
    <n v="3"/>
    <x v="0"/>
    <n v="17"/>
    <n v="3"/>
    <n v="3"/>
    <n v="1"/>
    <n v="19"/>
    <n v="2"/>
    <s v="Better"/>
    <n v="10"/>
    <x v="2"/>
    <n v="8"/>
    <n v="0"/>
    <n v="1"/>
  </r>
  <r>
    <n v="38"/>
    <s v="Middle Aged"/>
    <n v="0"/>
    <s v="Travel_Rarely"/>
    <n v="343"/>
    <x v="0"/>
    <n v="15"/>
    <s v="Moderate"/>
    <s v="College"/>
    <s v="Life Sciences"/>
    <n v="3"/>
    <s v="Male"/>
    <n v="92"/>
    <n v="2"/>
    <n v="3"/>
    <s v="Research Director"/>
    <s v="Very High"/>
    <s v="Divorced"/>
    <n v="11510"/>
    <s v="High (&gt;10k)"/>
    <n v="15682"/>
    <n v="0"/>
    <x v="1"/>
    <n v="14"/>
    <n v="3"/>
    <n v="2"/>
    <n v="1"/>
    <n v="12"/>
    <n v="3"/>
    <s v="Better"/>
    <n v="11"/>
    <x v="2"/>
    <n v="10"/>
    <n v="2"/>
    <n v="9"/>
  </r>
  <r>
    <n v="38"/>
    <s v="Middle Aged"/>
    <n v="0"/>
    <s v="Travel_Frequently"/>
    <n v="1490"/>
    <x v="0"/>
    <n v="2"/>
    <s v="Near Office"/>
    <s v="College"/>
    <s v="Life Sciences"/>
    <n v="4"/>
    <s v="Male"/>
    <n v="42"/>
    <n v="3"/>
    <n v="1"/>
    <s v="Laboratory Technician"/>
    <s v="Very High"/>
    <s v="Married"/>
    <n v="1702"/>
    <s v="Low (&lt;5k)"/>
    <n v="12106"/>
    <n v="1"/>
    <x v="1"/>
    <n v="23"/>
    <n v="4"/>
    <n v="3"/>
    <n v="1"/>
    <n v="1"/>
    <n v="3"/>
    <s v="Better"/>
    <n v="1"/>
    <x v="0"/>
    <n v="0"/>
    <n v="0"/>
    <n v="0"/>
  </r>
  <r>
    <n v="38"/>
    <s v="Middle Aged"/>
    <n v="0"/>
    <s v="Travel_Rarely"/>
    <n v="1495"/>
    <x v="0"/>
    <n v="10"/>
    <s v="Moderate"/>
    <s v="Bachelor"/>
    <s v="Medical"/>
    <n v="3"/>
    <s v="Female"/>
    <n v="76"/>
    <n v="3"/>
    <n v="2"/>
    <s v="Healthcare Representative"/>
    <s v="High"/>
    <s v="Married"/>
    <n v="9824"/>
    <s v="Medium (5k-10k)"/>
    <n v="22174"/>
    <n v="3"/>
    <x v="0"/>
    <n v="19"/>
    <n v="3"/>
    <n v="3"/>
    <n v="1"/>
    <n v="18"/>
    <n v="4"/>
    <s v="Better"/>
    <n v="1"/>
    <x v="0"/>
    <n v="0"/>
    <n v="0"/>
    <n v="0"/>
  </r>
  <r>
    <n v="38"/>
    <s v="Middle Aged"/>
    <n v="0"/>
    <s v="Travel_Rarely"/>
    <n v="362"/>
    <x v="0"/>
    <n v="1"/>
    <s v="Near Office"/>
    <s v="Below College"/>
    <s v="Life Sciences"/>
    <n v="3"/>
    <s v="Female"/>
    <n v="43"/>
    <n v="3"/>
    <n v="1"/>
    <s v="Research Scientist"/>
    <s v="Low"/>
    <s v="Single"/>
    <n v="2619"/>
    <s v="Low (&lt;5k)"/>
    <n v="14561"/>
    <n v="3"/>
    <x v="0"/>
    <n v="17"/>
    <n v="3"/>
    <n v="4"/>
    <n v="0"/>
    <n v="8"/>
    <n v="3"/>
    <s v="Good"/>
    <n v="0"/>
    <x v="0"/>
    <n v="0"/>
    <n v="0"/>
    <n v="0"/>
  </r>
  <r>
    <n v="38"/>
    <s v="Middle Aged"/>
    <n v="0"/>
    <s v="Travel_Rarely"/>
    <n v="243"/>
    <x v="1"/>
    <n v="7"/>
    <s v="Moderate"/>
    <s v="Master"/>
    <s v="Marketing"/>
    <n v="4"/>
    <s v="Female"/>
    <n v="46"/>
    <n v="2"/>
    <n v="2"/>
    <s v="Sales Executive"/>
    <s v="Very High"/>
    <s v="Single"/>
    <n v="4028"/>
    <s v="Low (&lt;5k)"/>
    <n v="7791"/>
    <n v="0"/>
    <x v="0"/>
    <n v="20"/>
    <n v="4"/>
    <n v="1"/>
    <n v="0"/>
    <n v="8"/>
    <n v="2"/>
    <s v="Better"/>
    <n v="7"/>
    <x v="1"/>
    <n v="7"/>
    <n v="0"/>
    <n v="5"/>
  </r>
  <r>
    <n v="38"/>
    <s v="Middle Aged"/>
    <n v="0"/>
    <s v="Travel_Rarely"/>
    <n v="827"/>
    <x v="0"/>
    <n v="1"/>
    <s v="Near Office"/>
    <s v="Master"/>
    <s v="Life Sciences"/>
    <n v="2"/>
    <s v="Female"/>
    <n v="33"/>
    <n v="4"/>
    <n v="2"/>
    <s v="Healthcare Representative"/>
    <s v="Very High"/>
    <s v="Single"/>
    <n v="7625"/>
    <s v="Medium (5k-10k)"/>
    <n v="19383"/>
    <n v="0"/>
    <x v="0"/>
    <n v="13"/>
    <n v="3"/>
    <n v="3"/>
    <n v="0"/>
    <n v="10"/>
    <n v="4"/>
    <s v="Good"/>
    <n v="9"/>
    <x v="1"/>
    <n v="7"/>
    <n v="1"/>
    <n v="8"/>
  </r>
  <r>
    <n v="38"/>
    <s v="Middle Aged"/>
    <n v="0"/>
    <s v="Travel_Rarely"/>
    <n v="168"/>
    <x v="0"/>
    <n v="1"/>
    <s v="Near Office"/>
    <s v="Bachelor"/>
    <s v="Life Sciences"/>
    <n v="3"/>
    <s v="Female"/>
    <n v="81"/>
    <n v="3"/>
    <n v="3"/>
    <s v="Manufacturing Director"/>
    <s v="High"/>
    <s v="Single"/>
    <n v="7861"/>
    <s v="Medium (5k-10k)"/>
    <n v="15397"/>
    <n v="4"/>
    <x v="1"/>
    <n v="14"/>
    <n v="3"/>
    <n v="4"/>
    <n v="0"/>
    <n v="10"/>
    <n v="4"/>
    <s v="Best"/>
    <n v="1"/>
    <x v="0"/>
    <n v="0"/>
    <n v="0"/>
    <n v="0"/>
  </r>
  <r>
    <n v="38"/>
    <s v="Middle Aged"/>
    <n v="0"/>
    <s v="Travel_Rarely"/>
    <n v="268"/>
    <x v="0"/>
    <n v="2"/>
    <s v="Near Office"/>
    <s v="Doctor"/>
    <s v="Medical"/>
    <n v="4"/>
    <s v="Male"/>
    <n v="92"/>
    <n v="3"/>
    <n v="1"/>
    <s v="Research Scientist"/>
    <s v="High"/>
    <s v="Married"/>
    <n v="3057"/>
    <s v="Low (&lt;5k)"/>
    <n v="20471"/>
    <n v="6"/>
    <x v="1"/>
    <n v="13"/>
    <n v="3"/>
    <n v="2"/>
    <n v="1"/>
    <n v="6"/>
    <n v="0"/>
    <s v="Bad"/>
    <n v="1"/>
    <x v="0"/>
    <n v="0"/>
    <n v="0"/>
    <n v="1"/>
  </r>
  <r>
    <n v="38"/>
    <s v="Middle Aged"/>
    <n v="0"/>
    <s v="Travel_Frequently"/>
    <n v="240"/>
    <x v="0"/>
    <n v="2"/>
    <s v="Near Office"/>
    <s v="Master"/>
    <s v="Life Sciences"/>
    <n v="1"/>
    <s v="Female"/>
    <n v="75"/>
    <n v="4"/>
    <n v="2"/>
    <s v="Manufacturing Director"/>
    <s v="Low"/>
    <s v="Single"/>
    <n v="5980"/>
    <s v="Medium (5k-10k)"/>
    <n v="26085"/>
    <n v="6"/>
    <x v="1"/>
    <n v="12"/>
    <n v="3"/>
    <n v="4"/>
    <n v="0"/>
    <n v="17"/>
    <n v="2"/>
    <s v="Better"/>
    <n v="15"/>
    <x v="2"/>
    <n v="7"/>
    <n v="4"/>
    <n v="12"/>
  </r>
  <r>
    <n v="38"/>
    <s v="Middle Aged"/>
    <n v="0"/>
    <s v="Travel_Frequently"/>
    <n v="471"/>
    <x v="0"/>
    <n v="12"/>
    <s v="Moderate"/>
    <s v="Bachelor"/>
    <s v="Life Sciences"/>
    <n v="1"/>
    <s v="Male"/>
    <n v="45"/>
    <n v="2"/>
    <n v="2"/>
    <s v="Healthcare Representative"/>
    <s v="Low"/>
    <s v="Divorced"/>
    <n v="6288"/>
    <s v="Medium (5k-10k)"/>
    <n v="4284"/>
    <n v="2"/>
    <x v="0"/>
    <n v="15"/>
    <n v="3"/>
    <n v="3"/>
    <n v="1"/>
    <n v="13"/>
    <n v="3"/>
    <s v="Good"/>
    <n v="4"/>
    <x v="1"/>
    <n v="3"/>
    <n v="1"/>
    <n v="2"/>
  </r>
  <r>
    <n v="38"/>
    <s v="Middle Aged"/>
    <n v="0"/>
    <s v="Travel_Rarely"/>
    <n v="395"/>
    <x v="1"/>
    <n v="9"/>
    <s v="Moderate"/>
    <s v="Bachelor"/>
    <s v="Marketing"/>
    <n v="2"/>
    <s v="Male"/>
    <n v="98"/>
    <n v="2"/>
    <n v="1"/>
    <s v="Sales Representative"/>
    <s v="Medium"/>
    <s v="Married"/>
    <n v="2899"/>
    <s v="Low (&lt;5k)"/>
    <n v="12102"/>
    <n v="0"/>
    <x v="0"/>
    <n v="19"/>
    <n v="3"/>
    <n v="4"/>
    <n v="1"/>
    <n v="3"/>
    <n v="3"/>
    <s v="Better"/>
    <n v="2"/>
    <x v="0"/>
    <n v="2"/>
    <n v="1"/>
    <n v="2"/>
  </r>
  <r>
    <n v="38"/>
    <s v="Middle Aged"/>
    <n v="0"/>
    <s v="Travel_Rarely"/>
    <n v="1333"/>
    <x v="0"/>
    <n v="1"/>
    <s v="Near Office"/>
    <s v="Bachelor"/>
    <s v="Technical Degree"/>
    <n v="4"/>
    <s v="Female"/>
    <n v="80"/>
    <n v="3"/>
    <n v="3"/>
    <s v="Research Director"/>
    <s v="Low"/>
    <s v="Married"/>
    <n v="13582"/>
    <s v="High (&gt;10k)"/>
    <n v="16292"/>
    <n v="1"/>
    <x v="0"/>
    <n v="13"/>
    <n v="3"/>
    <n v="2"/>
    <n v="1"/>
    <n v="15"/>
    <n v="3"/>
    <s v="Better"/>
    <n v="15"/>
    <x v="2"/>
    <n v="12"/>
    <n v="5"/>
    <n v="11"/>
  </r>
  <r>
    <n v="38"/>
    <s v="Middle Aged"/>
    <n v="0"/>
    <s v="Non-Travel"/>
    <n v="152"/>
    <x v="1"/>
    <n v="10"/>
    <s v="Moderate"/>
    <s v="Bachelor"/>
    <s v="Technical Degree"/>
    <n v="3"/>
    <s v="Female"/>
    <n v="85"/>
    <n v="3"/>
    <n v="2"/>
    <s v="Sales Executive"/>
    <s v="Very High"/>
    <s v="Single"/>
    <n v="5666"/>
    <s v="Medium (5k-10k)"/>
    <n v="19899"/>
    <n v="1"/>
    <x v="1"/>
    <n v="13"/>
    <n v="3"/>
    <n v="2"/>
    <n v="0"/>
    <n v="6"/>
    <n v="1"/>
    <s v="Better"/>
    <n v="5"/>
    <x v="1"/>
    <n v="3"/>
    <n v="1"/>
    <n v="3"/>
  </r>
  <r>
    <n v="38"/>
    <s v="Middle Aged"/>
    <n v="0"/>
    <s v="Travel_Frequently"/>
    <n v="1391"/>
    <x v="0"/>
    <n v="10"/>
    <s v="Moderate"/>
    <s v="Below College"/>
    <s v="Medical"/>
    <n v="3"/>
    <s v="Male"/>
    <n v="66"/>
    <n v="3"/>
    <n v="1"/>
    <s v="Research Scientist"/>
    <s v="High"/>
    <s v="Married"/>
    <n v="2684"/>
    <s v="Low (&lt;5k)"/>
    <n v="12127"/>
    <n v="0"/>
    <x v="0"/>
    <n v="17"/>
    <n v="3"/>
    <n v="2"/>
    <n v="1"/>
    <n v="3"/>
    <n v="0"/>
    <s v="Good"/>
    <n v="2"/>
    <x v="0"/>
    <n v="1"/>
    <n v="0"/>
    <n v="2"/>
  </r>
  <r>
    <n v="38"/>
    <s v="Middle Aged"/>
    <n v="0"/>
    <s v="Travel_Rarely"/>
    <n v="1035"/>
    <x v="1"/>
    <n v="3"/>
    <s v="Near Office"/>
    <s v="Master"/>
    <s v="Life Sciences"/>
    <n v="2"/>
    <s v="Male"/>
    <n v="42"/>
    <n v="3"/>
    <n v="2"/>
    <s v="Sales Executive"/>
    <s v="Very High"/>
    <s v="Single"/>
    <n v="6861"/>
    <s v="Medium (5k-10k)"/>
    <n v="4981"/>
    <n v="8"/>
    <x v="1"/>
    <n v="12"/>
    <n v="3"/>
    <n v="3"/>
    <n v="0"/>
    <n v="19"/>
    <n v="1"/>
    <s v="Better"/>
    <n v="1"/>
    <x v="0"/>
    <n v="0"/>
    <n v="0"/>
    <n v="0"/>
  </r>
  <r>
    <n v="38"/>
    <s v="Middle Aged"/>
    <n v="0"/>
    <s v="Travel_Frequently"/>
    <n v="1186"/>
    <x v="0"/>
    <n v="3"/>
    <s v="Near Office"/>
    <s v="Master"/>
    <s v="Other"/>
    <n v="3"/>
    <s v="Male"/>
    <n v="44"/>
    <n v="3"/>
    <n v="1"/>
    <s v="Research Scientist"/>
    <s v="High"/>
    <s v="Married"/>
    <n v="2821"/>
    <s v="Low (&lt;5k)"/>
    <n v="2997"/>
    <n v="3"/>
    <x v="0"/>
    <n v="16"/>
    <n v="3"/>
    <n v="1"/>
    <n v="1"/>
    <n v="8"/>
    <n v="2"/>
    <s v="Better"/>
    <n v="2"/>
    <x v="0"/>
    <n v="2"/>
    <n v="2"/>
    <n v="2"/>
  </r>
  <r>
    <n v="38"/>
    <s v="Middle Aged"/>
    <n v="0"/>
    <s v="Travel_Rarely"/>
    <n v="330"/>
    <x v="0"/>
    <n v="17"/>
    <s v="Long Commute"/>
    <s v="Below College"/>
    <s v="Life Sciences"/>
    <n v="3"/>
    <s v="Female"/>
    <n v="65"/>
    <n v="2"/>
    <n v="3"/>
    <s v="Healthcare Representative"/>
    <s v="High"/>
    <s v="Married"/>
    <n v="8823"/>
    <s v="Medium (5k-10k)"/>
    <n v="24608"/>
    <n v="0"/>
    <x v="0"/>
    <n v="18"/>
    <n v="3"/>
    <n v="1"/>
    <n v="1"/>
    <n v="20"/>
    <n v="4"/>
    <s v="Good"/>
    <n v="19"/>
    <x v="2"/>
    <n v="9"/>
    <n v="1"/>
    <n v="9"/>
  </r>
  <r>
    <n v="38"/>
    <s v="Middle Aged"/>
    <n v="0"/>
    <s v="Travel_Rarely"/>
    <n v="770"/>
    <x v="1"/>
    <n v="10"/>
    <s v="Moderate"/>
    <s v="Master"/>
    <s v="Marketing"/>
    <n v="3"/>
    <s v="Male"/>
    <n v="73"/>
    <n v="2"/>
    <n v="3"/>
    <s v="Sales Executive"/>
    <s v="High"/>
    <s v="Divorced"/>
    <n v="8740"/>
    <s v="Medium (5k-10k)"/>
    <n v="5569"/>
    <n v="0"/>
    <x v="1"/>
    <n v="14"/>
    <n v="3"/>
    <n v="2"/>
    <n v="2"/>
    <n v="9"/>
    <n v="2"/>
    <s v="Better"/>
    <n v="8"/>
    <x v="1"/>
    <n v="7"/>
    <n v="2"/>
    <n v="7"/>
  </r>
  <r>
    <n v="38"/>
    <s v="Middle Aged"/>
    <n v="0"/>
    <s v="Travel_Rarely"/>
    <n v="130"/>
    <x v="1"/>
    <n v="2"/>
    <s v="Near Office"/>
    <s v="College"/>
    <s v="Marketing"/>
    <n v="4"/>
    <s v="Male"/>
    <n v="32"/>
    <n v="3"/>
    <n v="3"/>
    <s v="Sales Executive"/>
    <s v="Medium"/>
    <s v="Single"/>
    <n v="7351"/>
    <s v="Medium (5k-10k)"/>
    <n v="20619"/>
    <n v="7"/>
    <x v="0"/>
    <n v="16"/>
    <n v="3"/>
    <n v="3"/>
    <n v="0"/>
    <n v="10"/>
    <n v="2"/>
    <s v="Better"/>
    <n v="1"/>
    <x v="0"/>
    <n v="0"/>
    <n v="0"/>
    <n v="0"/>
  </r>
  <r>
    <n v="38"/>
    <s v="Middle Aged"/>
    <n v="0"/>
    <s v="Travel_Rarely"/>
    <n v="433"/>
    <x v="2"/>
    <n v="1"/>
    <s v="Near Office"/>
    <s v="Bachelor"/>
    <s v="Human Resources"/>
    <n v="3"/>
    <s v="Male"/>
    <n v="37"/>
    <n v="4"/>
    <n v="1"/>
    <s v="Human Resources"/>
    <s v="High"/>
    <s v="Married"/>
    <n v="2844"/>
    <s v="Low (&lt;5k)"/>
    <n v="6004"/>
    <n v="1"/>
    <x v="0"/>
    <n v="13"/>
    <n v="3"/>
    <n v="4"/>
    <n v="1"/>
    <n v="7"/>
    <n v="2"/>
    <s v="Best"/>
    <n v="7"/>
    <x v="1"/>
    <n v="6"/>
    <n v="5"/>
    <n v="0"/>
  </r>
  <r>
    <n v="38"/>
    <s v="Middle Aged"/>
    <n v="0"/>
    <s v="Travel_Rarely"/>
    <n v="1009"/>
    <x v="1"/>
    <n v="2"/>
    <s v="Near Office"/>
    <s v="College"/>
    <s v="Life Sciences"/>
    <n v="2"/>
    <s v="Female"/>
    <n v="31"/>
    <n v="3"/>
    <n v="2"/>
    <s v="Sales Executive"/>
    <s v="Low"/>
    <s v="Divorced"/>
    <n v="6893"/>
    <s v="Medium (5k-10k)"/>
    <n v="19461"/>
    <n v="3"/>
    <x v="0"/>
    <n v="15"/>
    <n v="3"/>
    <n v="4"/>
    <n v="1"/>
    <n v="11"/>
    <n v="3"/>
    <s v="Better"/>
    <n v="7"/>
    <x v="1"/>
    <n v="7"/>
    <n v="1"/>
    <n v="7"/>
  </r>
  <r>
    <n v="38"/>
    <s v="Middle Aged"/>
    <n v="0"/>
    <s v="Travel_Frequently"/>
    <n v="693"/>
    <x v="0"/>
    <n v="7"/>
    <s v="Moderate"/>
    <s v="Bachelor"/>
    <s v="Life Sciences"/>
    <n v="4"/>
    <s v="Male"/>
    <n v="57"/>
    <n v="4"/>
    <n v="1"/>
    <s v="Research Scientist"/>
    <s v="High"/>
    <s v="Divorced"/>
    <n v="2610"/>
    <s v="Low (&lt;5k)"/>
    <n v="15748"/>
    <n v="1"/>
    <x v="0"/>
    <n v="11"/>
    <n v="3"/>
    <n v="4"/>
    <n v="3"/>
    <n v="4"/>
    <n v="2"/>
    <s v="Better"/>
    <n v="4"/>
    <x v="1"/>
    <n v="2"/>
    <n v="0"/>
    <n v="3"/>
  </r>
  <r>
    <n v="38"/>
    <s v="Middle Aged"/>
    <n v="0"/>
    <s v="Travel_Frequently"/>
    <n v="888"/>
    <x v="2"/>
    <n v="10"/>
    <s v="Moderate"/>
    <s v="Master"/>
    <s v="Human Resources"/>
    <n v="3"/>
    <s v="Male"/>
    <n v="71"/>
    <n v="3"/>
    <n v="2"/>
    <s v="Human Resources"/>
    <s v="High"/>
    <s v="Married"/>
    <n v="6077"/>
    <s v="Medium (5k-10k)"/>
    <n v="14814"/>
    <n v="3"/>
    <x v="0"/>
    <n v="11"/>
    <n v="3"/>
    <n v="3"/>
    <n v="0"/>
    <n v="10"/>
    <n v="2"/>
    <s v="Better"/>
    <n v="6"/>
    <x v="1"/>
    <n v="3"/>
    <n v="1"/>
    <n v="2"/>
  </r>
  <r>
    <n v="38"/>
    <s v="Middle Aged"/>
    <n v="1"/>
    <s v="Travel_Rarely"/>
    <n v="903"/>
    <x v="0"/>
    <n v="2"/>
    <s v="Near Office"/>
    <s v="Bachelor"/>
    <s v="Medical"/>
    <n v="3"/>
    <s v="Male"/>
    <n v="81"/>
    <n v="3"/>
    <n v="2"/>
    <s v="Manufacturing Director"/>
    <s v="Medium"/>
    <s v="Married"/>
    <n v="4855"/>
    <s v="Low (&lt;5k)"/>
    <n v="7653"/>
    <n v="4"/>
    <x v="0"/>
    <n v="11"/>
    <n v="3"/>
    <n v="1"/>
    <n v="2"/>
    <n v="7"/>
    <n v="2"/>
    <s v="Better"/>
    <n v="5"/>
    <x v="1"/>
    <n v="2"/>
    <n v="1"/>
    <n v="4"/>
  </r>
  <r>
    <n v="38"/>
    <s v="Middle Aged"/>
    <n v="0"/>
    <s v="Travel_Rarely"/>
    <n v="1245"/>
    <x v="1"/>
    <n v="14"/>
    <s v="Moderate"/>
    <s v="Bachelor"/>
    <s v="Life Sciences"/>
    <n v="3"/>
    <s v="Male"/>
    <n v="80"/>
    <n v="3"/>
    <n v="2"/>
    <s v="Sales Executive"/>
    <s v="Medium"/>
    <s v="Married"/>
    <n v="9924"/>
    <s v="Medium (5k-10k)"/>
    <n v="12355"/>
    <n v="0"/>
    <x v="0"/>
    <n v="11"/>
    <n v="3"/>
    <n v="4"/>
    <n v="1"/>
    <n v="10"/>
    <n v="3"/>
    <s v="Better"/>
    <n v="9"/>
    <x v="1"/>
    <n v="8"/>
    <n v="7"/>
    <n v="7"/>
  </r>
  <r>
    <n v="38"/>
    <s v="Middle Aged"/>
    <n v="0"/>
    <s v="Travel_Rarely"/>
    <n v="437"/>
    <x v="1"/>
    <n v="16"/>
    <s v="Long Commute"/>
    <s v="Bachelor"/>
    <s v="Life Sciences"/>
    <n v="2"/>
    <s v="Female"/>
    <n v="90"/>
    <n v="3"/>
    <n v="2"/>
    <s v="Sales Executive"/>
    <s v="Medium"/>
    <s v="Single"/>
    <n v="4198"/>
    <s v="Low (&lt;5k)"/>
    <n v="16379"/>
    <n v="2"/>
    <x v="0"/>
    <n v="12"/>
    <n v="3"/>
    <n v="2"/>
    <n v="0"/>
    <n v="8"/>
    <n v="5"/>
    <s v="Best"/>
    <n v="3"/>
    <x v="1"/>
    <n v="2"/>
    <n v="1"/>
    <n v="2"/>
  </r>
  <r>
    <n v="38"/>
    <s v="Middle Aged"/>
    <n v="0"/>
    <s v="Travel_Rarely"/>
    <n v="397"/>
    <x v="0"/>
    <n v="2"/>
    <s v="Near Office"/>
    <s v="College"/>
    <s v="Medical"/>
    <n v="4"/>
    <s v="Female"/>
    <n v="54"/>
    <n v="2"/>
    <n v="3"/>
    <s v="Manufacturing Director"/>
    <s v="High"/>
    <s v="Married"/>
    <n v="7756"/>
    <s v="Medium (5k-10k)"/>
    <n v="14199"/>
    <n v="3"/>
    <x v="1"/>
    <n v="19"/>
    <n v="3"/>
    <n v="4"/>
    <n v="1"/>
    <n v="10"/>
    <n v="6"/>
    <s v="Best"/>
    <n v="5"/>
    <x v="1"/>
    <n v="4"/>
    <n v="0"/>
    <n v="2"/>
  </r>
  <r>
    <n v="38"/>
    <s v="Middle Aged"/>
    <n v="0"/>
    <s v="Travel_Frequently"/>
    <n v="1189"/>
    <x v="0"/>
    <n v="1"/>
    <s v="Near Office"/>
    <s v="Bachelor"/>
    <s v="Life Sciences"/>
    <n v="4"/>
    <s v="Male"/>
    <n v="90"/>
    <n v="3"/>
    <n v="2"/>
    <s v="Research Scientist"/>
    <s v="Very High"/>
    <s v="Married"/>
    <n v="4735"/>
    <s v="Low (&lt;5k)"/>
    <n v="9867"/>
    <n v="7"/>
    <x v="0"/>
    <n v="15"/>
    <n v="3"/>
    <n v="4"/>
    <n v="2"/>
    <n v="19"/>
    <n v="4"/>
    <s v="Best"/>
    <n v="13"/>
    <x v="2"/>
    <n v="11"/>
    <n v="2"/>
    <n v="9"/>
  </r>
  <r>
    <n v="38"/>
    <s v="Middle Aged"/>
    <n v="0"/>
    <s v="Travel_Frequently"/>
    <n v="148"/>
    <x v="0"/>
    <n v="2"/>
    <s v="Near Office"/>
    <s v="Bachelor"/>
    <s v="Medical"/>
    <n v="4"/>
    <s v="Female"/>
    <n v="42"/>
    <n v="2"/>
    <n v="1"/>
    <s v="Laboratory Technician"/>
    <s v="Medium"/>
    <s v="Single"/>
    <n v="2440"/>
    <s v="Low (&lt;5k)"/>
    <n v="23826"/>
    <n v="1"/>
    <x v="0"/>
    <n v="22"/>
    <n v="4"/>
    <n v="2"/>
    <n v="0"/>
    <n v="4"/>
    <n v="3"/>
    <s v="Better"/>
    <n v="4"/>
    <x v="1"/>
    <n v="3"/>
    <n v="3"/>
    <n v="3"/>
  </r>
  <r>
    <n v="38"/>
    <s v="Middle Aged"/>
    <n v="0"/>
    <s v="Travel_Rarely"/>
    <n v="1495"/>
    <x v="0"/>
    <n v="4"/>
    <s v="Near Office"/>
    <s v="College"/>
    <s v="Medical"/>
    <n v="4"/>
    <s v="Female"/>
    <n v="87"/>
    <n v="3"/>
    <n v="1"/>
    <s v="Laboratory Technician"/>
    <s v="High"/>
    <s v="Married"/>
    <n v="3306"/>
    <s v="Low (&lt;5k)"/>
    <n v="26176"/>
    <n v="7"/>
    <x v="0"/>
    <n v="19"/>
    <n v="3"/>
    <n v="4"/>
    <n v="1"/>
    <n v="7"/>
    <n v="5"/>
    <s v="Good"/>
    <n v="0"/>
    <x v="0"/>
    <n v="0"/>
    <n v="0"/>
    <n v="0"/>
  </r>
  <r>
    <n v="38"/>
    <s v="Middle Aged"/>
    <n v="0"/>
    <s v="Travel_Frequently"/>
    <n v="594"/>
    <x v="0"/>
    <n v="2"/>
    <s v="Near Office"/>
    <s v="College"/>
    <s v="Medical"/>
    <n v="3"/>
    <s v="Female"/>
    <n v="75"/>
    <n v="2"/>
    <n v="1"/>
    <s v="Laboratory Technician"/>
    <s v="Medium"/>
    <s v="Married"/>
    <n v="2468"/>
    <s v="Low (&lt;5k)"/>
    <n v="15963"/>
    <n v="4"/>
    <x v="0"/>
    <n v="14"/>
    <n v="3"/>
    <n v="2"/>
    <n v="1"/>
    <n v="9"/>
    <n v="4"/>
    <s v="Good"/>
    <n v="6"/>
    <x v="1"/>
    <n v="1"/>
    <n v="0"/>
    <n v="5"/>
  </r>
  <r>
    <n v="38"/>
    <s v="Middle Aged"/>
    <n v="0"/>
    <s v="Travel_Rarely"/>
    <n v="833"/>
    <x v="0"/>
    <n v="18"/>
    <s v="Long Commute"/>
    <s v="Bachelor"/>
    <s v="Medical"/>
    <n v="2"/>
    <s v="Male"/>
    <n v="60"/>
    <n v="1"/>
    <n v="2"/>
    <s v="Healthcare Representative"/>
    <s v="Very High"/>
    <s v="Married"/>
    <n v="5811"/>
    <s v="Medium (5k-10k)"/>
    <n v="24539"/>
    <n v="3"/>
    <x v="1"/>
    <n v="16"/>
    <n v="3"/>
    <n v="3"/>
    <n v="1"/>
    <n v="15"/>
    <n v="2"/>
    <s v="Better"/>
    <n v="1"/>
    <x v="0"/>
    <n v="0"/>
    <n v="1"/>
    <n v="0"/>
  </r>
  <r>
    <n v="38"/>
    <s v="Middle Aged"/>
    <n v="0"/>
    <s v="Travel_Rarely"/>
    <n v="1153"/>
    <x v="0"/>
    <n v="6"/>
    <s v="Moderate"/>
    <s v="College"/>
    <s v="Other"/>
    <n v="4"/>
    <s v="Female"/>
    <n v="40"/>
    <n v="2"/>
    <n v="1"/>
    <s v="Laboratory Technician"/>
    <s v="High"/>
    <s v="Married"/>
    <n v="3702"/>
    <s v="Low (&lt;5k)"/>
    <n v="16376"/>
    <n v="1"/>
    <x v="0"/>
    <n v="11"/>
    <n v="3"/>
    <n v="2"/>
    <n v="1"/>
    <n v="5"/>
    <n v="3"/>
    <s v="Better"/>
    <n v="5"/>
    <x v="1"/>
    <n v="4"/>
    <n v="0"/>
    <n v="4"/>
  </r>
  <r>
    <n v="38"/>
    <s v="Middle Aged"/>
    <n v="0"/>
    <s v="Non-Travel"/>
    <n v="1336"/>
    <x v="2"/>
    <n v="2"/>
    <s v="Near Office"/>
    <s v="Bachelor"/>
    <s v="Human Resources"/>
    <n v="1"/>
    <s v="Male"/>
    <n v="100"/>
    <n v="3"/>
    <n v="1"/>
    <s v="Human Resources"/>
    <s v="Medium"/>
    <s v="Divorced"/>
    <n v="2592"/>
    <s v="Low (&lt;5k)"/>
    <n v="7129"/>
    <n v="5"/>
    <x v="0"/>
    <n v="13"/>
    <n v="3"/>
    <n v="4"/>
    <n v="3"/>
    <n v="13"/>
    <n v="3"/>
    <s v="Better"/>
    <n v="11"/>
    <x v="2"/>
    <n v="10"/>
    <n v="3"/>
    <n v="8"/>
  </r>
  <r>
    <n v="38"/>
    <s v="Middle Aged"/>
    <n v="0"/>
    <s v="Travel_Rarely"/>
    <n v="723"/>
    <x v="1"/>
    <n v="2"/>
    <s v="Near Office"/>
    <s v="Master"/>
    <s v="Marketing"/>
    <n v="2"/>
    <s v="Female"/>
    <n v="77"/>
    <n v="1"/>
    <n v="2"/>
    <s v="Sales Representative"/>
    <s v="Very High"/>
    <s v="Married"/>
    <n v="5405"/>
    <s v="Medium (5k-10k)"/>
    <n v="4244"/>
    <n v="2"/>
    <x v="1"/>
    <n v="20"/>
    <n v="4"/>
    <n v="1"/>
    <n v="2"/>
    <n v="20"/>
    <n v="4"/>
    <s v="Good"/>
    <n v="4"/>
    <x v="1"/>
    <n v="2"/>
    <n v="0"/>
    <n v="3"/>
  </r>
  <r>
    <n v="38"/>
    <s v="Middle Aged"/>
    <n v="0"/>
    <s v="Travel_Frequently"/>
    <n v="1394"/>
    <x v="0"/>
    <n v="8"/>
    <s v="Moderate"/>
    <s v="Bachelor"/>
    <s v="Medical"/>
    <n v="4"/>
    <s v="Female"/>
    <n v="58"/>
    <n v="2"/>
    <n v="2"/>
    <s v="Research Scientist"/>
    <s v="Medium"/>
    <s v="Divorced"/>
    <n v="2133"/>
    <s v="Low (&lt;5k)"/>
    <n v="18115"/>
    <n v="1"/>
    <x v="1"/>
    <n v="16"/>
    <n v="3"/>
    <n v="3"/>
    <n v="1"/>
    <n v="20"/>
    <n v="3"/>
    <s v="Better"/>
    <n v="20"/>
    <x v="2"/>
    <n v="11"/>
    <n v="0"/>
    <n v="7"/>
  </r>
  <r>
    <n v="38"/>
    <s v="Middle Aged"/>
    <n v="0"/>
    <s v="Travel_Rarely"/>
    <n v="1206"/>
    <x v="0"/>
    <n v="9"/>
    <s v="Moderate"/>
    <s v="College"/>
    <s v="Life Sciences"/>
    <n v="2"/>
    <s v="Male"/>
    <n v="71"/>
    <n v="3"/>
    <n v="1"/>
    <s v="Research Scientist"/>
    <s v="Very High"/>
    <s v="Divorced"/>
    <n v="4771"/>
    <s v="Low (&lt;5k)"/>
    <n v="14293"/>
    <n v="2"/>
    <x v="0"/>
    <n v="19"/>
    <n v="3"/>
    <n v="4"/>
    <n v="2"/>
    <n v="10"/>
    <n v="0"/>
    <s v="Best"/>
    <n v="5"/>
    <x v="1"/>
    <n v="2"/>
    <n v="0"/>
    <n v="3"/>
  </r>
  <r>
    <n v="38"/>
    <s v="Middle Aged"/>
    <n v="0"/>
    <s v="Travel_Rarely"/>
    <n v="1404"/>
    <x v="1"/>
    <n v="1"/>
    <s v="Near Office"/>
    <s v="Bachelor"/>
    <s v="Life Sciences"/>
    <n v="1"/>
    <s v="Male"/>
    <n v="59"/>
    <n v="2"/>
    <n v="1"/>
    <s v="Sales Representative"/>
    <s v="Low"/>
    <s v="Single"/>
    <n v="2858"/>
    <s v="Low (&lt;5k)"/>
    <n v="11473"/>
    <n v="4"/>
    <x v="0"/>
    <n v="14"/>
    <n v="3"/>
    <n v="1"/>
    <n v="0"/>
    <n v="20"/>
    <n v="3"/>
    <s v="Good"/>
    <n v="1"/>
    <x v="0"/>
    <n v="0"/>
    <n v="0"/>
    <n v="0"/>
  </r>
  <r>
    <n v="38"/>
    <s v="Middle Aged"/>
    <n v="0"/>
    <s v="Travel_Frequently"/>
    <n v="1444"/>
    <x v="2"/>
    <n v="1"/>
    <s v="Near Office"/>
    <s v="Master"/>
    <s v="Other"/>
    <n v="4"/>
    <s v="Male"/>
    <n v="88"/>
    <n v="3"/>
    <n v="1"/>
    <s v="Human Resources"/>
    <s v="Medium"/>
    <s v="Married"/>
    <n v="2991"/>
    <s v="Low (&lt;5k)"/>
    <n v="5224"/>
    <n v="0"/>
    <x v="1"/>
    <n v="11"/>
    <n v="3"/>
    <n v="2"/>
    <n v="1"/>
    <n v="7"/>
    <n v="2"/>
    <s v="Better"/>
    <n v="6"/>
    <x v="1"/>
    <n v="2"/>
    <n v="1"/>
    <n v="2"/>
  </r>
  <r>
    <n v="38"/>
    <s v="Middle Aged"/>
    <n v="0"/>
    <s v="Travel_Rarely"/>
    <n v="1321"/>
    <x v="1"/>
    <n v="1"/>
    <s v="Near Office"/>
    <s v="Master"/>
    <s v="Life Sciences"/>
    <n v="4"/>
    <s v="Male"/>
    <n v="86"/>
    <n v="3"/>
    <n v="2"/>
    <s v="Sales Executive"/>
    <s v="Medium"/>
    <s v="Married"/>
    <n v="4440"/>
    <s v="Low (&lt;5k)"/>
    <n v="7636"/>
    <n v="0"/>
    <x v="0"/>
    <n v="15"/>
    <n v="3"/>
    <n v="1"/>
    <n v="2"/>
    <n v="16"/>
    <n v="3"/>
    <s v="Better"/>
    <n v="15"/>
    <x v="2"/>
    <n v="13"/>
    <n v="5"/>
    <n v="8"/>
  </r>
  <r>
    <n v="38"/>
    <s v="Middle Aged"/>
    <n v="0"/>
    <s v="Travel_Frequently"/>
    <n v="508"/>
    <x v="0"/>
    <n v="6"/>
    <s v="Moderate"/>
    <s v="Master"/>
    <s v="Life Sciences"/>
    <n v="1"/>
    <s v="Male"/>
    <n v="72"/>
    <n v="2"/>
    <n v="2"/>
    <s v="Manufacturing Director"/>
    <s v="High"/>
    <s v="Married"/>
    <n v="5321"/>
    <s v="Medium (5k-10k)"/>
    <n v="14284"/>
    <n v="2"/>
    <x v="0"/>
    <n v="11"/>
    <n v="3"/>
    <n v="4"/>
    <n v="1"/>
    <n v="10"/>
    <n v="1"/>
    <s v="Better"/>
    <n v="8"/>
    <x v="1"/>
    <n v="3"/>
    <n v="7"/>
    <n v="7"/>
  </r>
  <r>
    <n v="38"/>
    <s v="Middle Aged"/>
    <n v="0"/>
    <s v="Travel_Rarely"/>
    <n v="201"/>
    <x v="0"/>
    <n v="10"/>
    <s v="Moderate"/>
    <s v="Bachelor"/>
    <s v="Medical"/>
    <n v="2"/>
    <s v="Female"/>
    <n v="99"/>
    <n v="1"/>
    <n v="3"/>
    <s v="Research Director"/>
    <s v="High"/>
    <s v="Married"/>
    <n v="13206"/>
    <s v="High (&gt;10k)"/>
    <n v="3376"/>
    <n v="3"/>
    <x v="0"/>
    <n v="12"/>
    <n v="3"/>
    <n v="1"/>
    <n v="1"/>
    <n v="20"/>
    <n v="3"/>
    <s v="Better"/>
    <n v="18"/>
    <x v="2"/>
    <n v="16"/>
    <n v="1"/>
    <n v="11"/>
  </r>
  <r>
    <n v="38"/>
    <s v="Middle Aged"/>
    <n v="0"/>
    <s v="Travel_Rarely"/>
    <n v="345"/>
    <x v="1"/>
    <n v="10"/>
    <s v="Moderate"/>
    <s v="College"/>
    <s v="Life Sciences"/>
    <n v="1"/>
    <s v="Female"/>
    <n v="100"/>
    <n v="3"/>
    <n v="2"/>
    <s v="Sales Executive"/>
    <s v="Very High"/>
    <s v="Married"/>
    <n v="5343"/>
    <s v="Medium (5k-10k)"/>
    <n v="5982"/>
    <n v="1"/>
    <x v="0"/>
    <n v="11"/>
    <n v="3"/>
    <n v="3"/>
    <n v="1"/>
    <n v="10"/>
    <n v="1"/>
    <s v="Better"/>
    <n v="10"/>
    <x v="2"/>
    <n v="7"/>
    <n v="1"/>
    <n v="9"/>
  </r>
  <r>
    <n v="39"/>
    <s v="Middle Aged"/>
    <n v="1"/>
    <s v="Travel_Rarely"/>
    <n v="895"/>
    <x v="1"/>
    <n v="5"/>
    <s v="Near Office"/>
    <s v="Bachelor"/>
    <s v="Technical Degree"/>
    <n v="4"/>
    <s v="Male"/>
    <n v="56"/>
    <n v="3"/>
    <n v="2"/>
    <s v="Sales Representative"/>
    <s v="Very High"/>
    <s v="Married"/>
    <n v="2086"/>
    <s v="Low (&lt;5k)"/>
    <n v="3335"/>
    <n v="3"/>
    <x v="0"/>
    <n v="14"/>
    <n v="3"/>
    <n v="3"/>
    <n v="1"/>
    <n v="19"/>
    <n v="6"/>
    <s v="Best"/>
    <n v="1"/>
    <x v="0"/>
    <n v="0"/>
    <n v="0"/>
    <n v="0"/>
  </r>
  <r>
    <n v="39"/>
    <s v="Middle Aged"/>
    <n v="0"/>
    <s v="Travel_Rarely"/>
    <n v="1329"/>
    <x v="1"/>
    <n v="4"/>
    <s v="Near Office"/>
    <s v="Master"/>
    <s v="Life Sciences"/>
    <n v="4"/>
    <s v="Female"/>
    <n v="47"/>
    <n v="2"/>
    <n v="2"/>
    <s v="Sales Executive"/>
    <s v="High"/>
    <s v="Married"/>
    <n v="5902"/>
    <s v="Medium (5k-10k)"/>
    <n v="14590"/>
    <n v="4"/>
    <x v="0"/>
    <n v="14"/>
    <n v="3"/>
    <n v="3"/>
    <n v="1"/>
    <n v="17"/>
    <n v="1"/>
    <s v="Best"/>
    <n v="15"/>
    <x v="2"/>
    <n v="11"/>
    <n v="5"/>
    <n v="9"/>
  </r>
  <r>
    <n v="39"/>
    <s v="Middle Aged"/>
    <n v="0"/>
    <s v="Travel_Rarely"/>
    <n v="1431"/>
    <x v="0"/>
    <n v="1"/>
    <s v="Near Office"/>
    <s v="Master"/>
    <s v="Medical"/>
    <n v="3"/>
    <s v="Female"/>
    <n v="96"/>
    <n v="3"/>
    <n v="1"/>
    <s v="Laboratory Technician"/>
    <s v="High"/>
    <s v="Divorced"/>
    <n v="2232"/>
    <s v="Low (&lt;5k)"/>
    <n v="15417"/>
    <n v="7"/>
    <x v="0"/>
    <n v="14"/>
    <n v="3"/>
    <n v="3"/>
    <n v="3"/>
    <n v="7"/>
    <n v="1"/>
    <s v="Better"/>
    <n v="3"/>
    <x v="1"/>
    <n v="2"/>
    <n v="1"/>
    <n v="2"/>
  </r>
  <r>
    <n v="39"/>
    <s v="Middle Aged"/>
    <n v="0"/>
    <s v="Travel_Frequently"/>
    <n v="505"/>
    <x v="0"/>
    <n v="2"/>
    <s v="Near Office"/>
    <s v="Master"/>
    <s v="Technical Degree"/>
    <n v="3"/>
    <s v="Female"/>
    <n v="64"/>
    <n v="3"/>
    <n v="3"/>
    <s v="Healthcare Representative"/>
    <s v="High"/>
    <s v="Single"/>
    <n v="10938"/>
    <s v="High (&gt;10k)"/>
    <n v="6420"/>
    <n v="0"/>
    <x v="0"/>
    <n v="25"/>
    <n v="4"/>
    <n v="4"/>
    <n v="0"/>
    <n v="20"/>
    <n v="1"/>
    <s v="Better"/>
    <n v="19"/>
    <x v="2"/>
    <n v="6"/>
    <n v="11"/>
    <n v="8"/>
  </r>
  <r>
    <n v="39"/>
    <s v="Middle Aged"/>
    <n v="0"/>
    <s v="Travel_Rarely"/>
    <n v="1132"/>
    <x v="0"/>
    <n v="1"/>
    <s v="Near Office"/>
    <s v="Bachelor"/>
    <s v="Medical"/>
    <n v="3"/>
    <s v="Male"/>
    <n v="48"/>
    <n v="4"/>
    <n v="3"/>
    <s v="Healthcare Representative"/>
    <s v="Very High"/>
    <s v="Divorced"/>
    <n v="9613"/>
    <s v="Medium (5k-10k)"/>
    <n v="10942"/>
    <n v="0"/>
    <x v="0"/>
    <n v="17"/>
    <n v="3"/>
    <n v="1"/>
    <n v="3"/>
    <n v="19"/>
    <n v="5"/>
    <s v="Good"/>
    <n v="18"/>
    <x v="2"/>
    <n v="10"/>
    <n v="3"/>
    <n v="7"/>
  </r>
  <r>
    <n v="39"/>
    <s v="Middle Aged"/>
    <n v="0"/>
    <s v="Travel_Rarely"/>
    <n v="117"/>
    <x v="0"/>
    <n v="10"/>
    <s v="Moderate"/>
    <s v="Below College"/>
    <s v="Medical"/>
    <n v="3"/>
    <s v="Male"/>
    <n v="99"/>
    <n v="3"/>
    <n v="4"/>
    <s v="Manager"/>
    <s v="Low"/>
    <s v="Married"/>
    <n v="17068"/>
    <s v="High (&gt;10k)"/>
    <n v="5355"/>
    <n v="1"/>
    <x v="1"/>
    <n v="14"/>
    <n v="3"/>
    <n v="4"/>
    <n v="0"/>
    <n v="21"/>
    <n v="3"/>
    <s v="Better"/>
    <n v="21"/>
    <x v="2"/>
    <n v="9"/>
    <n v="11"/>
    <n v="10"/>
  </r>
  <r>
    <n v="39"/>
    <s v="Middle Aged"/>
    <n v="0"/>
    <s v="Travel_Frequently"/>
    <n v="672"/>
    <x v="0"/>
    <n v="7"/>
    <s v="Moderate"/>
    <s v="College"/>
    <s v="Medical"/>
    <n v="3"/>
    <s v="Male"/>
    <n v="54"/>
    <n v="2"/>
    <n v="5"/>
    <s v="Manager"/>
    <s v="Very High"/>
    <s v="Married"/>
    <n v="19272"/>
    <s v="High (&gt;10k)"/>
    <n v="21141"/>
    <n v="1"/>
    <x v="0"/>
    <n v="15"/>
    <n v="3"/>
    <n v="1"/>
    <n v="1"/>
    <n v="21"/>
    <n v="2"/>
    <s v="Better"/>
    <n v="21"/>
    <x v="2"/>
    <n v="9"/>
    <n v="13"/>
    <n v="3"/>
  </r>
  <r>
    <n v="39"/>
    <s v="Middle Aged"/>
    <n v="1"/>
    <s v="Travel_Rarely"/>
    <n v="1162"/>
    <x v="1"/>
    <n v="3"/>
    <s v="Near Office"/>
    <s v="College"/>
    <s v="Medical"/>
    <n v="4"/>
    <s v="Female"/>
    <n v="41"/>
    <n v="3"/>
    <n v="2"/>
    <s v="Sales Executive"/>
    <s v="High"/>
    <s v="Married"/>
    <n v="5238"/>
    <s v="Medium (5k-10k)"/>
    <n v="17778"/>
    <n v="4"/>
    <x v="1"/>
    <n v="18"/>
    <n v="3"/>
    <n v="1"/>
    <n v="0"/>
    <n v="12"/>
    <n v="3"/>
    <s v="Good"/>
    <n v="1"/>
    <x v="0"/>
    <n v="0"/>
    <n v="0"/>
    <n v="0"/>
  </r>
  <r>
    <n v="39"/>
    <s v="Middle Aged"/>
    <n v="0"/>
    <s v="Travel_Frequently"/>
    <n v="1218"/>
    <x v="0"/>
    <n v="1"/>
    <s v="Near Office"/>
    <s v="Below College"/>
    <s v="Life Sciences"/>
    <n v="2"/>
    <s v="Male"/>
    <n v="52"/>
    <n v="3"/>
    <n v="5"/>
    <s v="Manager"/>
    <s v="High"/>
    <s v="Divorced"/>
    <n v="19197"/>
    <s v="High (&gt;10k)"/>
    <n v="8213"/>
    <n v="1"/>
    <x v="1"/>
    <n v="14"/>
    <n v="3"/>
    <n v="3"/>
    <n v="1"/>
    <n v="21"/>
    <n v="3"/>
    <s v="Better"/>
    <n v="21"/>
    <x v="2"/>
    <n v="8"/>
    <n v="1"/>
    <n v="6"/>
  </r>
  <r>
    <n v="39"/>
    <s v="Middle Aged"/>
    <n v="0"/>
    <s v="Travel_Frequently"/>
    <n v="443"/>
    <x v="0"/>
    <n v="8"/>
    <s v="Moderate"/>
    <s v="Below College"/>
    <s v="Life Sciences"/>
    <n v="3"/>
    <s v="Female"/>
    <n v="48"/>
    <n v="3"/>
    <n v="1"/>
    <s v="Laboratory Technician"/>
    <s v="High"/>
    <s v="Married"/>
    <n v="3755"/>
    <s v="Low (&lt;5k)"/>
    <n v="17872"/>
    <n v="1"/>
    <x v="0"/>
    <n v="11"/>
    <n v="3"/>
    <n v="1"/>
    <n v="1"/>
    <n v="8"/>
    <n v="3"/>
    <s v="Better"/>
    <n v="8"/>
    <x v="1"/>
    <n v="3"/>
    <n v="0"/>
    <n v="7"/>
  </r>
  <r>
    <n v="39"/>
    <s v="Middle Aged"/>
    <n v="0"/>
    <s v="Travel_Rarely"/>
    <n v="408"/>
    <x v="0"/>
    <n v="2"/>
    <s v="Near Office"/>
    <s v="Master"/>
    <s v="Technical Degree"/>
    <n v="4"/>
    <s v="Female"/>
    <n v="80"/>
    <n v="2"/>
    <n v="2"/>
    <s v="Healthcare Representative"/>
    <s v="High"/>
    <s v="Single"/>
    <n v="4553"/>
    <s v="Low (&lt;5k)"/>
    <n v="20978"/>
    <n v="1"/>
    <x v="0"/>
    <n v="11"/>
    <n v="3"/>
    <n v="1"/>
    <n v="0"/>
    <n v="20"/>
    <n v="4"/>
    <s v="Better"/>
    <n v="20"/>
    <x v="2"/>
    <n v="7"/>
    <n v="11"/>
    <n v="10"/>
  </r>
  <r>
    <n v="39"/>
    <s v="Middle Aged"/>
    <n v="0"/>
    <s v="Travel_Rarely"/>
    <n v="141"/>
    <x v="2"/>
    <n v="3"/>
    <s v="Near Office"/>
    <s v="Bachelor"/>
    <s v="Human Resources"/>
    <n v="3"/>
    <s v="Female"/>
    <n v="44"/>
    <n v="4"/>
    <n v="2"/>
    <s v="Human Resources"/>
    <s v="Medium"/>
    <s v="Married"/>
    <n v="6389"/>
    <s v="Medium (5k-10k)"/>
    <n v="18767"/>
    <n v="9"/>
    <x v="0"/>
    <n v="15"/>
    <n v="3"/>
    <n v="3"/>
    <n v="1"/>
    <n v="12"/>
    <n v="3"/>
    <s v="Bad"/>
    <n v="8"/>
    <x v="1"/>
    <n v="3"/>
    <n v="3"/>
    <n v="6"/>
  </r>
  <r>
    <n v="39"/>
    <s v="Middle Aged"/>
    <n v="0"/>
    <s v="Travel_Rarely"/>
    <n v="1383"/>
    <x v="2"/>
    <n v="2"/>
    <s v="Near Office"/>
    <s v="Bachelor"/>
    <s v="Life Sciences"/>
    <n v="4"/>
    <s v="Female"/>
    <n v="42"/>
    <n v="2"/>
    <n v="2"/>
    <s v="Human Resources"/>
    <s v="Very High"/>
    <s v="Married"/>
    <n v="5204"/>
    <s v="Medium (5k-10k)"/>
    <n v="7790"/>
    <n v="8"/>
    <x v="0"/>
    <n v="11"/>
    <n v="3"/>
    <n v="3"/>
    <n v="2"/>
    <n v="13"/>
    <n v="2"/>
    <s v="Better"/>
    <n v="5"/>
    <x v="1"/>
    <n v="4"/>
    <n v="0"/>
    <n v="4"/>
  </r>
  <r>
    <n v="39"/>
    <s v="Middle Aged"/>
    <n v="1"/>
    <s v="Travel_Rarely"/>
    <n v="1122"/>
    <x v="0"/>
    <n v="6"/>
    <s v="Moderate"/>
    <s v="Bachelor"/>
    <s v="Medical"/>
    <n v="4"/>
    <s v="Male"/>
    <n v="70"/>
    <n v="3"/>
    <n v="1"/>
    <s v="Laboratory Technician"/>
    <s v="Low"/>
    <s v="Married"/>
    <n v="2404"/>
    <s v="Low (&lt;5k)"/>
    <n v="4303"/>
    <n v="7"/>
    <x v="1"/>
    <n v="21"/>
    <n v="4"/>
    <n v="4"/>
    <n v="0"/>
    <n v="8"/>
    <n v="2"/>
    <s v="Bad"/>
    <n v="2"/>
    <x v="0"/>
    <n v="2"/>
    <n v="2"/>
    <n v="2"/>
  </r>
  <r>
    <n v="39"/>
    <s v="Middle Aged"/>
    <n v="0"/>
    <s v="Travel_Rarely"/>
    <n v="903"/>
    <x v="1"/>
    <n v="2"/>
    <s v="Near Office"/>
    <s v="Doctor"/>
    <s v="Life Sciences"/>
    <n v="1"/>
    <s v="Male"/>
    <n v="41"/>
    <n v="4"/>
    <n v="3"/>
    <s v="Sales Executive"/>
    <s v="High"/>
    <s v="Single"/>
    <n v="7880"/>
    <s v="Medium (5k-10k)"/>
    <n v="2560"/>
    <n v="0"/>
    <x v="0"/>
    <n v="18"/>
    <n v="3"/>
    <n v="4"/>
    <n v="0"/>
    <n v="9"/>
    <n v="3"/>
    <s v="Better"/>
    <n v="8"/>
    <x v="1"/>
    <n v="7"/>
    <n v="0"/>
    <n v="7"/>
  </r>
  <r>
    <n v="39"/>
    <s v="Middle Aged"/>
    <n v="0"/>
    <s v="Travel_Rarely"/>
    <n v="466"/>
    <x v="0"/>
    <n v="1"/>
    <s v="Near Office"/>
    <s v="Below College"/>
    <s v="Life Sciences"/>
    <n v="4"/>
    <s v="Female"/>
    <n v="65"/>
    <n v="2"/>
    <n v="4"/>
    <s v="Manufacturing Director"/>
    <s v="Very High"/>
    <s v="Married"/>
    <n v="12742"/>
    <s v="High (&gt;10k)"/>
    <n v="7060"/>
    <n v="1"/>
    <x v="0"/>
    <n v="16"/>
    <n v="3"/>
    <n v="3"/>
    <n v="1"/>
    <n v="21"/>
    <n v="3"/>
    <s v="Better"/>
    <n v="21"/>
    <x v="2"/>
    <n v="6"/>
    <n v="11"/>
    <n v="8"/>
  </r>
  <r>
    <n v="39"/>
    <s v="Middle Aged"/>
    <n v="0"/>
    <s v="Travel_Frequently"/>
    <n v="945"/>
    <x v="0"/>
    <n v="22"/>
    <s v="Long Commute"/>
    <s v="Bachelor"/>
    <s v="Medical"/>
    <n v="4"/>
    <s v="Female"/>
    <n v="82"/>
    <n v="3"/>
    <n v="3"/>
    <s v="Manufacturing Director"/>
    <s v="Low"/>
    <s v="Single"/>
    <n v="10880"/>
    <s v="High (&gt;10k)"/>
    <n v="5083"/>
    <n v="1"/>
    <x v="1"/>
    <n v="13"/>
    <n v="3"/>
    <n v="3"/>
    <n v="0"/>
    <n v="21"/>
    <n v="2"/>
    <s v="Better"/>
    <n v="21"/>
    <x v="2"/>
    <n v="6"/>
    <n v="2"/>
    <n v="8"/>
  </r>
  <r>
    <n v="39"/>
    <s v="Middle Aged"/>
    <n v="1"/>
    <s v="Travel_Frequently"/>
    <n v="203"/>
    <x v="0"/>
    <n v="2"/>
    <s v="Near Office"/>
    <s v="Bachelor"/>
    <s v="Life Sciences"/>
    <n v="1"/>
    <s v="Male"/>
    <n v="84"/>
    <n v="3"/>
    <n v="4"/>
    <s v="Healthcare Representative"/>
    <s v="Very High"/>
    <s v="Divorced"/>
    <n v="12169"/>
    <s v="High (&gt;10k)"/>
    <n v="13547"/>
    <n v="7"/>
    <x v="0"/>
    <n v="11"/>
    <n v="3"/>
    <n v="4"/>
    <n v="3"/>
    <n v="21"/>
    <n v="4"/>
    <s v="Better"/>
    <n v="18"/>
    <x v="2"/>
    <n v="7"/>
    <n v="11"/>
    <n v="5"/>
  </r>
  <r>
    <n v="39"/>
    <s v="Middle Aged"/>
    <n v="0"/>
    <s v="Non-Travel"/>
    <n v="439"/>
    <x v="0"/>
    <n v="9"/>
    <s v="Moderate"/>
    <s v="Bachelor"/>
    <s v="Life Sciences"/>
    <n v="3"/>
    <s v="Male"/>
    <n v="70"/>
    <n v="3"/>
    <n v="2"/>
    <s v="Laboratory Technician"/>
    <s v="Medium"/>
    <s v="Single"/>
    <n v="6782"/>
    <s v="Medium (5k-10k)"/>
    <n v="8770"/>
    <n v="9"/>
    <x v="0"/>
    <n v="15"/>
    <n v="3"/>
    <n v="3"/>
    <n v="0"/>
    <n v="9"/>
    <n v="2"/>
    <s v="Good"/>
    <n v="5"/>
    <x v="1"/>
    <n v="4"/>
    <n v="0"/>
    <n v="3"/>
  </r>
  <r>
    <n v="39"/>
    <s v="Middle Aged"/>
    <n v="0"/>
    <s v="Travel_Rarely"/>
    <n v="412"/>
    <x v="0"/>
    <n v="13"/>
    <s v="Moderate"/>
    <s v="Master"/>
    <s v="Medical"/>
    <n v="3"/>
    <s v="Female"/>
    <n v="94"/>
    <n v="2"/>
    <n v="4"/>
    <s v="Manager"/>
    <s v="Medium"/>
    <s v="Divorced"/>
    <n v="17123"/>
    <s v="High (&gt;10k)"/>
    <n v="17334"/>
    <n v="6"/>
    <x v="1"/>
    <n v="13"/>
    <n v="3"/>
    <n v="4"/>
    <n v="2"/>
    <n v="21"/>
    <n v="4"/>
    <s v="Better"/>
    <n v="19"/>
    <x v="2"/>
    <n v="9"/>
    <n v="15"/>
    <n v="2"/>
  </r>
  <r>
    <n v="39"/>
    <s v="Middle Aged"/>
    <n v="1"/>
    <s v="Travel_Rarely"/>
    <n v="360"/>
    <x v="0"/>
    <n v="23"/>
    <s v="Long Commute"/>
    <s v="Bachelor"/>
    <s v="Medical"/>
    <n v="3"/>
    <s v="Male"/>
    <n v="93"/>
    <n v="3"/>
    <n v="1"/>
    <s v="Research Scientist"/>
    <s v="Low"/>
    <s v="Single"/>
    <n v="3904"/>
    <s v="Low (&lt;5k)"/>
    <n v="22154"/>
    <n v="0"/>
    <x v="0"/>
    <n v="13"/>
    <n v="3"/>
    <n v="1"/>
    <n v="0"/>
    <n v="6"/>
    <n v="2"/>
    <s v="Better"/>
    <n v="5"/>
    <x v="1"/>
    <n v="2"/>
    <n v="0"/>
    <n v="3"/>
  </r>
  <r>
    <n v="39"/>
    <s v="Middle Aged"/>
    <n v="0"/>
    <s v="Travel_Rarely"/>
    <n v="524"/>
    <x v="0"/>
    <n v="18"/>
    <s v="Long Commute"/>
    <s v="College"/>
    <s v="Life Sciences"/>
    <n v="1"/>
    <s v="Male"/>
    <n v="32"/>
    <n v="3"/>
    <n v="2"/>
    <s v="Manufacturing Director"/>
    <s v="High"/>
    <s v="Single"/>
    <n v="4534"/>
    <s v="Low (&lt;5k)"/>
    <n v="13352"/>
    <n v="0"/>
    <x v="0"/>
    <n v="11"/>
    <n v="3"/>
    <n v="1"/>
    <n v="0"/>
    <n v="9"/>
    <n v="6"/>
    <s v="Better"/>
    <n v="8"/>
    <x v="1"/>
    <n v="7"/>
    <n v="1"/>
    <n v="7"/>
  </r>
  <r>
    <n v="39"/>
    <s v="Middle Aged"/>
    <n v="0"/>
    <s v="Travel_Rarely"/>
    <n v="1498"/>
    <x v="1"/>
    <n v="21"/>
    <s v="Long Commute"/>
    <s v="Master"/>
    <s v="Life Sciences"/>
    <n v="1"/>
    <s v="Male"/>
    <n v="44"/>
    <n v="2"/>
    <n v="2"/>
    <s v="Sales Executive"/>
    <s v="Very High"/>
    <s v="Married"/>
    <n v="6120"/>
    <s v="Medium (5k-10k)"/>
    <n v="3567"/>
    <n v="3"/>
    <x v="1"/>
    <n v="12"/>
    <n v="3"/>
    <n v="4"/>
    <n v="2"/>
    <n v="8"/>
    <n v="2"/>
    <s v="Best"/>
    <n v="5"/>
    <x v="1"/>
    <n v="4"/>
    <n v="1"/>
    <n v="4"/>
  </r>
  <r>
    <n v="39"/>
    <s v="Middle Aged"/>
    <n v="0"/>
    <s v="Non-Travel"/>
    <n v="1485"/>
    <x v="0"/>
    <n v="25"/>
    <s v="Long Commute"/>
    <s v="College"/>
    <s v="Life Sciences"/>
    <n v="3"/>
    <s v="Male"/>
    <n v="71"/>
    <n v="3"/>
    <n v="3"/>
    <s v="Healthcare Representative"/>
    <s v="High"/>
    <s v="Married"/>
    <n v="10920"/>
    <s v="High (&gt;10k)"/>
    <n v="3449"/>
    <n v="3"/>
    <x v="0"/>
    <n v="21"/>
    <n v="4"/>
    <n v="2"/>
    <n v="1"/>
    <n v="13"/>
    <n v="2"/>
    <s v="Better"/>
    <n v="6"/>
    <x v="1"/>
    <n v="4"/>
    <n v="0"/>
    <n v="5"/>
  </r>
  <r>
    <n v="39"/>
    <s v="Middle Aged"/>
    <n v="1"/>
    <s v="Non-Travel"/>
    <n v="592"/>
    <x v="0"/>
    <n v="2"/>
    <s v="Near Office"/>
    <s v="Bachelor"/>
    <s v="Life Sciences"/>
    <n v="1"/>
    <s v="Female"/>
    <n v="54"/>
    <n v="2"/>
    <n v="1"/>
    <s v="Laboratory Technician"/>
    <s v="Low"/>
    <s v="Single"/>
    <n v="3646"/>
    <s v="Low (&lt;5k)"/>
    <n v="17181"/>
    <n v="2"/>
    <x v="1"/>
    <n v="23"/>
    <n v="4"/>
    <n v="2"/>
    <n v="0"/>
    <n v="11"/>
    <n v="2"/>
    <s v="Best"/>
    <n v="1"/>
    <x v="0"/>
    <n v="0"/>
    <n v="0"/>
    <n v="0"/>
  </r>
  <r>
    <n v="39"/>
    <s v="Middle Aged"/>
    <n v="0"/>
    <s v="Travel_Rarely"/>
    <n v="1089"/>
    <x v="0"/>
    <n v="6"/>
    <s v="Moderate"/>
    <s v="Bachelor"/>
    <s v="Life Sciences"/>
    <n v="2"/>
    <s v="Female"/>
    <n v="32"/>
    <n v="3"/>
    <n v="3"/>
    <s v="Manufacturing Director"/>
    <s v="Medium"/>
    <s v="Single"/>
    <n v="8376"/>
    <s v="Medium (5k-10k)"/>
    <n v="9150"/>
    <n v="4"/>
    <x v="0"/>
    <n v="18"/>
    <n v="3"/>
    <n v="4"/>
    <n v="0"/>
    <n v="9"/>
    <n v="3"/>
    <s v="Better"/>
    <n v="2"/>
    <x v="0"/>
    <n v="0"/>
    <n v="2"/>
    <n v="2"/>
  </r>
  <r>
    <n v="39"/>
    <s v="Middle Aged"/>
    <n v="0"/>
    <s v="Travel_Rarely"/>
    <n v="1462"/>
    <x v="1"/>
    <n v="6"/>
    <s v="Moderate"/>
    <s v="Bachelor"/>
    <s v="Medical"/>
    <n v="4"/>
    <s v="Male"/>
    <n v="38"/>
    <n v="4"/>
    <n v="3"/>
    <s v="Sales Executive"/>
    <s v="High"/>
    <s v="Married"/>
    <n v="8237"/>
    <s v="Medium (5k-10k)"/>
    <n v="4658"/>
    <n v="2"/>
    <x v="0"/>
    <n v="11"/>
    <n v="3"/>
    <n v="1"/>
    <n v="1"/>
    <n v="11"/>
    <n v="3"/>
    <s v="Better"/>
    <n v="7"/>
    <x v="1"/>
    <n v="6"/>
    <n v="7"/>
    <n v="6"/>
  </r>
  <r>
    <n v="39"/>
    <s v="Middle Aged"/>
    <n v="0"/>
    <s v="Travel_Rarely"/>
    <n v="1387"/>
    <x v="0"/>
    <n v="10"/>
    <s v="Moderate"/>
    <s v="Doctor"/>
    <s v="Medical"/>
    <n v="2"/>
    <s v="Male"/>
    <n v="76"/>
    <n v="3"/>
    <n v="2"/>
    <s v="Manufacturing Director"/>
    <s v="Low"/>
    <s v="Married"/>
    <n v="5377"/>
    <s v="Medium (5k-10k)"/>
    <n v="3835"/>
    <n v="2"/>
    <x v="0"/>
    <n v="13"/>
    <n v="3"/>
    <n v="4"/>
    <n v="3"/>
    <n v="10"/>
    <n v="3"/>
    <s v="Better"/>
    <n v="7"/>
    <x v="1"/>
    <n v="7"/>
    <n v="7"/>
    <n v="7"/>
  </r>
  <r>
    <n v="39"/>
    <s v="Middle Aged"/>
    <n v="0"/>
    <s v="Travel_Rarely"/>
    <n v="170"/>
    <x v="0"/>
    <n v="3"/>
    <s v="Near Office"/>
    <s v="College"/>
    <s v="Medical"/>
    <n v="3"/>
    <s v="Male"/>
    <n v="76"/>
    <n v="2"/>
    <n v="2"/>
    <s v="Laboratory Technician"/>
    <s v="High"/>
    <s v="Divorced"/>
    <n v="3069"/>
    <s v="Low (&lt;5k)"/>
    <n v="10302"/>
    <n v="0"/>
    <x v="0"/>
    <n v="15"/>
    <n v="3"/>
    <n v="4"/>
    <n v="1"/>
    <n v="11"/>
    <n v="3"/>
    <s v="Better"/>
    <n v="10"/>
    <x v="2"/>
    <n v="8"/>
    <n v="0"/>
    <n v="7"/>
  </r>
  <r>
    <n v="39"/>
    <s v="Middle Aged"/>
    <n v="0"/>
    <s v="Travel_Frequently"/>
    <n v="711"/>
    <x v="0"/>
    <n v="4"/>
    <s v="Near Office"/>
    <s v="Bachelor"/>
    <s v="Medical"/>
    <n v="1"/>
    <s v="Female"/>
    <n v="81"/>
    <n v="3"/>
    <n v="2"/>
    <s v="Manufacturing Director"/>
    <s v="High"/>
    <s v="Single"/>
    <n v="5042"/>
    <s v="Medium (5k-10k)"/>
    <n v="3140"/>
    <n v="0"/>
    <x v="0"/>
    <n v="13"/>
    <n v="3"/>
    <n v="4"/>
    <n v="0"/>
    <n v="10"/>
    <n v="2"/>
    <s v="Bad"/>
    <n v="9"/>
    <x v="1"/>
    <n v="2"/>
    <n v="3"/>
    <n v="8"/>
  </r>
  <r>
    <n v="39"/>
    <s v="Middle Aged"/>
    <n v="0"/>
    <s v="Travel_Rarely"/>
    <n v="492"/>
    <x v="0"/>
    <n v="12"/>
    <s v="Moderate"/>
    <s v="Bachelor"/>
    <s v="Medical"/>
    <n v="4"/>
    <s v="Male"/>
    <n v="66"/>
    <n v="3"/>
    <n v="2"/>
    <s v="Manufacturing Director"/>
    <s v="Medium"/>
    <s v="Married"/>
    <n v="5295"/>
    <s v="Medium (5k-10k)"/>
    <n v="7693"/>
    <n v="4"/>
    <x v="0"/>
    <n v="21"/>
    <n v="4"/>
    <n v="3"/>
    <n v="0"/>
    <n v="7"/>
    <n v="3"/>
    <s v="Better"/>
    <n v="5"/>
    <x v="1"/>
    <n v="4"/>
    <n v="1"/>
    <n v="0"/>
  </r>
  <r>
    <n v="39"/>
    <s v="Middle Aged"/>
    <n v="0"/>
    <s v="Non-Travel"/>
    <n v="792"/>
    <x v="0"/>
    <n v="1"/>
    <s v="Near Office"/>
    <s v="Bachelor"/>
    <s v="Life Sciences"/>
    <n v="4"/>
    <s v="Male"/>
    <n v="77"/>
    <n v="3"/>
    <n v="2"/>
    <s v="Laboratory Technician"/>
    <s v="Very High"/>
    <s v="Married"/>
    <n v="6472"/>
    <s v="Medium (5k-10k)"/>
    <n v="8989"/>
    <n v="1"/>
    <x v="1"/>
    <n v="15"/>
    <n v="3"/>
    <n v="4"/>
    <n v="1"/>
    <n v="9"/>
    <n v="2"/>
    <s v="Better"/>
    <n v="9"/>
    <x v="1"/>
    <n v="8"/>
    <n v="5"/>
    <n v="8"/>
  </r>
  <r>
    <n v="39"/>
    <s v="Middle Aged"/>
    <n v="0"/>
    <s v="Travel_Rarely"/>
    <n v="1253"/>
    <x v="0"/>
    <n v="10"/>
    <s v="Moderate"/>
    <s v="Below College"/>
    <s v="Medical"/>
    <n v="3"/>
    <s v="Male"/>
    <n v="65"/>
    <n v="3"/>
    <n v="3"/>
    <s v="Research Director"/>
    <s v="High"/>
    <s v="Single"/>
    <n v="13464"/>
    <s v="High (&gt;10k)"/>
    <n v="7914"/>
    <n v="7"/>
    <x v="0"/>
    <n v="21"/>
    <n v="4"/>
    <n v="3"/>
    <n v="0"/>
    <n v="9"/>
    <n v="3"/>
    <s v="Better"/>
    <n v="4"/>
    <x v="1"/>
    <n v="3"/>
    <n v="2"/>
    <n v="2"/>
  </r>
  <r>
    <n v="39"/>
    <s v="Middle Aged"/>
    <n v="0"/>
    <s v="Travel_Frequently"/>
    <n v="766"/>
    <x v="1"/>
    <n v="20"/>
    <s v="Long Commute"/>
    <s v="Bachelor"/>
    <s v="Life Sciences"/>
    <n v="3"/>
    <s v="Male"/>
    <n v="83"/>
    <n v="3"/>
    <n v="2"/>
    <s v="Sales Executive"/>
    <s v="Very High"/>
    <s v="Divorced"/>
    <n v="4127"/>
    <s v="Low (&lt;5k)"/>
    <n v="19188"/>
    <n v="2"/>
    <x v="0"/>
    <n v="18"/>
    <n v="3"/>
    <n v="4"/>
    <n v="1"/>
    <n v="7"/>
    <n v="6"/>
    <s v="Better"/>
    <n v="2"/>
    <x v="0"/>
    <n v="1"/>
    <n v="2"/>
    <n v="2"/>
  </r>
  <r>
    <n v="39"/>
    <s v="Middle Aged"/>
    <n v="0"/>
    <s v="Travel_Rarely"/>
    <n v="835"/>
    <x v="0"/>
    <n v="19"/>
    <s v="Long Commute"/>
    <s v="Master"/>
    <s v="Other"/>
    <n v="4"/>
    <s v="Male"/>
    <n v="41"/>
    <n v="3"/>
    <n v="2"/>
    <s v="Research Scientist"/>
    <s v="Very High"/>
    <s v="Divorced"/>
    <n v="3902"/>
    <s v="Low (&lt;5k)"/>
    <n v="5141"/>
    <n v="8"/>
    <x v="0"/>
    <n v="14"/>
    <n v="3"/>
    <n v="2"/>
    <n v="3"/>
    <n v="7"/>
    <n v="2"/>
    <s v="Better"/>
    <n v="2"/>
    <x v="0"/>
    <n v="2"/>
    <n v="2"/>
    <n v="2"/>
  </r>
  <r>
    <n v="39"/>
    <s v="Middle Aged"/>
    <n v="0"/>
    <s v="Non-Travel"/>
    <n v="1251"/>
    <x v="1"/>
    <n v="21"/>
    <s v="Long Commute"/>
    <s v="Master"/>
    <s v="Life Sciences"/>
    <n v="1"/>
    <s v="Female"/>
    <n v="32"/>
    <n v="1"/>
    <n v="2"/>
    <s v="Sales Executive"/>
    <s v="High"/>
    <s v="Married"/>
    <n v="5736"/>
    <s v="Medium (5k-10k)"/>
    <n v="3987"/>
    <n v="6"/>
    <x v="0"/>
    <n v="19"/>
    <n v="3"/>
    <n v="3"/>
    <n v="1"/>
    <n v="10"/>
    <n v="1"/>
    <s v="Better"/>
    <n v="3"/>
    <x v="1"/>
    <n v="2"/>
    <n v="1"/>
    <n v="2"/>
  </r>
  <r>
    <n v="39"/>
    <s v="Middle Aged"/>
    <n v="0"/>
    <s v="Travel_Rarely"/>
    <n v="867"/>
    <x v="0"/>
    <n v="9"/>
    <s v="Moderate"/>
    <s v="College"/>
    <s v="Medical"/>
    <n v="1"/>
    <s v="Male"/>
    <n v="87"/>
    <n v="3"/>
    <n v="2"/>
    <s v="Manufacturing Director"/>
    <s v="Low"/>
    <s v="Married"/>
    <n v="5151"/>
    <s v="Medium (5k-10k)"/>
    <n v="12315"/>
    <n v="1"/>
    <x v="0"/>
    <n v="25"/>
    <n v="4"/>
    <n v="4"/>
    <n v="1"/>
    <n v="10"/>
    <n v="3"/>
    <s v="Better"/>
    <n v="10"/>
    <x v="2"/>
    <n v="0"/>
    <n v="7"/>
    <n v="9"/>
  </r>
  <r>
    <n v="39"/>
    <s v="Middle Aged"/>
    <n v="0"/>
    <s v="Travel_Rarely"/>
    <n v="119"/>
    <x v="1"/>
    <n v="15"/>
    <s v="Moderate"/>
    <s v="Master"/>
    <s v="Marketing"/>
    <n v="2"/>
    <s v="Male"/>
    <n v="77"/>
    <n v="3"/>
    <n v="4"/>
    <s v="Sales Executive"/>
    <s v="Low"/>
    <s v="Single"/>
    <n v="13341"/>
    <s v="High (&gt;10k)"/>
    <n v="25098"/>
    <n v="0"/>
    <x v="0"/>
    <n v="12"/>
    <n v="3"/>
    <n v="1"/>
    <n v="0"/>
    <n v="21"/>
    <n v="3"/>
    <s v="Better"/>
    <n v="20"/>
    <x v="2"/>
    <n v="8"/>
    <n v="11"/>
    <n v="10"/>
  </r>
  <r>
    <n v="39"/>
    <s v="Middle Aged"/>
    <n v="0"/>
    <s v="Travel_Rarely"/>
    <n v="116"/>
    <x v="0"/>
    <n v="24"/>
    <s v="Long Commute"/>
    <s v="Below College"/>
    <s v="Life Sciences"/>
    <n v="1"/>
    <s v="Male"/>
    <n v="52"/>
    <n v="3"/>
    <n v="2"/>
    <s v="Research Scientist"/>
    <s v="Very High"/>
    <s v="Single"/>
    <n v="4108"/>
    <s v="Low (&lt;5k)"/>
    <n v="5340"/>
    <n v="7"/>
    <x v="0"/>
    <n v="13"/>
    <n v="3"/>
    <n v="1"/>
    <n v="0"/>
    <n v="18"/>
    <n v="2"/>
    <s v="Better"/>
    <n v="7"/>
    <x v="1"/>
    <n v="7"/>
    <n v="1"/>
    <n v="7"/>
  </r>
  <r>
    <n v="39"/>
    <s v="Middle Aged"/>
    <n v="0"/>
    <s v="Non-Travel"/>
    <n v="105"/>
    <x v="0"/>
    <n v="9"/>
    <s v="Moderate"/>
    <s v="Bachelor"/>
    <s v="Life Sciences"/>
    <n v="4"/>
    <s v="Male"/>
    <n v="87"/>
    <n v="3"/>
    <n v="5"/>
    <s v="Manager"/>
    <s v="Very High"/>
    <s v="Single"/>
    <n v="19431"/>
    <s v="High (&gt;10k)"/>
    <n v="15302"/>
    <n v="2"/>
    <x v="0"/>
    <n v="13"/>
    <n v="3"/>
    <n v="3"/>
    <n v="0"/>
    <n v="21"/>
    <n v="3"/>
    <s v="Good"/>
    <n v="6"/>
    <x v="1"/>
    <n v="0"/>
    <n v="1"/>
    <n v="3"/>
  </r>
  <r>
    <n v="39"/>
    <s v="Middle Aged"/>
    <n v="0"/>
    <s v="Travel_Rarely"/>
    <n v="722"/>
    <x v="1"/>
    <n v="24"/>
    <s v="Long Commute"/>
    <s v="Below College"/>
    <s v="Marketing"/>
    <n v="2"/>
    <s v="Female"/>
    <n v="60"/>
    <n v="2"/>
    <n v="4"/>
    <s v="Sales Executive"/>
    <s v="Very High"/>
    <s v="Married"/>
    <n v="12031"/>
    <s v="High (&gt;10k)"/>
    <n v="8828"/>
    <n v="0"/>
    <x v="0"/>
    <n v="11"/>
    <n v="3"/>
    <n v="1"/>
    <n v="1"/>
    <n v="21"/>
    <n v="2"/>
    <s v="Good"/>
    <n v="20"/>
    <x v="2"/>
    <n v="9"/>
    <n v="9"/>
    <n v="6"/>
  </r>
  <r>
    <n v="39"/>
    <s v="Middle Aged"/>
    <n v="0"/>
    <s v="Travel_Rarely"/>
    <n v="613"/>
    <x v="0"/>
    <n v="6"/>
    <s v="Moderate"/>
    <s v="Below College"/>
    <s v="Medical"/>
    <n v="4"/>
    <s v="Male"/>
    <n v="42"/>
    <n v="2"/>
    <n v="3"/>
    <s v="Healthcare Representative"/>
    <s v="Low"/>
    <s v="Married"/>
    <n v="9991"/>
    <s v="Medium (5k-10k)"/>
    <n v="21457"/>
    <n v="4"/>
    <x v="0"/>
    <n v="15"/>
    <n v="3"/>
    <n v="1"/>
    <n v="1"/>
    <n v="9"/>
    <n v="5"/>
    <s v="Better"/>
    <n v="7"/>
    <x v="1"/>
    <n v="7"/>
    <n v="1"/>
    <n v="7"/>
  </r>
  <r>
    <n v="40"/>
    <s v="Middle Aged"/>
    <n v="0"/>
    <s v="Travel_Frequently"/>
    <n v="530"/>
    <x v="0"/>
    <n v="1"/>
    <s v="Near Office"/>
    <s v="Master"/>
    <s v="Life Sciences"/>
    <n v="3"/>
    <s v="Male"/>
    <n v="78"/>
    <n v="2"/>
    <n v="4"/>
    <s v="Healthcare Representative"/>
    <s v="Medium"/>
    <s v="Married"/>
    <n v="13503"/>
    <s v="High (&gt;10k)"/>
    <n v="14115"/>
    <n v="1"/>
    <x v="0"/>
    <n v="22"/>
    <n v="4"/>
    <n v="4"/>
    <n v="1"/>
    <n v="22"/>
    <n v="3"/>
    <s v="Good"/>
    <n v="22"/>
    <x v="2"/>
    <n v="3"/>
    <n v="11"/>
    <n v="11"/>
  </r>
  <r>
    <n v="40"/>
    <s v="Middle Aged"/>
    <n v="0"/>
    <s v="Travel_Frequently"/>
    <n v="1395"/>
    <x v="0"/>
    <n v="26"/>
    <s v="Long Commute"/>
    <s v="Bachelor"/>
    <s v="Medical"/>
    <n v="2"/>
    <s v="Female"/>
    <n v="54"/>
    <n v="3"/>
    <n v="2"/>
    <s v="Research Scientist"/>
    <s v="Medium"/>
    <s v="Divorced"/>
    <n v="5605"/>
    <s v="Medium (5k-10k)"/>
    <n v="8504"/>
    <n v="1"/>
    <x v="0"/>
    <n v="11"/>
    <n v="3"/>
    <n v="1"/>
    <n v="1"/>
    <n v="20"/>
    <n v="2"/>
    <s v="Better"/>
    <n v="20"/>
    <x v="2"/>
    <n v="7"/>
    <n v="2"/>
    <n v="13"/>
  </r>
  <r>
    <n v="40"/>
    <s v="Middle Aged"/>
    <n v="0"/>
    <s v="Travel_Rarely"/>
    <n v="630"/>
    <x v="1"/>
    <n v="4"/>
    <s v="Near Office"/>
    <s v="Master"/>
    <s v="Marketing"/>
    <n v="3"/>
    <s v="Male"/>
    <n v="67"/>
    <n v="2"/>
    <n v="3"/>
    <s v="Sales Executive"/>
    <s v="Very High"/>
    <s v="Married"/>
    <n v="10855"/>
    <s v="High (&gt;10k)"/>
    <n v="8552"/>
    <n v="7"/>
    <x v="0"/>
    <n v="11"/>
    <n v="3"/>
    <n v="1"/>
    <n v="1"/>
    <n v="15"/>
    <n v="2"/>
    <s v="Good"/>
    <n v="12"/>
    <x v="2"/>
    <n v="11"/>
    <n v="2"/>
    <n v="11"/>
  </r>
  <r>
    <n v="40"/>
    <s v="Middle Aged"/>
    <n v="0"/>
    <s v="Travel_Rarely"/>
    <n v="989"/>
    <x v="0"/>
    <n v="4"/>
    <s v="Near Office"/>
    <s v="Below College"/>
    <s v="Medical"/>
    <n v="4"/>
    <s v="Female"/>
    <n v="46"/>
    <n v="3"/>
    <n v="5"/>
    <s v="Manager"/>
    <s v="High"/>
    <s v="Married"/>
    <n v="19033"/>
    <s v="High (&gt;10k)"/>
    <n v="6499"/>
    <n v="1"/>
    <x v="0"/>
    <n v="14"/>
    <n v="3"/>
    <n v="2"/>
    <n v="1"/>
    <n v="21"/>
    <n v="2"/>
    <s v="Better"/>
    <n v="20"/>
    <x v="2"/>
    <n v="8"/>
    <n v="9"/>
    <n v="9"/>
  </r>
  <r>
    <n v="40"/>
    <s v="Middle Aged"/>
    <n v="0"/>
    <s v="Travel_Rarely"/>
    <n v="905"/>
    <x v="0"/>
    <n v="19"/>
    <s v="Long Commute"/>
    <s v="College"/>
    <s v="Medical"/>
    <n v="3"/>
    <s v="Male"/>
    <n v="99"/>
    <n v="3"/>
    <n v="2"/>
    <s v="Laboratory Technician"/>
    <s v="Very High"/>
    <s v="Married"/>
    <n v="2741"/>
    <s v="Low (&lt;5k)"/>
    <n v="16523"/>
    <n v="8"/>
    <x v="1"/>
    <n v="15"/>
    <n v="3"/>
    <n v="3"/>
    <n v="1"/>
    <n v="15"/>
    <n v="2"/>
    <s v="Best"/>
    <n v="7"/>
    <x v="1"/>
    <n v="2"/>
    <n v="3"/>
    <n v="7"/>
  </r>
  <r>
    <n v="40"/>
    <s v="Middle Aged"/>
    <n v="0"/>
    <s v="Non-Travel"/>
    <n v="1151"/>
    <x v="0"/>
    <n v="9"/>
    <s v="Moderate"/>
    <s v="Doctor"/>
    <s v="Life Sciences"/>
    <n v="4"/>
    <s v="Male"/>
    <n v="63"/>
    <n v="2"/>
    <n v="2"/>
    <s v="Healthcare Representative"/>
    <s v="Very High"/>
    <s v="Married"/>
    <n v="4876"/>
    <s v="Low (&lt;5k)"/>
    <n v="14242"/>
    <n v="9"/>
    <x v="0"/>
    <n v="14"/>
    <n v="3"/>
    <n v="4"/>
    <n v="1"/>
    <n v="5"/>
    <n v="5"/>
    <s v="Bad"/>
    <n v="3"/>
    <x v="1"/>
    <n v="2"/>
    <n v="0"/>
    <n v="2"/>
  </r>
  <r>
    <n v="40"/>
    <s v="Middle Aged"/>
    <n v="0"/>
    <s v="Travel_Rarely"/>
    <n v="1300"/>
    <x v="0"/>
    <n v="24"/>
    <s v="Long Commute"/>
    <s v="College"/>
    <s v="Technical Degree"/>
    <n v="1"/>
    <s v="Male"/>
    <n v="62"/>
    <n v="3"/>
    <n v="2"/>
    <s v="Research Scientist"/>
    <s v="Very High"/>
    <s v="Divorced"/>
    <n v="3319"/>
    <s v="Low (&lt;5k)"/>
    <n v="24447"/>
    <n v="1"/>
    <x v="0"/>
    <n v="17"/>
    <n v="3"/>
    <n v="1"/>
    <n v="2"/>
    <n v="9"/>
    <n v="3"/>
    <s v="Better"/>
    <n v="9"/>
    <x v="1"/>
    <n v="8"/>
    <n v="4"/>
    <n v="7"/>
  </r>
  <r>
    <n v="40"/>
    <s v="Middle Aged"/>
    <n v="0"/>
    <s v="Travel_Rarely"/>
    <n v="1416"/>
    <x v="0"/>
    <n v="2"/>
    <s v="Near Office"/>
    <s v="College"/>
    <s v="Medical"/>
    <n v="1"/>
    <s v="Male"/>
    <n v="49"/>
    <n v="3"/>
    <n v="5"/>
    <s v="Research Director"/>
    <s v="High"/>
    <s v="Divorced"/>
    <n v="19436"/>
    <s v="High (&gt;10k)"/>
    <n v="5949"/>
    <n v="0"/>
    <x v="0"/>
    <n v="19"/>
    <n v="3"/>
    <n v="4"/>
    <n v="1"/>
    <n v="22"/>
    <n v="5"/>
    <s v="Better"/>
    <n v="21"/>
    <x v="2"/>
    <n v="7"/>
    <n v="3"/>
    <n v="9"/>
  </r>
  <r>
    <n v="40"/>
    <s v="Middle Aged"/>
    <n v="0"/>
    <s v="Travel_Rarely"/>
    <n v="1124"/>
    <x v="1"/>
    <n v="1"/>
    <s v="Near Office"/>
    <s v="College"/>
    <s v="Medical"/>
    <n v="2"/>
    <s v="Male"/>
    <n v="57"/>
    <n v="1"/>
    <n v="2"/>
    <s v="Sales Executive"/>
    <s v="Very High"/>
    <s v="Married"/>
    <n v="7457"/>
    <s v="Medium (5k-10k)"/>
    <n v="13273"/>
    <n v="2"/>
    <x v="1"/>
    <n v="22"/>
    <n v="4"/>
    <n v="3"/>
    <n v="3"/>
    <n v="6"/>
    <n v="2"/>
    <s v="Good"/>
    <n v="4"/>
    <x v="1"/>
    <n v="3"/>
    <n v="0"/>
    <n v="2"/>
  </r>
  <r>
    <n v="40"/>
    <s v="Middle Aged"/>
    <n v="0"/>
    <s v="Travel_Rarely"/>
    <n v="1171"/>
    <x v="0"/>
    <n v="10"/>
    <s v="Moderate"/>
    <s v="Master"/>
    <s v="Life Sciences"/>
    <n v="4"/>
    <s v="Female"/>
    <n v="46"/>
    <n v="4"/>
    <n v="1"/>
    <s v="Laboratory Technician"/>
    <s v="High"/>
    <s v="Married"/>
    <n v="2213"/>
    <s v="Low (&lt;5k)"/>
    <n v="22495"/>
    <n v="3"/>
    <x v="1"/>
    <n v="13"/>
    <n v="3"/>
    <n v="3"/>
    <n v="1"/>
    <n v="10"/>
    <n v="3"/>
    <s v="Better"/>
    <n v="7"/>
    <x v="1"/>
    <n v="7"/>
    <n v="1"/>
    <n v="7"/>
  </r>
  <r>
    <n v="40"/>
    <s v="Middle Aged"/>
    <n v="1"/>
    <s v="Travel_Rarely"/>
    <n v="575"/>
    <x v="1"/>
    <n v="22"/>
    <s v="Long Commute"/>
    <s v="College"/>
    <s v="Marketing"/>
    <n v="3"/>
    <s v="Male"/>
    <n v="68"/>
    <n v="2"/>
    <n v="2"/>
    <s v="Sales Executive"/>
    <s v="High"/>
    <s v="Married"/>
    <n v="6380"/>
    <s v="Medium (5k-10k)"/>
    <n v="6110"/>
    <n v="2"/>
    <x v="1"/>
    <n v="12"/>
    <n v="3"/>
    <n v="1"/>
    <n v="2"/>
    <n v="8"/>
    <n v="6"/>
    <s v="Better"/>
    <n v="6"/>
    <x v="1"/>
    <n v="4"/>
    <n v="1"/>
    <n v="0"/>
  </r>
  <r>
    <n v="40"/>
    <s v="Middle Aged"/>
    <n v="0"/>
    <s v="Travel_Rarely"/>
    <n v="759"/>
    <x v="1"/>
    <n v="2"/>
    <s v="Near Office"/>
    <s v="College"/>
    <s v="Marketing"/>
    <n v="4"/>
    <s v="Female"/>
    <n v="46"/>
    <n v="3"/>
    <n v="2"/>
    <s v="Sales Executive"/>
    <s v="Medium"/>
    <s v="Divorced"/>
    <n v="5715"/>
    <s v="Medium (5k-10k)"/>
    <n v="22553"/>
    <n v="7"/>
    <x v="0"/>
    <n v="12"/>
    <n v="3"/>
    <n v="3"/>
    <n v="2"/>
    <n v="8"/>
    <n v="5"/>
    <s v="Better"/>
    <n v="5"/>
    <x v="1"/>
    <n v="4"/>
    <n v="1"/>
    <n v="3"/>
  </r>
  <r>
    <n v="40"/>
    <s v="Middle Aged"/>
    <n v="0"/>
    <s v="Travel_Rarely"/>
    <n v="555"/>
    <x v="0"/>
    <n v="2"/>
    <s v="Near Office"/>
    <s v="Bachelor"/>
    <s v="Medical"/>
    <n v="2"/>
    <s v="Female"/>
    <n v="78"/>
    <n v="2"/>
    <n v="2"/>
    <s v="Laboratory Technician"/>
    <s v="High"/>
    <s v="Married"/>
    <n v="3448"/>
    <s v="Low (&lt;5k)"/>
    <n v="13436"/>
    <n v="6"/>
    <x v="0"/>
    <n v="22"/>
    <n v="4"/>
    <n v="2"/>
    <n v="1"/>
    <n v="20"/>
    <n v="3"/>
    <s v="Better"/>
    <n v="1"/>
    <x v="0"/>
    <n v="0"/>
    <n v="0"/>
    <n v="0"/>
  </r>
  <r>
    <n v="40"/>
    <s v="Middle Aged"/>
    <n v="0"/>
    <s v="Travel_Rarely"/>
    <n v="1398"/>
    <x v="1"/>
    <n v="2"/>
    <s v="Near Office"/>
    <s v="Master"/>
    <s v="Life Sciences"/>
    <n v="3"/>
    <s v="Female"/>
    <n v="79"/>
    <n v="3"/>
    <n v="5"/>
    <s v="Manager"/>
    <s v="High"/>
    <s v="Married"/>
    <n v="18041"/>
    <s v="High (&gt;10k)"/>
    <n v="13022"/>
    <n v="0"/>
    <x v="0"/>
    <n v="14"/>
    <n v="3"/>
    <n v="4"/>
    <n v="0"/>
    <n v="21"/>
    <n v="2"/>
    <s v="Better"/>
    <n v="20"/>
    <x v="2"/>
    <n v="15"/>
    <n v="1"/>
    <n v="12"/>
  </r>
  <r>
    <n v="40"/>
    <s v="Middle Aged"/>
    <n v="0"/>
    <s v="Travel_Rarely"/>
    <n v="302"/>
    <x v="0"/>
    <n v="6"/>
    <s v="Moderate"/>
    <s v="Bachelor"/>
    <s v="Life Sciences"/>
    <n v="2"/>
    <s v="Female"/>
    <n v="75"/>
    <n v="3"/>
    <n v="4"/>
    <s v="Manufacturing Director"/>
    <s v="High"/>
    <s v="Single"/>
    <n v="13237"/>
    <s v="High (&gt;10k)"/>
    <n v="20364"/>
    <n v="7"/>
    <x v="0"/>
    <n v="15"/>
    <n v="3"/>
    <n v="3"/>
    <n v="0"/>
    <n v="22"/>
    <n v="3"/>
    <s v="Better"/>
    <n v="20"/>
    <x v="2"/>
    <n v="6"/>
    <n v="5"/>
    <n v="13"/>
  </r>
  <r>
    <n v="40"/>
    <s v="Middle Aged"/>
    <n v="0"/>
    <s v="Non-Travel"/>
    <n v="1094"/>
    <x v="1"/>
    <n v="28"/>
    <s v="Long Commute"/>
    <s v="Bachelor"/>
    <s v="Other"/>
    <n v="3"/>
    <s v="Male"/>
    <n v="58"/>
    <n v="1"/>
    <n v="3"/>
    <s v="Sales Executive"/>
    <s v="Low"/>
    <s v="Divorced"/>
    <n v="10932"/>
    <s v="High (&gt;10k)"/>
    <n v="11373"/>
    <n v="3"/>
    <x v="0"/>
    <n v="15"/>
    <n v="3"/>
    <n v="3"/>
    <n v="1"/>
    <n v="20"/>
    <n v="2"/>
    <s v="Better"/>
    <n v="1"/>
    <x v="0"/>
    <n v="0"/>
    <n v="0"/>
    <n v="1"/>
  </r>
  <r>
    <n v="40"/>
    <s v="Middle Aged"/>
    <n v="0"/>
    <s v="Travel_Frequently"/>
    <n v="580"/>
    <x v="1"/>
    <n v="5"/>
    <s v="Near Office"/>
    <s v="Master"/>
    <s v="Life Sciences"/>
    <n v="4"/>
    <s v="Male"/>
    <n v="48"/>
    <n v="2"/>
    <n v="3"/>
    <s v="Sales Executive"/>
    <s v="Low"/>
    <s v="Married"/>
    <n v="10475"/>
    <s v="High (&gt;10k)"/>
    <n v="23772"/>
    <n v="5"/>
    <x v="1"/>
    <n v="21"/>
    <n v="4"/>
    <n v="3"/>
    <n v="1"/>
    <n v="20"/>
    <n v="2"/>
    <s v="Better"/>
    <n v="18"/>
    <x v="2"/>
    <n v="13"/>
    <n v="1"/>
    <n v="12"/>
  </r>
  <r>
    <n v="40"/>
    <s v="Middle Aged"/>
    <n v="0"/>
    <s v="Travel_Rarely"/>
    <n v="804"/>
    <x v="0"/>
    <n v="2"/>
    <s v="Near Office"/>
    <s v="Below College"/>
    <s v="Medical"/>
    <n v="4"/>
    <s v="Female"/>
    <n v="86"/>
    <n v="2"/>
    <n v="1"/>
    <s v="Research Scientist"/>
    <s v="Very High"/>
    <s v="Single"/>
    <n v="2342"/>
    <s v="Low (&lt;5k)"/>
    <n v="22929"/>
    <n v="0"/>
    <x v="1"/>
    <n v="20"/>
    <n v="4"/>
    <n v="4"/>
    <n v="0"/>
    <n v="5"/>
    <n v="2"/>
    <s v="Good"/>
    <n v="4"/>
    <x v="1"/>
    <n v="2"/>
    <n v="2"/>
    <n v="3"/>
  </r>
  <r>
    <n v="40"/>
    <s v="Middle Aged"/>
    <n v="0"/>
    <s v="Travel_Frequently"/>
    <n v="791"/>
    <x v="0"/>
    <n v="2"/>
    <s v="Near Office"/>
    <s v="College"/>
    <s v="Medical"/>
    <n v="3"/>
    <s v="Female"/>
    <n v="38"/>
    <n v="4"/>
    <n v="2"/>
    <s v="Healthcare Representative"/>
    <s v="Medium"/>
    <s v="Married"/>
    <n v="4244"/>
    <s v="Low (&lt;5k)"/>
    <n v="9931"/>
    <n v="1"/>
    <x v="0"/>
    <n v="24"/>
    <n v="4"/>
    <n v="4"/>
    <n v="1"/>
    <n v="8"/>
    <n v="2"/>
    <s v="Better"/>
    <n v="8"/>
    <x v="1"/>
    <n v="7"/>
    <n v="3"/>
    <n v="7"/>
  </r>
  <r>
    <n v="40"/>
    <s v="Middle Aged"/>
    <n v="0"/>
    <s v="Travel_Frequently"/>
    <n v="720"/>
    <x v="0"/>
    <n v="16"/>
    <s v="Long Commute"/>
    <s v="Master"/>
    <s v="Medical"/>
    <n v="1"/>
    <s v="Male"/>
    <n v="51"/>
    <n v="2"/>
    <n v="2"/>
    <s v="Laboratory Technician"/>
    <s v="High"/>
    <s v="Single"/>
    <n v="5094"/>
    <s v="Medium (5k-10k)"/>
    <n v="11983"/>
    <n v="6"/>
    <x v="0"/>
    <n v="14"/>
    <n v="3"/>
    <n v="4"/>
    <n v="0"/>
    <n v="10"/>
    <n v="6"/>
    <s v="Better"/>
    <n v="1"/>
    <x v="0"/>
    <n v="0"/>
    <n v="0"/>
    <n v="0"/>
  </r>
  <r>
    <n v="40"/>
    <s v="Middle Aged"/>
    <n v="0"/>
    <s v="Travel_Rarely"/>
    <n v="658"/>
    <x v="1"/>
    <n v="10"/>
    <s v="Moderate"/>
    <s v="Master"/>
    <s v="Marketing"/>
    <n v="1"/>
    <s v="Male"/>
    <n v="67"/>
    <n v="2"/>
    <n v="3"/>
    <s v="Sales Executive"/>
    <s v="Medium"/>
    <s v="Divorced"/>
    <n v="9705"/>
    <s v="Medium (5k-10k)"/>
    <n v="20652"/>
    <n v="2"/>
    <x v="0"/>
    <n v="12"/>
    <n v="3"/>
    <n v="2"/>
    <n v="1"/>
    <n v="11"/>
    <n v="2"/>
    <s v="Good"/>
    <n v="1"/>
    <x v="0"/>
    <n v="0"/>
    <n v="0"/>
    <n v="0"/>
  </r>
  <r>
    <n v="40"/>
    <s v="Middle Aged"/>
    <n v="0"/>
    <s v="Travel_Frequently"/>
    <n v="1469"/>
    <x v="0"/>
    <n v="9"/>
    <s v="Moderate"/>
    <s v="Master"/>
    <s v="Medical"/>
    <n v="4"/>
    <s v="Male"/>
    <n v="35"/>
    <n v="3"/>
    <n v="1"/>
    <s v="Research Scientist"/>
    <s v="Medium"/>
    <s v="Divorced"/>
    <n v="3617"/>
    <s v="Low (&lt;5k)"/>
    <n v="25063"/>
    <n v="8"/>
    <x v="1"/>
    <n v="14"/>
    <n v="3"/>
    <n v="4"/>
    <n v="1"/>
    <n v="3"/>
    <n v="2"/>
    <s v="Better"/>
    <n v="1"/>
    <x v="0"/>
    <n v="1"/>
    <n v="0"/>
    <n v="0"/>
  </r>
  <r>
    <n v="40"/>
    <s v="Middle Aged"/>
    <n v="1"/>
    <s v="Non-Travel"/>
    <n v="1479"/>
    <x v="1"/>
    <n v="24"/>
    <s v="Long Commute"/>
    <s v="Bachelor"/>
    <s v="Life Sciences"/>
    <n v="2"/>
    <s v="Female"/>
    <n v="100"/>
    <n v="4"/>
    <n v="4"/>
    <s v="Sales Executive"/>
    <s v="Medium"/>
    <s v="Single"/>
    <n v="13194"/>
    <s v="High (&gt;10k)"/>
    <n v="17071"/>
    <n v="4"/>
    <x v="1"/>
    <n v="16"/>
    <n v="3"/>
    <n v="4"/>
    <n v="0"/>
    <n v="22"/>
    <n v="2"/>
    <s v="Good"/>
    <n v="1"/>
    <x v="0"/>
    <n v="0"/>
    <n v="0"/>
    <n v="0"/>
  </r>
  <r>
    <n v="40"/>
    <s v="Middle Aged"/>
    <n v="0"/>
    <s v="Travel_Rarely"/>
    <n v="300"/>
    <x v="1"/>
    <n v="26"/>
    <s v="Long Commute"/>
    <s v="Bachelor"/>
    <s v="Marketing"/>
    <n v="3"/>
    <s v="Male"/>
    <n v="74"/>
    <n v="3"/>
    <n v="2"/>
    <s v="Sales Executive"/>
    <s v="Low"/>
    <s v="Married"/>
    <n v="8396"/>
    <s v="Medium (5k-10k)"/>
    <n v="22217"/>
    <n v="1"/>
    <x v="0"/>
    <n v="14"/>
    <n v="3"/>
    <n v="2"/>
    <n v="1"/>
    <n v="8"/>
    <n v="3"/>
    <s v="Good"/>
    <n v="7"/>
    <x v="1"/>
    <n v="7"/>
    <n v="7"/>
    <n v="5"/>
  </r>
  <r>
    <n v="40"/>
    <s v="Middle Aged"/>
    <n v="0"/>
    <s v="Travel_Rarely"/>
    <n v="1492"/>
    <x v="0"/>
    <n v="20"/>
    <s v="Long Commute"/>
    <s v="Master"/>
    <s v="Technical Degree"/>
    <n v="1"/>
    <s v="Male"/>
    <n v="61"/>
    <n v="3"/>
    <n v="3"/>
    <s v="Healthcare Representative"/>
    <s v="Very High"/>
    <s v="Married"/>
    <n v="10322"/>
    <s v="High (&gt;10k)"/>
    <n v="26542"/>
    <n v="4"/>
    <x v="0"/>
    <n v="20"/>
    <n v="4"/>
    <n v="4"/>
    <n v="1"/>
    <n v="14"/>
    <n v="6"/>
    <s v="Better"/>
    <n v="11"/>
    <x v="2"/>
    <n v="10"/>
    <n v="11"/>
    <n v="1"/>
  </r>
  <r>
    <n v="40"/>
    <s v="Middle Aged"/>
    <n v="0"/>
    <s v="Travel_Rarely"/>
    <n v="1308"/>
    <x v="0"/>
    <n v="14"/>
    <s v="Moderate"/>
    <s v="Bachelor"/>
    <s v="Medical"/>
    <n v="3"/>
    <s v="Male"/>
    <n v="44"/>
    <n v="2"/>
    <n v="5"/>
    <s v="Research Director"/>
    <s v="High"/>
    <s v="Single"/>
    <n v="19626"/>
    <s v="High (&gt;10k)"/>
    <n v="17544"/>
    <n v="1"/>
    <x v="0"/>
    <n v="14"/>
    <n v="3"/>
    <n v="1"/>
    <n v="0"/>
    <n v="21"/>
    <n v="2"/>
    <s v="Best"/>
    <n v="20"/>
    <x v="2"/>
    <n v="7"/>
    <n v="4"/>
    <n v="9"/>
  </r>
  <r>
    <n v="40"/>
    <s v="Middle Aged"/>
    <n v="0"/>
    <s v="Travel_Frequently"/>
    <n v="593"/>
    <x v="0"/>
    <n v="9"/>
    <s v="Moderate"/>
    <s v="Master"/>
    <s v="Medical"/>
    <n v="2"/>
    <s v="Female"/>
    <n v="88"/>
    <n v="3"/>
    <n v="3"/>
    <s v="Research Director"/>
    <s v="High"/>
    <s v="Single"/>
    <n v="13499"/>
    <s v="High (&gt;10k)"/>
    <n v="13782"/>
    <n v="9"/>
    <x v="0"/>
    <n v="17"/>
    <n v="3"/>
    <n v="3"/>
    <n v="0"/>
    <n v="20"/>
    <n v="3"/>
    <s v="Good"/>
    <n v="18"/>
    <x v="2"/>
    <n v="7"/>
    <n v="2"/>
    <n v="13"/>
  </r>
  <r>
    <n v="40"/>
    <s v="Middle Aged"/>
    <n v="0"/>
    <s v="Travel_Frequently"/>
    <n v="902"/>
    <x v="0"/>
    <n v="26"/>
    <s v="Long Commute"/>
    <s v="College"/>
    <s v="Medical"/>
    <n v="3"/>
    <s v="Female"/>
    <n v="92"/>
    <n v="2"/>
    <n v="2"/>
    <s v="Research Scientist"/>
    <s v="Very High"/>
    <s v="Married"/>
    <n v="4422"/>
    <s v="Low (&lt;5k)"/>
    <n v="21203"/>
    <n v="3"/>
    <x v="1"/>
    <n v="13"/>
    <n v="3"/>
    <n v="4"/>
    <n v="1"/>
    <n v="16"/>
    <n v="3"/>
    <s v="Bad"/>
    <n v="1"/>
    <x v="0"/>
    <n v="1"/>
    <n v="0"/>
    <n v="0"/>
  </r>
  <r>
    <n v="40"/>
    <s v="Middle Aged"/>
    <n v="0"/>
    <s v="Travel_Frequently"/>
    <n v="1184"/>
    <x v="1"/>
    <n v="2"/>
    <s v="Near Office"/>
    <s v="Master"/>
    <s v="Medical"/>
    <n v="2"/>
    <s v="Male"/>
    <n v="62"/>
    <n v="3"/>
    <n v="2"/>
    <s v="Sales Executive"/>
    <s v="Medium"/>
    <s v="Married"/>
    <n v="4327"/>
    <s v="Low (&lt;5k)"/>
    <n v="25440"/>
    <n v="5"/>
    <x v="0"/>
    <n v="12"/>
    <n v="3"/>
    <n v="4"/>
    <n v="3"/>
    <n v="5"/>
    <n v="2"/>
    <s v="Better"/>
    <n v="0"/>
    <x v="0"/>
    <n v="0"/>
    <n v="0"/>
    <n v="0"/>
  </r>
  <r>
    <n v="40"/>
    <s v="Middle Aged"/>
    <n v="0"/>
    <s v="Travel_Rarely"/>
    <n v="107"/>
    <x v="1"/>
    <n v="10"/>
    <s v="Moderate"/>
    <s v="Bachelor"/>
    <s v="Technical Degree"/>
    <n v="2"/>
    <s v="Female"/>
    <n v="84"/>
    <n v="2"/>
    <n v="2"/>
    <s v="Sales Executive"/>
    <s v="Medium"/>
    <s v="Divorced"/>
    <n v="6852"/>
    <s v="Medium (5k-10k)"/>
    <n v="11591"/>
    <n v="7"/>
    <x v="0"/>
    <n v="12"/>
    <n v="3"/>
    <n v="2"/>
    <n v="1"/>
    <n v="7"/>
    <n v="2"/>
    <s v="Best"/>
    <n v="5"/>
    <x v="1"/>
    <n v="1"/>
    <n v="1"/>
    <n v="3"/>
  </r>
  <r>
    <n v="40"/>
    <s v="Middle Aged"/>
    <n v="1"/>
    <s v="Travel_Rarely"/>
    <n v="299"/>
    <x v="1"/>
    <n v="25"/>
    <s v="Long Commute"/>
    <s v="Master"/>
    <s v="Marketing"/>
    <n v="4"/>
    <s v="Male"/>
    <n v="57"/>
    <n v="2"/>
    <n v="3"/>
    <s v="Sales Executive"/>
    <s v="Medium"/>
    <s v="Single"/>
    <n v="9094"/>
    <s v="Medium (5k-10k)"/>
    <n v="17235"/>
    <n v="2"/>
    <x v="1"/>
    <n v="12"/>
    <n v="3"/>
    <n v="3"/>
    <n v="0"/>
    <n v="9"/>
    <n v="2"/>
    <s v="Better"/>
    <n v="5"/>
    <x v="1"/>
    <n v="4"/>
    <n v="1"/>
    <n v="0"/>
  </r>
  <r>
    <n v="40"/>
    <s v="Middle Aged"/>
    <n v="0"/>
    <s v="Non-Travel"/>
    <n v="458"/>
    <x v="0"/>
    <n v="16"/>
    <s v="Long Commute"/>
    <s v="College"/>
    <s v="Life Sciences"/>
    <n v="3"/>
    <s v="Male"/>
    <n v="74"/>
    <n v="3"/>
    <n v="1"/>
    <s v="Research Scientist"/>
    <s v="High"/>
    <s v="Divorced"/>
    <n v="3544"/>
    <s v="Low (&lt;5k)"/>
    <n v="8532"/>
    <n v="9"/>
    <x v="0"/>
    <n v="16"/>
    <n v="3"/>
    <n v="2"/>
    <n v="1"/>
    <n v="6"/>
    <n v="0"/>
    <s v="Better"/>
    <n v="4"/>
    <x v="1"/>
    <n v="2"/>
    <n v="0"/>
    <n v="0"/>
  </r>
  <r>
    <n v="40"/>
    <s v="Middle Aged"/>
    <n v="0"/>
    <s v="Travel_Rarely"/>
    <n v="523"/>
    <x v="0"/>
    <n v="2"/>
    <s v="Near Office"/>
    <s v="Bachelor"/>
    <s v="Life Sciences"/>
    <n v="3"/>
    <s v="Male"/>
    <n v="98"/>
    <n v="3"/>
    <n v="2"/>
    <s v="Research Scientist"/>
    <s v="Very High"/>
    <s v="Single"/>
    <n v="4661"/>
    <s v="Low (&lt;5k)"/>
    <n v="22455"/>
    <n v="1"/>
    <x v="0"/>
    <n v="13"/>
    <n v="3"/>
    <n v="3"/>
    <n v="0"/>
    <n v="9"/>
    <n v="4"/>
    <s v="Better"/>
    <n v="9"/>
    <x v="1"/>
    <n v="8"/>
    <n v="8"/>
    <n v="8"/>
  </r>
  <r>
    <n v="40"/>
    <s v="Middle Aged"/>
    <n v="0"/>
    <s v="Travel_Rarely"/>
    <n v="329"/>
    <x v="0"/>
    <n v="1"/>
    <s v="Near Office"/>
    <s v="Master"/>
    <s v="Life Sciences"/>
    <n v="2"/>
    <s v="Male"/>
    <n v="88"/>
    <n v="3"/>
    <n v="1"/>
    <s v="Laboratory Technician"/>
    <s v="Medium"/>
    <s v="Married"/>
    <n v="2387"/>
    <s v="Low (&lt;5k)"/>
    <n v="6762"/>
    <n v="3"/>
    <x v="0"/>
    <n v="22"/>
    <n v="4"/>
    <n v="3"/>
    <n v="1"/>
    <n v="7"/>
    <n v="3"/>
    <s v="Better"/>
    <n v="4"/>
    <x v="1"/>
    <n v="2"/>
    <n v="0"/>
    <n v="3"/>
  </r>
  <r>
    <n v="40"/>
    <s v="Middle Aged"/>
    <n v="0"/>
    <s v="Travel_Rarely"/>
    <n v="1202"/>
    <x v="0"/>
    <n v="2"/>
    <s v="Near Office"/>
    <s v="Below College"/>
    <s v="Medical"/>
    <n v="2"/>
    <s v="Female"/>
    <n v="89"/>
    <n v="4"/>
    <n v="2"/>
    <s v="Healthcare Representative"/>
    <s v="High"/>
    <s v="Divorced"/>
    <n v="6377"/>
    <s v="Medium (5k-10k)"/>
    <n v="13888"/>
    <n v="5"/>
    <x v="0"/>
    <n v="20"/>
    <n v="4"/>
    <n v="2"/>
    <n v="3"/>
    <n v="15"/>
    <n v="0"/>
    <s v="Better"/>
    <n v="12"/>
    <x v="2"/>
    <n v="11"/>
    <n v="11"/>
    <n v="8"/>
  </r>
  <r>
    <n v="40"/>
    <s v="Middle Aged"/>
    <n v="0"/>
    <s v="Non-Travel"/>
    <n v="663"/>
    <x v="0"/>
    <n v="9"/>
    <s v="Moderate"/>
    <s v="Master"/>
    <s v="Other"/>
    <n v="3"/>
    <s v="Male"/>
    <n v="81"/>
    <n v="3"/>
    <n v="2"/>
    <s v="Laboratory Technician"/>
    <s v="High"/>
    <s v="Divorced"/>
    <n v="3975"/>
    <s v="Low (&lt;5k)"/>
    <n v="23099"/>
    <n v="3"/>
    <x v="0"/>
    <n v="11"/>
    <n v="3"/>
    <n v="3"/>
    <n v="2"/>
    <n v="11"/>
    <n v="2"/>
    <s v="Best"/>
    <n v="8"/>
    <x v="1"/>
    <n v="7"/>
    <n v="0"/>
    <n v="7"/>
  </r>
  <r>
    <n v="40"/>
    <s v="Middle Aged"/>
    <n v="0"/>
    <s v="Non-Travel"/>
    <n v="218"/>
    <x v="0"/>
    <n v="8"/>
    <s v="Moderate"/>
    <s v="Below College"/>
    <s v="Medical"/>
    <n v="4"/>
    <s v="Male"/>
    <n v="55"/>
    <n v="2"/>
    <n v="3"/>
    <s v="Research Director"/>
    <s v="Medium"/>
    <s v="Divorced"/>
    <n v="13757"/>
    <s v="High (&gt;10k)"/>
    <n v="25178"/>
    <n v="2"/>
    <x v="0"/>
    <n v="11"/>
    <n v="3"/>
    <n v="3"/>
    <n v="1"/>
    <n v="16"/>
    <n v="5"/>
    <s v="Better"/>
    <n v="9"/>
    <x v="1"/>
    <n v="8"/>
    <n v="4"/>
    <n v="8"/>
  </r>
  <r>
    <n v="40"/>
    <s v="Middle Aged"/>
    <n v="0"/>
    <s v="Travel_Rarely"/>
    <n v="896"/>
    <x v="0"/>
    <n v="2"/>
    <s v="Near Office"/>
    <s v="Bachelor"/>
    <s v="Medical"/>
    <n v="3"/>
    <s v="Male"/>
    <n v="68"/>
    <n v="3"/>
    <n v="1"/>
    <s v="Research Scientist"/>
    <s v="High"/>
    <s v="Divorced"/>
    <n v="2345"/>
    <s v="Low (&lt;5k)"/>
    <n v="8045"/>
    <n v="2"/>
    <x v="0"/>
    <n v="14"/>
    <n v="3"/>
    <n v="3"/>
    <n v="1"/>
    <n v="8"/>
    <n v="3"/>
    <s v="Best"/>
    <n v="3"/>
    <x v="1"/>
    <n v="1"/>
    <n v="1"/>
    <n v="2"/>
  </r>
  <r>
    <n v="40"/>
    <s v="Middle Aged"/>
    <n v="1"/>
    <s v="Travel_Rarely"/>
    <n v="676"/>
    <x v="0"/>
    <n v="9"/>
    <s v="Moderate"/>
    <s v="Master"/>
    <s v="Life Sciences"/>
    <n v="4"/>
    <s v="Male"/>
    <n v="86"/>
    <n v="3"/>
    <n v="1"/>
    <s v="Laboratory Technician"/>
    <s v="Low"/>
    <s v="Single"/>
    <n v="2018"/>
    <s v="Low (&lt;5k)"/>
    <n v="21831"/>
    <n v="3"/>
    <x v="0"/>
    <n v="14"/>
    <n v="3"/>
    <n v="2"/>
    <n v="0"/>
    <n v="15"/>
    <n v="3"/>
    <s v="Bad"/>
    <n v="5"/>
    <x v="1"/>
    <n v="4"/>
    <n v="1"/>
    <n v="0"/>
  </r>
  <r>
    <n v="40"/>
    <s v="Middle Aged"/>
    <n v="0"/>
    <s v="Travel_Rarely"/>
    <n v="1342"/>
    <x v="1"/>
    <n v="9"/>
    <s v="Moderate"/>
    <s v="College"/>
    <s v="Medical"/>
    <n v="1"/>
    <s v="Male"/>
    <n v="47"/>
    <n v="3"/>
    <n v="2"/>
    <s v="Sales Executive"/>
    <s v="Low"/>
    <s v="Married"/>
    <n v="5473"/>
    <s v="Medium (5k-10k)"/>
    <n v="19345"/>
    <n v="0"/>
    <x v="0"/>
    <n v="12"/>
    <n v="3"/>
    <n v="4"/>
    <n v="0"/>
    <n v="9"/>
    <n v="5"/>
    <s v="Best"/>
    <n v="8"/>
    <x v="1"/>
    <n v="4"/>
    <n v="7"/>
    <n v="1"/>
  </r>
  <r>
    <n v="40"/>
    <s v="Middle Aged"/>
    <n v="0"/>
    <s v="Travel_Rarely"/>
    <n v="898"/>
    <x v="2"/>
    <n v="6"/>
    <s v="Moderate"/>
    <s v="College"/>
    <s v="Medical"/>
    <n v="3"/>
    <s v="Male"/>
    <n v="38"/>
    <n v="3"/>
    <n v="4"/>
    <s v="Manager"/>
    <s v="Very High"/>
    <s v="Single"/>
    <n v="16437"/>
    <s v="High (&gt;10k)"/>
    <n v="17381"/>
    <n v="1"/>
    <x v="1"/>
    <n v="21"/>
    <n v="4"/>
    <n v="4"/>
    <n v="0"/>
    <n v="21"/>
    <n v="2"/>
    <s v="Better"/>
    <n v="21"/>
    <x v="2"/>
    <n v="7"/>
    <n v="7"/>
    <n v="7"/>
  </r>
  <r>
    <n v="40"/>
    <s v="Middle Aged"/>
    <n v="0"/>
    <s v="Non-Travel"/>
    <n v="1142"/>
    <x v="0"/>
    <n v="8"/>
    <s v="Moderate"/>
    <s v="College"/>
    <s v="Life Sciences"/>
    <n v="4"/>
    <s v="Male"/>
    <n v="72"/>
    <n v="3"/>
    <n v="2"/>
    <s v="Healthcare Representative"/>
    <s v="Very High"/>
    <s v="Divorced"/>
    <n v="4069"/>
    <s v="Low (&lt;5k)"/>
    <n v="8841"/>
    <n v="3"/>
    <x v="1"/>
    <n v="18"/>
    <n v="3"/>
    <n v="3"/>
    <n v="0"/>
    <n v="8"/>
    <n v="2"/>
    <s v="Better"/>
    <n v="2"/>
    <x v="0"/>
    <n v="2"/>
    <n v="2"/>
    <n v="2"/>
  </r>
  <r>
    <n v="40"/>
    <s v="Middle Aged"/>
    <n v="0"/>
    <s v="Travel_Rarely"/>
    <n v="118"/>
    <x v="1"/>
    <n v="14"/>
    <s v="Moderate"/>
    <s v="College"/>
    <s v="Life Sciences"/>
    <n v="4"/>
    <s v="Female"/>
    <n v="84"/>
    <n v="3"/>
    <n v="2"/>
    <s v="Sales Executive"/>
    <s v="Low"/>
    <s v="Married"/>
    <n v="4639"/>
    <s v="Low (&lt;5k)"/>
    <n v="11262"/>
    <n v="1"/>
    <x v="0"/>
    <n v="15"/>
    <n v="3"/>
    <n v="3"/>
    <n v="1"/>
    <n v="5"/>
    <n v="2"/>
    <s v="Better"/>
    <n v="5"/>
    <x v="1"/>
    <n v="4"/>
    <n v="1"/>
    <n v="2"/>
  </r>
  <r>
    <n v="40"/>
    <s v="Middle Aged"/>
    <n v="0"/>
    <s v="Travel_Rarely"/>
    <n v="884"/>
    <x v="0"/>
    <n v="15"/>
    <s v="Moderate"/>
    <s v="Bachelor"/>
    <s v="Life Sciences"/>
    <n v="1"/>
    <s v="Female"/>
    <n v="80"/>
    <n v="2"/>
    <n v="3"/>
    <s v="Manufacturing Director"/>
    <s v="High"/>
    <s v="Married"/>
    <n v="10435"/>
    <s v="High (&gt;10k)"/>
    <n v="25800"/>
    <n v="1"/>
    <x v="0"/>
    <n v="13"/>
    <n v="3"/>
    <n v="4"/>
    <n v="2"/>
    <n v="18"/>
    <n v="2"/>
    <s v="Better"/>
    <n v="18"/>
    <x v="2"/>
    <n v="15"/>
    <n v="14"/>
    <n v="12"/>
  </r>
  <r>
    <n v="40"/>
    <s v="Middle Aged"/>
    <n v="0"/>
    <s v="Travel_Rarely"/>
    <n v="448"/>
    <x v="0"/>
    <n v="16"/>
    <s v="Long Commute"/>
    <s v="Bachelor"/>
    <s v="Life Sciences"/>
    <n v="3"/>
    <s v="Female"/>
    <n v="84"/>
    <n v="3"/>
    <n v="3"/>
    <s v="Manufacturing Director"/>
    <s v="Very High"/>
    <s v="Single"/>
    <n v="7945"/>
    <s v="Medium (5k-10k)"/>
    <n v="19948"/>
    <n v="6"/>
    <x v="1"/>
    <n v="15"/>
    <n v="3"/>
    <n v="4"/>
    <n v="0"/>
    <n v="18"/>
    <n v="2"/>
    <s v="Good"/>
    <n v="4"/>
    <x v="1"/>
    <n v="2"/>
    <n v="3"/>
    <n v="3"/>
  </r>
  <r>
    <n v="40"/>
    <s v="Middle Aged"/>
    <n v="1"/>
    <s v="Travel_Rarely"/>
    <n v="1329"/>
    <x v="0"/>
    <n v="7"/>
    <s v="Moderate"/>
    <s v="Bachelor"/>
    <s v="Life Sciences"/>
    <n v="1"/>
    <s v="Male"/>
    <n v="73"/>
    <n v="3"/>
    <n v="1"/>
    <s v="Laboratory Technician"/>
    <s v="Low"/>
    <s v="Single"/>
    <n v="2166"/>
    <s v="Low (&lt;5k)"/>
    <n v="3339"/>
    <n v="3"/>
    <x v="1"/>
    <n v="14"/>
    <n v="3"/>
    <n v="2"/>
    <n v="0"/>
    <n v="10"/>
    <n v="3"/>
    <s v="Bad"/>
    <n v="4"/>
    <x v="1"/>
    <n v="2"/>
    <n v="0"/>
    <n v="3"/>
  </r>
  <r>
    <n v="40"/>
    <s v="Middle Aged"/>
    <n v="0"/>
    <s v="Travel_Rarely"/>
    <n v="369"/>
    <x v="0"/>
    <n v="8"/>
    <s v="Moderate"/>
    <s v="College"/>
    <s v="Life Sciences"/>
    <n v="2"/>
    <s v="Female"/>
    <n v="92"/>
    <n v="3"/>
    <n v="2"/>
    <s v="Manufacturing Director"/>
    <s v="Low"/>
    <s v="Married"/>
    <n v="6516"/>
    <s v="Medium (5k-10k)"/>
    <n v="5041"/>
    <n v="2"/>
    <x v="1"/>
    <n v="16"/>
    <n v="3"/>
    <n v="2"/>
    <n v="1"/>
    <n v="18"/>
    <n v="3"/>
    <s v="Better"/>
    <n v="1"/>
    <x v="0"/>
    <n v="0"/>
    <n v="0"/>
    <n v="0"/>
  </r>
  <r>
    <n v="40"/>
    <s v="Middle Aged"/>
    <n v="0"/>
    <s v="Travel_Rarely"/>
    <n v="611"/>
    <x v="1"/>
    <n v="7"/>
    <s v="Moderate"/>
    <s v="Master"/>
    <s v="Medical"/>
    <n v="2"/>
    <s v="Male"/>
    <n v="88"/>
    <n v="3"/>
    <n v="5"/>
    <s v="Manager"/>
    <s v="Medium"/>
    <s v="Single"/>
    <n v="19833"/>
    <s v="High (&gt;10k)"/>
    <n v="4349"/>
    <n v="1"/>
    <x v="0"/>
    <n v="14"/>
    <n v="3"/>
    <n v="2"/>
    <n v="0"/>
    <n v="21"/>
    <n v="3"/>
    <s v="Good"/>
    <n v="21"/>
    <x v="2"/>
    <n v="8"/>
    <n v="12"/>
    <n v="8"/>
  </r>
  <r>
    <n v="40"/>
    <s v="Middle Aged"/>
    <n v="0"/>
    <s v="Travel_Rarely"/>
    <n v="616"/>
    <x v="0"/>
    <n v="2"/>
    <s v="Near Office"/>
    <s v="College"/>
    <s v="Life Sciences"/>
    <n v="3"/>
    <s v="Female"/>
    <n v="99"/>
    <n v="3"/>
    <n v="1"/>
    <s v="Laboratory Technician"/>
    <s v="Low"/>
    <s v="Married"/>
    <n v="3377"/>
    <s v="Low (&lt;5k)"/>
    <n v="25605"/>
    <n v="4"/>
    <x v="0"/>
    <n v="17"/>
    <n v="3"/>
    <n v="4"/>
    <n v="1"/>
    <n v="7"/>
    <n v="5"/>
    <s v="Good"/>
    <n v="4"/>
    <x v="1"/>
    <n v="3"/>
    <n v="0"/>
    <n v="2"/>
  </r>
  <r>
    <n v="40"/>
    <s v="Middle Aged"/>
    <n v="0"/>
    <s v="Travel_Rarely"/>
    <n v="1194"/>
    <x v="0"/>
    <n v="1"/>
    <s v="Near Office"/>
    <s v="Bachelor"/>
    <s v="Life Sciences"/>
    <n v="3"/>
    <s v="Female"/>
    <n v="52"/>
    <n v="3"/>
    <n v="2"/>
    <s v="Healthcare Representative"/>
    <s v="Very High"/>
    <s v="Divorced"/>
    <n v="6513"/>
    <s v="Medium (5k-10k)"/>
    <n v="9060"/>
    <n v="4"/>
    <x v="0"/>
    <n v="17"/>
    <n v="3"/>
    <n v="4"/>
    <n v="1"/>
    <n v="12"/>
    <n v="3"/>
    <s v="Better"/>
    <n v="5"/>
    <x v="1"/>
    <n v="3"/>
    <n v="0"/>
    <n v="3"/>
  </r>
  <r>
    <n v="40"/>
    <s v="Middle Aged"/>
    <n v="0"/>
    <s v="Travel_Rarely"/>
    <n v="750"/>
    <x v="0"/>
    <n v="12"/>
    <s v="Moderate"/>
    <s v="Bachelor"/>
    <s v="Life Sciences"/>
    <n v="2"/>
    <s v="Female"/>
    <n v="47"/>
    <n v="3"/>
    <n v="2"/>
    <s v="Healthcare Representative"/>
    <s v="Low"/>
    <s v="Divorced"/>
    <n v="4448"/>
    <s v="Low (&lt;5k)"/>
    <n v="10748"/>
    <n v="2"/>
    <x v="0"/>
    <n v="12"/>
    <n v="3"/>
    <n v="2"/>
    <n v="1"/>
    <n v="15"/>
    <n v="3"/>
    <s v="Better"/>
    <n v="7"/>
    <x v="1"/>
    <n v="4"/>
    <n v="7"/>
    <n v="7"/>
  </r>
  <r>
    <n v="40"/>
    <s v="Middle Aged"/>
    <n v="0"/>
    <s v="Travel_Rarely"/>
    <n v="1137"/>
    <x v="0"/>
    <n v="1"/>
    <s v="Near Office"/>
    <s v="Master"/>
    <s v="Life Sciences"/>
    <n v="1"/>
    <s v="Male"/>
    <n v="98"/>
    <n v="3"/>
    <n v="4"/>
    <s v="Manager"/>
    <s v="Low"/>
    <s v="Divorced"/>
    <n v="16823"/>
    <s v="High (&gt;10k)"/>
    <n v="18991"/>
    <n v="2"/>
    <x v="0"/>
    <n v="11"/>
    <n v="3"/>
    <n v="1"/>
    <n v="1"/>
    <n v="22"/>
    <n v="3"/>
    <s v="Better"/>
    <n v="19"/>
    <x v="2"/>
    <n v="7"/>
    <n v="11"/>
    <n v="16"/>
  </r>
  <r>
    <n v="40"/>
    <s v="Middle Aged"/>
    <n v="0"/>
    <s v="Travel_Frequently"/>
    <n v="692"/>
    <x v="0"/>
    <n v="11"/>
    <s v="Moderate"/>
    <s v="Bachelor"/>
    <s v="Technical Degree"/>
    <n v="4"/>
    <s v="Female"/>
    <n v="73"/>
    <n v="3"/>
    <n v="2"/>
    <s v="Laboratory Technician"/>
    <s v="High"/>
    <s v="Married"/>
    <n v="6323"/>
    <s v="Medium (5k-10k)"/>
    <n v="26849"/>
    <n v="1"/>
    <x v="0"/>
    <n v="11"/>
    <n v="3"/>
    <n v="1"/>
    <n v="1"/>
    <n v="10"/>
    <n v="2"/>
    <s v="Best"/>
    <n v="10"/>
    <x v="2"/>
    <n v="9"/>
    <n v="9"/>
    <n v="4"/>
  </r>
  <r>
    <n v="40"/>
    <s v="Middle Aged"/>
    <n v="0"/>
    <s v="Travel_Rarely"/>
    <n v="444"/>
    <x v="1"/>
    <n v="2"/>
    <s v="Near Office"/>
    <s v="College"/>
    <s v="Marketing"/>
    <n v="2"/>
    <s v="Female"/>
    <n v="92"/>
    <n v="3"/>
    <n v="2"/>
    <s v="Sales Executive"/>
    <s v="Medium"/>
    <s v="Married"/>
    <n v="5677"/>
    <s v="Medium (5k-10k)"/>
    <n v="4258"/>
    <n v="3"/>
    <x v="0"/>
    <n v="14"/>
    <n v="3"/>
    <n v="3"/>
    <n v="1"/>
    <n v="15"/>
    <n v="4"/>
    <s v="Better"/>
    <n v="11"/>
    <x v="2"/>
    <n v="8"/>
    <n v="5"/>
    <n v="10"/>
  </r>
  <r>
    <n v="40"/>
    <s v="Middle Aged"/>
    <n v="0"/>
    <s v="Travel_Rarely"/>
    <n v="543"/>
    <x v="0"/>
    <n v="1"/>
    <s v="Near Office"/>
    <s v="Master"/>
    <s v="Life Sciences"/>
    <n v="1"/>
    <s v="Male"/>
    <n v="83"/>
    <n v="3"/>
    <n v="1"/>
    <s v="Laboratory Technician"/>
    <s v="Very High"/>
    <s v="Married"/>
    <n v="2406"/>
    <s v="Low (&lt;5k)"/>
    <n v="4060"/>
    <n v="8"/>
    <x v="0"/>
    <n v="19"/>
    <n v="3"/>
    <n v="3"/>
    <n v="2"/>
    <n v="8"/>
    <n v="3"/>
    <s v="Good"/>
    <n v="1"/>
    <x v="0"/>
    <n v="0"/>
    <n v="0"/>
    <n v="0"/>
  </r>
  <r>
    <n v="40"/>
    <s v="Middle Aged"/>
    <n v="0"/>
    <s v="Travel_Rarely"/>
    <n v="1322"/>
    <x v="0"/>
    <n v="2"/>
    <s v="Near Office"/>
    <s v="Master"/>
    <s v="Life Sciences"/>
    <n v="3"/>
    <s v="Male"/>
    <n v="52"/>
    <n v="2"/>
    <n v="1"/>
    <s v="Research Scientist"/>
    <s v="High"/>
    <s v="Single"/>
    <n v="2809"/>
    <s v="Low (&lt;5k)"/>
    <n v="2725"/>
    <n v="2"/>
    <x v="0"/>
    <n v="14"/>
    <n v="3"/>
    <n v="4"/>
    <n v="0"/>
    <n v="8"/>
    <n v="2"/>
    <s v="Better"/>
    <n v="2"/>
    <x v="0"/>
    <n v="2"/>
    <n v="2"/>
    <n v="2"/>
  </r>
  <r>
    <n v="40"/>
    <s v="Middle Aged"/>
    <n v="0"/>
    <s v="Travel_Rarely"/>
    <n v="1194"/>
    <x v="0"/>
    <n v="2"/>
    <s v="Near Office"/>
    <s v="Master"/>
    <s v="Medical"/>
    <n v="3"/>
    <s v="Female"/>
    <n v="98"/>
    <n v="3"/>
    <n v="1"/>
    <s v="Research Scientist"/>
    <s v="High"/>
    <s v="Married"/>
    <n v="2001"/>
    <s v="Low (&lt;5k)"/>
    <n v="12549"/>
    <n v="2"/>
    <x v="0"/>
    <n v="14"/>
    <n v="3"/>
    <n v="2"/>
    <n v="3"/>
    <n v="20"/>
    <n v="2"/>
    <s v="Better"/>
    <n v="5"/>
    <x v="1"/>
    <n v="3"/>
    <n v="0"/>
    <n v="2"/>
  </r>
  <r>
    <n v="41"/>
    <s v="Middle Aged"/>
    <n v="1"/>
    <s v="Travel_Rarely"/>
    <n v="1102"/>
    <x v="1"/>
    <n v="1"/>
    <s v="Near Office"/>
    <s v="College"/>
    <s v="Life Sciences"/>
    <n v="2"/>
    <s v="Female"/>
    <n v="94"/>
    <n v="3"/>
    <n v="2"/>
    <s v="Sales Executive"/>
    <s v="Very High"/>
    <s v="Single"/>
    <n v="5993"/>
    <s v="Medium (5k-10k)"/>
    <n v="19479"/>
    <n v="8"/>
    <x v="1"/>
    <n v="11"/>
    <n v="3"/>
    <n v="1"/>
    <n v="0"/>
    <n v="8"/>
    <n v="0"/>
    <s v="Bad"/>
    <n v="6"/>
    <x v="1"/>
    <n v="4"/>
    <n v="0"/>
    <n v="5"/>
  </r>
  <r>
    <n v="41"/>
    <s v="Middle Aged"/>
    <n v="1"/>
    <s v="Travel_Rarely"/>
    <n v="1360"/>
    <x v="0"/>
    <n v="12"/>
    <s v="Moderate"/>
    <s v="Bachelor"/>
    <s v="Technical Degree"/>
    <n v="2"/>
    <s v="Female"/>
    <n v="49"/>
    <n v="3"/>
    <n v="5"/>
    <s v="Research Director"/>
    <s v="High"/>
    <s v="Married"/>
    <n v="19545"/>
    <s v="High (&gt;10k)"/>
    <n v="16280"/>
    <n v="1"/>
    <x v="0"/>
    <n v="12"/>
    <n v="3"/>
    <n v="4"/>
    <n v="0"/>
    <n v="23"/>
    <n v="0"/>
    <s v="Better"/>
    <n v="22"/>
    <x v="2"/>
    <n v="15"/>
    <n v="15"/>
    <n v="8"/>
  </r>
  <r>
    <n v="41"/>
    <s v="Middle Aged"/>
    <n v="0"/>
    <s v="Travel_Rarely"/>
    <n v="802"/>
    <x v="1"/>
    <n v="9"/>
    <s v="Moderate"/>
    <s v="Below College"/>
    <s v="Life Sciences"/>
    <n v="3"/>
    <s v="Male"/>
    <n v="96"/>
    <n v="3"/>
    <n v="3"/>
    <s v="Sales Executive"/>
    <s v="High"/>
    <s v="Divorced"/>
    <n v="8189"/>
    <s v="Medium (5k-10k)"/>
    <n v="21196"/>
    <n v="3"/>
    <x v="1"/>
    <n v="13"/>
    <n v="3"/>
    <n v="3"/>
    <n v="1"/>
    <n v="12"/>
    <n v="2"/>
    <s v="Better"/>
    <n v="9"/>
    <x v="1"/>
    <n v="7"/>
    <n v="0"/>
    <n v="7"/>
  </r>
  <r>
    <n v="41"/>
    <s v="Middle Aged"/>
    <n v="0"/>
    <s v="Travel_Frequently"/>
    <n v="857"/>
    <x v="0"/>
    <n v="10"/>
    <s v="Moderate"/>
    <s v="Bachelor"/>
    <s v="Life Sciences"/>
    <n v="4"/>
    <s v="Male"/>
    <n v="91"/>
    <n v="2"/>
    <n v="4"/>
    <s v="Manager"/>
    <s v="Low"/>
    <s v="Divorced"/>
    <n v="17181"/>
    <s v="High (&gt;10k)"/>
    <n v="12888"/>
    <n v="4"/>
    <x v="0"/>
    <n v="13"/>
    <n v="3"/>
    <n v="2"/>
    <n v="1"/>
    <n v="21"/>
    <n v="2"/>
    <s v="Good"/>
    <n v="7"/>
    <x v="1"/>
    <n v="6"/>
    <n v="7"/>
    <n v="7"/>
  </r>
  <r>
    <n v="41"/>
    <s v="Middle Aged"/>
    <n v="0"/>
    <s v="Travel_Rarely"/>
    <n v="933"/>
    <x v="0"/>
    <n v="9"/>
    <s v="Moderate"/>
    <s v="Master"/>
    <s v="Life Sciences"/>
    <n v="3"/>
    <s v="Male"/>
    <n v="94"/>
    <n v="3"/>
    <n v="1"/>
    <s v="Laboratory Technician"/>
    <s v="Low"/>
    <s v="Married"/>
    <n v="2238"/>
    <s v="Low (&lt;5k)"/>
    <n v="6961"/>
    <n v="2"/>
    <x v="0"/>
    <n v="21"/>
    <n v="4"/>
    <n v="4"/>
    <n v="1"/>
    <n v="7"/>
    <n v="2"/>
    <s v="Better"/>
    <n v="5"/>
    <x v="1"/>
    <n v="0"/>
    <n v="1"/>
    <n v="4"/>
  </r>
  <r>
    <n v="41"/>
    <s v="Middle Aged"/>
    <n v="0"/>
    <s v="Travel_Rarely"/>
    <n v="465"/>
    <x v="0"/>
    <n v="14"/>
    <s v="Moderate"/>
    <s v="Bachelor"/>
    <s v="Life Sciences"/>
    <n v="1"/>
    <s v="Male"/>
    <n v="56"/>
    <n v="3"/>
    <n v="1"/>
    <s v="Research Scientist"/>
    <s v="High"/>
    <s v="Divorced"/>
    <n v="2451"/>
    <s v="Low (&lt;5k)"/>
    <n v="4609"/>
    <n v="4"/>
    <x v="0"/>
    <n v="12"/>
    <n v="3"/>
    <n v="1"/>
    <n v="1"/>
    <n v="13"/>
    <n v="2"/>
    <s v="Better"/>
    <n v="9"/>
    <x v="1"/>
    <n v="8"/>
    <n v="1"/>
    <n v="8"/>
  </r>
  <r>
    <n v="41"/>
    <s v="Middle Aged"/>
    <n v="1"/>
    <s v="Travel_Rarely"/>
    <n v="1356"/>
    <x v="1"/>
    <n v="20"/>
    <s v="Long Commute"/>
    <s v="College"/>
    <s v="Marketing"/>
    <n v="2"/>
    <s v="Female"/>
    <n v="70"/>
    <n v="3"/>
    <n v="1"/>
    <s v="Sales Representative"/>
    <s v="Medium"/>
    <s v="Single"/>
    <n v="3140"/>
    <s v="Low (&lt;5k)"/>
    <n v="21728"/>
    <n v="1"/>
    <x v="1"/>
    <n v="22"/>
    <n v="4"/>
    <n v="4"/>
    <n v="0"/>
    <n v="4"/>
    <n v="5"/>
    <s v="Good"/>
    <n v="4"/>
    <x v="1"/>
    <n v="3"/>
    <n v="0"/>
    <n v="2"/>
  </r>
  <r>
    <n v="41"/>
    <s v="Middle Aged"/>
    <n v="0"/>
    <s v="Travel_Rarely"/>
    <n v="896"/>
    <x v="1"/>
    <n v="6"/>
    <s v="Moderate"/>
    <s v="Bachelor"/>
    <s v="Life Sciences"/>
    <n v="4"/>
    <s v="Female"/>
    <n v="75"/>
    <n v="3"/>
    <n v="3"/>
    <s v="Manager"/>
    <s v="Very High"/>
    <s v="Single"/>
    <n v="13591"/>
    <s v="High (&gt;10k)"/>
    <n v="14674"/>
    <n v="3"/>
    <x v="1"/>
    <n v="18"/>
    <n v="3"/>
    <n v="3"/>
    <n v="0"/>
    <n v="16"/>
    <n v="3"/>
    <s v="Better"/>
    <n v="1"/>
    <x v="0"/>
    <n v="0"/>
    <n v="0"/>
    <n v="0"/>
  </r>
  <r>
    <n v="41"/>
    <s v="Middle Aged"/>
    <n v="0"/>
    <s v="Travel_Rarely"/>
    <n v="1411"/>
    <x v="0"/>
    <n v="19"/>
    <s v="Long Commute"/>
    <s v="College"/>
    <s v="Life Sciences"/>
    <n v="3"/>
    <s v="Male"/>
    <n v="36"/>
    <n v="3"/>
    <n v="2"/>
    <s v="Research Scientist"/>
    <s v="Low"/>
    <s v="Divorced"/>
    <n v="3072"/>
    <s v="Low (&lt;5k)"/>
    <n v="19877"/>
    <n v="2"/>
    <x v="0"/>
    <n v="16"/>
    <n v="3"/>
    <n v="1"/>
    <n v="2"/>
    <n v="17"/>
    <n v="2"/>
    <s v="Good"/>
    <n v="1"/>
    <x v="0"/>
    <n v="0"/>
    <n v="0"/>
    <n v="0"/>
  </r>
  <r>
    <n v="41"/>
    <s v="Middle Aged"/>
    <n v="0"/>
    <s v="Travel_Rarely"/>
    <n v="334"/>
    <x v="1"/>
    <n v="2"/>
    <s v="Near Office"/>
    <s v="Master"/>
    <s v="Life Sciences"/>
    <n v="4"/>
    <s v="Male"/>
    <n v="88"/>
    <n v="3"/>
    <n v="4"/>
    <s v="Manager"/>
    <s v="Medium"/>
    <s v="Single"/>
    <n v="16015"/>
    <s v="High (&gt;10k)"/>
    <n v="15896"/>
    <n v="1"/>
    <x v="0"/>
    <n v="19"/>
    <n v="3"/>
    <n v="2"/>
    <n v="0"/>
    <n v="22"/>
    <n v="2"/>
    <s v="Better"/>
    <n v="22"/>
    <x v="2"/>
    <n v="10"/>
    <n v="0"/>
    <n v="4"/>
  </r>
  <r>
    <n v="41"/>
    <s v="Middle Aged"/>
    <n v="0"/>
    <s v="Travel_Rarely"/>
    <n v="483"/>
    <x v="0"/>
    <n v="6"/>
    <s v="Moderate"/>
    <s v="Bachelor"/>
    <s v="Medical"/>
    <n v="4"/>
    <s v="Male"/>
    <n v="95"/>
    <n v="2"/>
    <n v="2"/>
    <s v="Manufacturing Director"/>
    <s v="Medium"/>
    <s v="Single"/>
    <n v="6032"/>
    <s v="Medium (5k-10k)"/>
    <n v="10110"/>
    <n v="6"/>
    <x v="1"/>
    <n v="15"/>
    <n v="3"/>
    <n v="4"/>
    <n v="0"/>
    <n v="8"/>
    <n v="3"/>
    <s v="Better"/>
    <n v="5"/>
    <x v="1"/>
    <n v="4"/>
    <n v="1"/>
    <n v="2"/>
  </r>
  <r>
    <n v="41"/>
    <s v="Middle Aged"/>
    <n v="1"/>
    <s v="Travel_Frequently"/>
    <n v="143"/>
    <x v="1"/>
    <n v="4"/>
    <s v="Near Office"/>
    <s v="Bachelor"/>
    <s v="Marketing"/>
    <n v="1"/>
    <s v="Male"/>
    <n v="56"/>
    <n v="3"/>
    <n v="2"/>
    <s v="Sales Executive"/>
    <s v="Medium"/>
    <s v="Single"/>
    <n v="9355"/>
    <s v="Medium (5k-10k)"/>
    <n v="9558"/>
    <n v="1"/>
    <x v="0"/>
    <n v="18"/>
    <n v="3"/>
    <n v="3"/>
    <n v="0"/>
    <n v="8"/>
    <n v="5"/>
    <s v="Better"/>
    <n v="8"/>
    <x v="1"/>
    <n v="7"/>
    <n v="7"/>
    <n v="7"/>
  </r>
  <r>
    <n v="41"/>
    <s v="Middle Aged"/>
    <n v="0"/>
    <s v="Travel_Rarely"/>
    <n v="645"/>
    <x v="1"/>
    <n v="1"/>
    <s v="Near Office"/>
    <s v="Bachelor"/>
    <s v="Marketing"/>
    <n v="2"/>
    <s v="Male"/>
    <n v="49"/>
    <n v="4"/>
    <n v="3"/>
    <s v="Sales Executive"/>
    <s v="Low"/>
    <s v="Married"/>
    <n v="8392"/>
    <s v="Medium (5k-10k)"/>
    <n v="19566"/>
    <n v="1"/>
    <x v="0"/>
    <n v="16"/>
    <n v="3"/>
    <n v="3"/>
    <n v="1"/>
    <n v="10"/>
    <n v="2"/>
    <s v="Better"/>
    <n v="10"/>
    <x v="2"/>
    <n v="7"/>
    <n v="0"/>
    <n v="7"/>
  </r>
  <r>
    <n v="41"/>
    <s v="Middle Aged"/>
    <n v="0"/>
    <s v="Non-Travel"/>
    <n v="267"/>
    <x v="1"/>
    <n v="10"/>
    <s v="Moderate"/>
    <s v="College"/>
    <s v="Life Sciences"/>
    <n v="4"/>
    <s v="Male"/>
    <n v="56"/>
    <n v="3"/>
    <n v="2"/>
    <s v="Sales Executive"/>
    <s v="Very High"/>
    <s v="Single"/>
    <n v="6230"/>
    <s v="Medium (5k-10k)"/>
    <n v="13430"/>
    <n v="7"/>
    <x v="0"/>
    <n v="14"/>
    <n v="3"/>
    <n v="4"/>
    <n v="0"/>
    <n v="16"/>
    <n v="3"/>
    <s v="Better"/>
    <n v="14"/>
    <x v="2"/>
    <n v="3"/>
    <n v="1"/>
    <n v="10"/>
  </r>
  <r>
    <n v="41"/>
    <s v="Middle Aged"/>
    <n v="0"/>
    <s v="Non-Travel"/>
    <n v="509"/>
    <x v="0"/>
    <n v="2"/>
    <s v="Near Office"/>
    <s v="Master"/>
    <s v="Other"/>
    <n v="1"/>
    <s v="Female"/>
    <n v="62"/>
    <n v="2"/>
    <n v="2"/>
    <s v="Healthcare Representative"/>
    <s v="High"/>
    <s v="Single"/>
    <n v="6811"/>
    <s v="Medium (5k-10k)"/>
    <n v="2112"/>
    <n v="2"/>
    <x v="1"/>
    <n v="17"/>
    <n v="3"/>
    <n v="1"/>
    <n v="0"/>
    <n v="10"/>
    <n v="3"/>
    <s v="Better"/>
    <n v="8"/>
    <x v="1"/>
    <n v="7"/>
    <n v="0"/>
    <n v="7"/>
  </r>
  <r>
    <n v="41"/>
    <s v="Middle Aged"/>
    <n v="0"/>
    <s v="Travel_Rarely"/>
    <n v="1276"/>
    <x v="1"/>
    <n v="2"/>
    <s v="Near Office"/>
    <s v="Doctor"/>
    <s v="Life Sciences"/>
    <n v="2"/>
    <s v="Female"/>
    <n v="91"/>
    <n v="3"/>
    <n v="4"/>
    <s v="Manager"/>
    <s v="Low"/>
    <s v="Married"/>
    <n v="16595"/>
    <s v="High (&gt;10k)"/>
    <n v="5626"/>
    <n v="7"/>
    <x v="0"/>
    <n v="16"/>
    <n v="3"/>
    <n v="2"/>
    <n v="1"/>
    <n v="22"/>
    <n v="2"/>
    <s v="Better"/>
    <n v="18"/>
    <x v="2"/>
    <n v="16"/>
    <n v="11"/>
    <n v="8"/>
  </r>
  <r>
    <n v="41"/>
    <s v="Middle Aged"/>
    <n v="0"/>
    <s v="Travel_Rarely"/>
    <n v="427"/>
    <x v="2"/>
    <n v="10"/>
    <s v="Moderate"/>
    <s v="Master"/>
    <s v="Human Resources"/>
    <n v="2"/>
    <s v="Male"/>
    <n v="73"/>
    <n v="2"/>
    <n v="5"/>
    <s v="Manager"/>
    <s v="Very High"/>
    <s v="Divorced"/>
    <n v="19141"/>
    <s v="High (&gt;10k)"/>
    <n v="8861"/>
    <n v="3"/>
    <x v="0"/>
    <n v="15"/>
    <n v="3"/>
    <n v="2"/>
    <n v="3"/>
    <n v="23"/>
    <n v="2"/>
    <s v="Good"/>
    <n v="21"/>
    <x v="2"/>
    <n v="6"/>
    <n v="12"/>
    <n v="6"/>
  </r>
  <r>
    <n v="41"/>
    <s v="Middle Aged"/>
    <n v="0"/>
    <s v="Travel_Rarely"/>
    <n v="314"/>
    <x v="2"/>
    <n v="1"/>
    <s v="Near Office"/>
    <s v="Bachelor"/>
    <s v="Human Resources"/>
    <n v="4"/>
    <s v="Male"/>
    <n v="59"/>
    <n v="2"/>
    <n v="5"/>
    <s v="Manager"/>
    <s v="High"/>
    <s v="Married"/>
    <n v="19189"/>
    <s v="High (&gt;10k)"/>
    <n v="19562"/>
    <n v="1"/>
    <x v="0"/>
    <n v="12"/>
    <n v="3"/>
    <n v="2"/>
    <n v="1"/>
    <n v="22"/>
    <n v="3"/>
    <s v="Better"/>
    <n v="22"/>
    <x v="2"/>
    <n v="7"/>
    <n v="2"/>
    <n v="10"/>
  </r>
  <r>
    <n v="41"/>
    <s v="Middle Aged"/>
    <n v="1"/>
    <s v="Travel_Rarely"/>
    <n v="1085"/>
    <x v="0"/>
    <n v="2"/>
    <s v="Near Office"/>
    <s v="Master"/>
    <s v="Life Sciences"/>
    <n v="2"/>
    <s v="Female"/>
    <n v="57"/>
    <n v="1"/>
    <n v="1"/>
    <s v="Laboratory Technician"/>
    <s v="Very High"/>
    <s v="Divorced"/>
    <n v="2778"/>
    <s v="Low (&lt;5k)"/>
    <n v="17725"/>
    <n v="4"/>
    <x v="1"/>
    <n v="13"/>
    <n v="3"/>
    <n v="3"/>
    <n v="1"/>
    <n v="10"/>
    <n v="1"/>
    <s v="Good"/>
    <n v="7"/>
    <x v="1"/>
    <n v="7"/>
    <n v="1"/>
    <n v="0"/>
  </r>
  <r>
    <n v="41"/>
    <s v="Middle Aged"/>
    <n v="0"/>
    <s v="Travel_Rarely"/>
    <n v="263"/>
    <x v="0"/>
    <n v="6"/>
    <s v="Moderate"/>
    <s v="Bachelor"/>
    <s v="Medical"/>
    <n v="4"/>
    <s v="Male"/>
    <n v="59"/>
    <n v="3"/>
    <n v="1"/>
    <s v="Laboratory Technician"/>
    <s v="Low"/>
    <s v="Single"/>
    <n v="4721"/>
    <s v="Low (&lt;5k)"/>
    <n v="3119"/>
    <n v="2"/>
    <x v="1"/>
    <n v="13"/>
    <n v="3"/>
    <n v="3"/>
    <n v="0"/>
    <n v="20"/>
    <n v="3"/>
    <s v="Better"/>
    <n v="18"/>
    <x v="2"/>
    <n v="13"/>
    <n v="2"/>
    <n v="17"/>
  </r>
  <r>
    <n v="41"/>
    <s v="Middle Aged"/>
    <n v="0"/>
    <s v="Travel_Frequently"/>
    <n v="840"/>
    <x v="0"/>
    <n v="9"/>
    <s v="Moderate"/>
    <s v="Bachelor"/>
    <s v="Medical"/>
    <n v="1"/>
    <s v="Male"/>
    <n v="64"/>
    <n v="3"/>
    <n v="5"/>
    <s v="Research Director"/>
    <s v="High"/>
    <s v="Divorced"/>
    <n v="19419"/>
    <s v="High (&gt;10k)"/>
    <n v="3735"/>
    <n v="2"/>
    <x v="0"/>
    <n v="17"/>
    <n v="3"/>
    <n v="2"/>
    <n v="1"/>
    <n v="21"/>
    <n v="2"/>
    <s v="Best"/>
    <n v="18"/>
    <x v="2"/>
    <n v="16"/>
    <n v="0"/>
    <n v="11"/>
  </r>
  <r>
    <n v="41"/>
    <s v="Middle Aged"/>
    <n v="0"/>
    <s v="Travel_Rarely"/>
    <n v="549"/>
    <x v="0"/>
    <n v="7"/>
    <s v="Moderate"/>
    <s v="College"/>
    <s v="Medical"/>
    <n v="4"/>
    <s v="Female"/>
    <n v="42"/>
    <n v="3"/>
    <n v="2"/>
    <s v="Manufacturing Director"/>
    <s v="High"/>
    <s v="Single"/>
    <n v="5003"/>
    <s v="Medium (5k-10k)"/>
    <n v="23371"/>
    <n v="6"/>
    <x v="0"/>
    <n v="14"/>
    <n v="3"/>
    <n v="2"/>
    <n v="0"/>
    <n v="8"/>
    <n v="6"/>
    <s v="Better"/>
    <n v="2"/>
    <x v="0"/>
    <n v="2"/>
    <n v="2"/>
    <n v="1"/>
  </r>
  <r>
    <n v="41"/>
    <s v="Middle Aged"/>
    <n v="0"/>
    <s v="Non-Travel"/>
    <n v="247"/>
    <x v="0"/>
    <n v="7"/>
    <s v="Moderate"/>
    <s v="Below College"/>
    <s v="Life Sciences"/>
    <n v="2"/>
    <s v="Female"/>
    <n v="55"/>
    <n v="1"/>
    <n v="5"/>
    <s v="Research Director"/>
    <s v="High"/>
    <s v="Divorced"/>
    <n v="19973"/>
    <s v="High (&gt;10k)"/>
    <n v="20284"/>
    <n v="1"/>
    <x v="0"/>
    <n v="22"/>
    <n v="4"/>
    <n v="2"/>
    <n v="2"/>
    <n v="21"/>
    <n v="3"/>
    <s v="Better"/>
    <n v="21"/>
    <x v="2"/>
    <n v="16"/>
    <n v="5"/>
    <n v="10"/>
  </r>
  <r>
    <n v="41"/>
    <s v="Middle Aged"/>
    <n v="0"/>
    <s v="Travel_Rarely"/>
    <n v="509"/>
    <x v="0"/>
    <n v="7"/>
    <s v="Moderate"/>
    <s v="College"/>
    <s v="Technical Degree"/>
    <n v="2"/>
    <s v="Female"/>
    <n v="43"/>
    <n v="4"/>
    <n v="1"/>
    <s v="Research Scientist"/>
    <s v="High"/>
    <s v="Married"/>
    <n v="3376"/>
    <s v="Low (&lt;5k)"/>
    <n v="18863"/>
    <n v="1"/>
    <x v="0"/>
    <n v="13"/>
    <n v="3"/>
    <n v="3"/>
    <n v="0"/>
    <n v="10"/>
    <n v="3"/>
    <s v="Better"/>
    <n v="10"/>
    <x v="2"/>
    <n v="6"/>
    <n v="0"/>
    <n v="8"/>
  </r>
  <r>
    <n v="41"/>
    <s v="Middle Aged"/>
    <n v="0"/>
    <s v="Travel_Rarely"/>
    <n v="167"/>
    <x v="0"/>
    <n v="12"/>
    <s v="Moderate"/>
    <s v="Master"/>
    <s v="Life Sciences"/>
    <n v="2"/>
    <s v="Male"/>
    <n v="46"/>
    <n v="3"/>
    <n v="1"/>
    <s v="Laboratory Technician"/>
    <s v="Very High"/>
    <s v="Married"/>
    <n v="4766"/>
    <s v="Low (&lt;5k)"/>
    <n v="9051"/>
    <n v="3"/>
    <x v="1"/>
    <n v="11"/>
    <n v="3"/>
    <n v="1"/>
    <n v="1"/>
    <n v="6"/>
    <n v="4"/>
    <s v="Better"/>
    <n v="1"/>
    <x v="0"/>
    <n v="0"/>
    <n v="0"/>
    <n v="0"/>
  </r>
  <r>
    <n v="41"/>
    <s v="Middle Aged"/>
    <n v="1"/>
    <s v="Non-Travel"/>
    <n v="906"/>
    <x v="0"/>
    <n v="5"/>
    <s v="Near Office"/>
    <s v="College"/>
    <s v="Life Sciences"/>
    <n v="1"/>
    <s v="Male"/>
    <n v="95"/>
    <n v="2"/>
    <n v="1"/>
    <s v="Research Scientist"/>
    <s v="Low"/>
    <s v="Divorced"/>
    <n v="2107"/>
    <s v="Low (&lt;5k)"/>
    <n v="20293"/>
    <n v="6"/>
    <x v="0"/>
    <n v="17"/>
    <n v="3"/>
    <n v="1"/>
    <n v="1"/>
    <n v="5"/>
    <n v="2"/>
    <s v="Bad"/>
    <n v="1"/>
    <x v="0"/>
    <n v="0"/>
    <n v="0"/>
    <n v="0"/>
  </r>
  <r>
    <n v="41"/>
    <s v="Middle Aged"/>
    <n v="0"/>
    <s v="Non-Travel"/>
    <n v="256"/>
    <x v="1"/>
    <n v="10"/>
    <s v="Moderate"/>
    <s v="College"/>
    <s v="Medical"/>
    <n v="3"/>
    <s v="Male"/>
    <n v="40"/>
    <n v="1"/>
    <n v="2"/>
    <s v="Sales Executive"/>
    <s v="Medium"/>
    <s v="Single"/>
    <n v="6151"/>
    <s v="Medium (5k-10k)"/>
    <n v="22074"/>
    <n v="1"/>
    <x v="0"/>
    <n v="13"/>
    <n v="3"/>
    <n v="1"/>
    <n v="0"/>
    <n v="19"/>
    <n v="4"/>
    <s v="Better"/>
    <n v="19"/>
    <x v="2"/>
    <n v="2"/>
    <n v="11"/>
    <n v="9"/>
  </r>
  <r>
    <n v="41"/>
    <s v="Middle Aged"/>
    <n v="0"/>
    <s v="Travel_Frequently"/>
    <n v="1018"/>
    <x v="1"/>
    <n v="1"/>
    <s v="Near Office"/>
    <s v="Bachelor"/>
    <s v="Marketing"/>
    <n v="3"/>
    <s v="Female"/>
    <n v="66"/>
    <n v="3"/>
    <n v="2"/>
    <s v="Sales Executive"/>
    <s v="Low"/>
    <s v="Divorced"/>
    <n v="4103"/>
    <s v="Low (&lt;5k)"/>
    <n v="4297"/>
    <n v="0"/>
    <x v="0"/>
    <n v="17"/>
    <n v="3"/>
    <n v="4"/>
    <n v="1"/>
    <n v="10"/>
    <n v="2"/>
    <s v="Better"/>
    <n v="9"/>
    <x v="1"/>
    <n v="3"/>
    <n v="1"/>
    <n v="7"/>
  </r>
  <r>
    <n v="41"/>
    <s v="Middle Aged"/>
    <n v="0"/>
    <s v="Travel_Frequently"/>
    <n v="1200"/>
    <x v="0"/>
    <n v="22"/>
    <s v="Long Commute"/>
    <s v="Bachelor"/>
    <s v="Life Sciences"/>
    <n v="4"/>
    <s v="Female"/>
    <n v="75"/>
    <n v="3"/>
    <n v="2"/>
    <s v="Research Scientist"/>
    <s v="Very High"/>
    <s v="Divorced"/>
    <n v="5467"/>
    <s v="Medium (5k-10k)"/>
    <n v="13953"/>
    <n v="3"/>
    <x v="1"/>
    <n v="14"/>
    <n v="3"/>
    <n v="1"/>
    <n v="2"/>
    <n v="12"/>
    <n v="4"/>
    <s v="Good"/>
    <n v="6"/>
    <x v="1"/>
    <n v="2"/>
    <n v="3"/>
    <n v="3"/>
  </r>
  <r>
    <n v="41"/>
    <s v="Middle Aged"/>
    <n v="0"/>
    <s v="Travel_Rarely"/>
    <n v="1283"/>
    <x v="0"/>
    <n v="5"/>
    <s v="Near Office"/>
    <s v="Doctor"/>
    <s v="Medical"/>
    <n v="2"/>
    <s v="Male"/>
    <n v="90"/>
    <n v="4"/>
    <n v="1"/>
    <s v="Research Scientist"/>
    <s v="High"/>
    <s v="Married"/>
    <n v="2127"/>
    <s v="Low (&lt;5k)"/>
    <n v="5561"/>
    <n v="2"/>
    <x v="1"/>
    <n v="12"/>
    <n v="3"/>
    <n v="1"/>
    <n v="0"/>
    <n v="7"/>
    <n v="5"/>
    <s v="Good"/>
    <n v="4"/>
    <x v="1"/>
    <n v="2"/>
    <n v="0"/>
    <n v="3"/>
  </r>
  <r>
    <n v="41"/>
    <s v="Middle Aged"/>
    <n v="0"/>
    <s v="Travel_Rarely"/>
    <n v="1206"/>
    <x v="1"/>
    <n v="23"/>
    <s v="Long Commute"/>
    <s v="College"/>
    <s v="Life Sciences"/>
    <n v="4"/>
    <s v="Male"/>
    <n v="80"/>
    <n v="3"/>
    <n v="3"/>
    <s v="Sales Executive"/>
    <s v="High"/>
    <s v="Single"/>
    <n v="7082"/>
    <s v="Medium (5k-10k)"/>
    <n v="11591"/>
    <n v="3"/>
    <x v="1"/>
    <n v="16"/>
    <n v="3"/>
    <n v="4"/>
    <n v="0"/>
    <n v="21"/>
    <n v="2"/>
    <s v="Better"/>
    <n v="2"/>
    <x v="0"/>
    <n v="0"/>
    <n v="0"/>
    <n v="2"/>
  </r>
  <r>
    <n v="41"/>
    <s v="Middle Aged"/>
    <n v="0"/>
    <s v="Travel_Rarely"/>
    <n v="918"/>
    <x v="1"/>
    <n v="6"/>
    <s v="Moderate"/>
    <s v="Bachelor"/>
    <s v="Marketing"/>
    <n v="4"/>
    <s v="Male"/>
    <n v="35"/>
    <n v="3"/>
    <n v="3"/>
    <s v="Sales Executive"/>
    <s v="High"/>
    <s v="Single"/>
    <n v="9241"/>
    <s v="Medium (5k-10k)"/>
    <n v="15869"/>
    <n v="1"/>
    <x v="0"/>
    <n v="12"/>
    <n v="3"/>
    <n v="2"/>
    <n v="0"/>
    <n v="10"/>
    <n v="3"/>
    <s v="Better"/>
    <n v="10"/>
    <x v="2"/>
    <n v="8"/>
    <n v="8"/>
    <n v="7"/>
  </r>
  <r>
    <n v="41"/>
    <s v="Middle Aged"/>
    <n v="0"/>
    <s v="Non-Travel"/>
    <n v="552"/>
    <x v="2"/>
    <n v="4"/>
    <s v="Near Office"/>
    <s v="Bachelor"/>
    <s v="Human Resources"/>
    <n v="3"/>
    <s v="Male"/>
    <n v="60"/>
    <n v="1"/>
    <n v="2"/>
    <s v="Human Resources"/>
    <s v="Medium"/>
    <s v="Married"/>
    <n v="6430"/>
    <s v="Medium (5k-10k)"/>
    <n v="20794"/>
    <n v="6"/>
    <x v="0"/>
    <n v="19"/>
    <n v="3"/>
    <n v="2"/>
    <n v="1"/>
    <n v="10"/>
    <n v="4"/>
    <s v="Better"/>
    <n v="3"/>
    <x v="1"/>
    <n v="2"/>
    <n v="1"/>
    <n v="2"/>
  </r>
  <r>
    <n v="41"/>
    <s v="Middle Aged"/>
    <n v="0"/>
    <s v="Travel_Rarely"/>
    <n v="548"/>
    <x v="0"/>
    <n v="9"/>
    <s v="Moderate"/>
    <s v="Master"/>
    <s v="Life Sciences"/>
    <n v="3"/>
    <s v="Male"/>
    <n v="94"/>
    <n v="3"/>
    <n v="1"/>
    <s v="Laboratory Technician"/>
    <s v="Low"/>
    <s v="Divorced"/>
    <n v="2289"/>
    <s v="Low (&lt;5k)"/>
    <n v="20520"/>
    <n v="1"/>
    <x v="0"/>
    <n v="20"/>
    <n v="4"/>
    <n v="2"/>
    <n v="2"/>
    <n v="5"/>
    <n v="2"/>
    <s v="Better"/>
    <n v="5"/>
    <x v="1"/>
    <n v="3"/>
    <n v="0"/>
    <n v="4"/>
  </r>
  <r>
    <n v="41"/>
    <s v="Middle Aged"/>
    <n v="0"/>
    <s v="Travel_Rarely"/>
    <n v="447"/>
    <x v="0"/>
    <n v="5"/>
    <s v="Near Office"/>
    <s v="Bachelor"/>
    <s v="Life Sciences"/>
    <n v="2"/>
    <s v="Male"/>
    <n v="85"/>
    <n v="4"/>
    <n v="2"/>
    <s v="Healthcare Representative"/>
    <s v="Medium"/>
    <s v="Single"/>
    <n v="6870"/>
    <s v="Medium (5k-10k)"/>
    <n v="15530"/>
    <n v="3"/>
    <x v="0"/>
    <n v="12"/>
    <n v="3"/>
    <n v="1"/>
    <n v="0"/>
    <n v="11"/>
    <n v="3"/>
    <s v="Bad"/>
    <n v="3"/>
    <x v="1"/>
    <n v="2"/>
    <n v="1"/>
    <n v="2"/>
  </r>
  <r>
    <n v="41"/>
    <s v="Middle Aged"/>
    <n v="0"/>
    <s v="Travel_Rarely"/>
    <n v="796"/>
    <x v="1"/>
    <n v="4"/>
    <s v="Near Office"/>
    <s v="Below College"/>
    <s v="Marketing"/>
    <n v="3"/>
    <s v="Female"/>
    <n v="81"/>
    <n v="3"/>
    <n v="3"/>
    <s v="Sales Executive"/>
    <s v="High"/>
    <s v="Divorced"/>
    <n v="10447"/>
    <s v="High (&gt;10k)"/>
    <n v="26458"/>
    <n v="0"/>
    <x v="1"/>
    <n v="13"/>
    <n v="3"/>
    <n v="4"/>
    <n v="1"/>
    <n v="23"/>
    <n v="3"/>
    <s v="Best"/>
    <n v="22"/>
    <x v="2"/>
    <n v="14"/>
    <n v="13"/>
    <n v="5"/>
  </r>
  <r>
    <n v="41"/>
    <s v="Middle Aged"/>
    <n v="0"/>
    <s v="Travel_Rarely"/>
    <n v="337"/>
    <x v="1"/>
    <n v="8"/>
    <s v="Moderate"/>
    <s v="Bachelor"/>
    <s v="Marketing"/>
    <n v="3"/>
    <s v="Female"/>
    <n v="54"/>
    <n v="3"/>
    <n v="2"/>
    <s v="Sales Executive"/>
    <s v="Medium"/>
    <s v="Married"/>
    <n v="4393"/>
    <s v="Low (&lt;5k)"/>
    <n v="26841"/>
    <n v="5"/>
    <x v="0"/>
    <n v="21"/>
    <n v="4"/>
    <n v="3"/>
    <n v="1"/>
    <n v="14"/>
    <n v="3"/>
    <s v="Better"/>
    <n v="5"/>
    <x v="1"/>
    <n v="4"/>
    <n v="1"/>
    <n v="4"/>
  </r>
  <r>
    <n v="41"/>
    <s v="Middle Aged"/>
    <n v="0"/>
    <s v="Travel_Rarely"/>
    <n v="642"/>
    <x v="0"/>
    <n v="1"/>
    <s v="Near Office"/>
    <s v="Bachelor"/>
    <s v="Life Sciences"/>
    <n v="4"/>
    <s v="Male"/>
    <n v="76"/>
    <n v="3"/>
    <n v="1"/>
    <s v="Research Scientist"/>
    <s v="Very High"/>
    <s v="Married"/>
    <n v="2782"/>
    <s v="Low (&lt;5k)"/>
    <n v="21412"/>
    <n v="3"/>
    <x v="0"/>
    <n v="22"/>
    <n v="4"/>
    <n v="1"/>
    <n v="1"/>
    <n v="12"/>
    <n v="3"/>
    <s v="Better"/>
    <n v="5"/>
    <x v="1"/>
    <n v="3"/>
    <n v="1"/>
    <n v="0"/>
  </r>
  <r>
    <n v="41"/>
    <s v="Middle Aged"/>
    <n v="0"/>
    <s v="Travel_Rarely"/>
    <n v="582"/>
    <x v="0"/>
    <n v="28"/>
    <s v="Long Commute"/>
    <s v="Master"/>
    <s v="Life Sciences"/>
    <n v="1"/>
    <s v="Female"/>
    <n v="60"/>
    <n v="2"/>
    <n v="4"/>
    <s v="Manufacturing Director"/>
    <s v="Medium"/>
    <s v="Married"/>
    <n v="13570"/>
    <s v="High (&gt;10k)"/>
    <n v="5640"/>
    <n v="0"/>
    <x v="0"/>
    <n v="23"/>
    <n v="4"/>
    <n v="3"/>
    <n v="1"/>
    <n v="21"/>
    <n v="3"/>
    <s v="Better"/>
    <n v="20"/>
    <x v="2"/>
    <n v="7"/>
    <n v="0"/>
    <n v="10"/>
  </r>
  <r>
    <n v="41"/>
    <s v="Middle Aged"/>
    <n v="0"/>
    <s v="Travel_Rarely"/>
    <n v="930"/>
    <x v="1"/>
    <n v="3"/>
    <s v="Near Office"/>
    <s v="Bachelor"/>
    <s v="Life Sciences"/>
    <n v="3"/>
    <s v="Male"/>
    <n v="57"/>
    <n v="2"/>
    <n v="2"/>
    <s v="Sales Executive"/>
    <s v="Medium"/>
    <s v="Divorced"/>
    <n v="8938"/>
    <s v="Medium (5k-10k)"/>
    <n v="12227"/>
    <n v="2"/>
    <x v="0"/>
    <n v="11"/>
    <n v="3"/>
    <n v="3"/>
    <n v="1"/>
    <n v="14"/>
    <n v="5"/>
    <s v="Better"/>
    <n v="5"/>
    <x v="1"/>
    <n v="4"/>
    <n v="0"/>
    <n v="4"/>
  </r>
  <r>
    <n v="42"/>
    <s v="Middle Aged"/>
    <n v="0"/>
    <s v="Travel_Rarely"/>
    <n v="691"/>
    <x v="1"/>
    <n v="8"/>
    <s v="Moderate"/>
    <s v="Master"/>
    <s v="Marketing"/>
    <n v="3"/>
    <s v="Male"/>
    <n v="48"/>
    <n v="3"/>
    <n v="2"/>
    <s v="Sales Executive"/>
    <s v="Medium"/>
    <s v="Married"/>
    <n v="6825"/>
    <s v="Medium (5k-10k)"/>
    <n v="21173"/>
    <n v="0"/>
    <x v="0"/>
    <n v="11"/>
    <n v="3"/>
    <n v="4"/>
    <n v="1"/>
    <n v="10"/>
    <n v="2"/>
    <s v="Better"/>
    <n v="9"/>
    <x v="1"/>
    <n v="7"/>
    <n v="4"/>
    <n v="2"/>
  </r>
  <r>
    <n v="42"/>
    <s v="Middle Aged"/>
    <n v="0"/>
    <s v="Non-Travel"/>
    <n v="926"/>
    <x v="0"/>
    <n v="21"/>
    <s v="Long Commute"/>
    <s v="College"/>
    <s v="Medical"/>
    <n v="3"/>
    <s v="Female"/>
    <n v="36"/>
    <n v="3"/>
    <n v="2"/>
    <s v="Manufacturing Director"/>
    <s v="High"/>
    <s v="Divorced"/>
    <n v="5265"/>
    <s v="Medium (5k-10k)"/>
    <n v="16439"/>
    <n v="2"/>
    <x v="0"/>
    <n v="16"/>
    <n v="3"/>
    <n v="2"/>
    <n v="1"/>
    <n v="11"/>
    <n v="5"/>
    <s v="Better"/>
    <n v="5"/>
    <x v="1"/>
    <n v="3"/>
    <n v="0"/>
    <n v="2"/>
  </r>
  <r>
    <n v="42"/>
    <s v="Middle Aged"/>
    <n v="0"/>
    <s v="Travel_Rarely"/>
    <n v="532"/>
    <x v="0"/>
    <n v="4"/>
    <s v="Near Office"/>
    <s v="College"/>
    <s v="Technical Degree"/>
    <n v="3"/>
    <s v="Male"/>
    <n v="58"/>
    <n v="3"/>
    <n v="5"/>
    <s v="Manager"/>
    <s v="Very High"/>
    <s v="Married"/>
    <n v="19232"/>
    <s v="High (&gt;10k)"/>
    <n v="4933"/>
    <n v="1"/>
    <x v="0"/>
    <n v="11"/>
    <n v="3"/>
    <n v="4"/>
    <n v="0"/>
    <n v="22"/>
    <n v="3"/>
    <s v="Better"/>
    <n v="22"/>
    <x v="2"/>
    <n v="17"/>
    <n v="11"/>
    <n v="15"/>
  </r>
  <r>
    <n v="42"/>
    <s v="Middle Aged"/>
    <n v="0"/>
    <s v="Travel_Rarely"/>
    <n v="916"/>
    <x v="0"/>
    <n v="17"/>
    <s v="Long Commute"/>
    <s v="College"/>
    <s v="Life Sciences"/>
    <n v="4"/>
    <s v="Female"/>
    <n v="82"/>
    <n v="4"/>
    <n v="2"/>
    <s v="Research Scientist"/>
    <s v="Low"/>
    <s v="Single"/>
    <n v="6545"/>
    <s v="Medium (5k-10k)"/>
    <n v="23016"/>
    <n v="3"/>
    <x v="1"/>
    <n v="13"/>
    <n v="3"/>
    <n v="3"/>
    <n v="0"/>
    <n v="10"/>
    <n v="1"/>
    <s v="Better"/>
    <n v="3"/>
    <x v="1"/>
    <n v="2"/>
    <n v="0"/>
    <n v="2"/>
  </r>
  <r>
    <n v="42"/>
    <s v="Middle Aged"/>
    <n v="0"/>
    <s v="Travel_Rarely"/>
    <n v="269"/>
    <x v="0"/>
    <n v="2"/>
    <s v="Near Office"/>
    <s v="Bachelor"/>
    <s v="Medical"/>
    <n v="4"/>
    <s v="Female"/>
    <n v="56"/>
    <n v="2"/>
    <n v="1"/>
    <s v="Laboratory Technician"/>
    <s v="Low"/>
    <s v="Divorced"/>
    <n v="2593"/>
    <s v="Low (&lt;5k)"/>
    <n v="8007"/>
    <n v="0"/>
    <x v="1"/>
    <n v="11"/>
    <n v="3"/>
    <n v="3"/>
    <n v="1"/>
    <n v="10"/>
    <n v="4"/>
    <s v="Better"/>
    <n v="9"/>
    <x v="1"/>
    <n v="6"/>
    <n v="7"/>
    <n v="8"/>
  </r>
  <r>
    <n v="42"/>
    <s v="Middle Aged"/>
    <n v="0"/>
    <s v="Travel_Rarely"/>
    <n v="635"/>
    <x v="1"/>
    <n v="1"/>
    <s v="Near Office"/>
    <s v="Below College"/>
    <s v="Life Sciences"/>
    <n v="2"/>
    <s v="Male"/>
    <n v="99"/>
    <n v="3"/>
    <n v="2"/>
    <s v="Sales Executive"/>
    <s v="High"/>
    <s v="Married"/>
    <n v="4907"/>
    <s v="Low (&lt;5k)"/>
    <n v="24532"/>
    <n v="1"/>
    <x v="0"/>
    <n v="25"/>
    <n v="4"/>
    <n v="3"/>
    <n v="0"/>
    <n v="20"/>
    <n v="3"/>
    <s v="Better"/>
    <n v="20"/>
    <x v="2"/>
    <n v="16"/>
    <n v="11"/>
    <n v="6"/>
  </r>
  <r>
    <n v="42"/>
    <s v="Middle Aged"/>
    <n v="0"/>
    <s v="Travel_Frequently"/>
    <n v="555"/>
    <x v="1"/>
    <n v="26"/>
    <s v="Long Commute"/>
    <s v="Bachelor"/>
    <s v="Marketing"/>
    <n v="3"/>
    <s v="Female"/>
    <n v="77"/>
    <n v="3"/>
    <n v="4"/>
    <s v="Sales Executive"/>
    <s v="Medium"/>
    <s v="Married"/>
    <n v="13525"/>
    <s v="High (&gt;10k)"/>
    <n v="14864"/>
    <n v="5"/>
    <x v="0"/>
    <n v="14"/>
    <n v="3"/>
    <n v="4"/>
    <n v="1"/>
    <n v="23"/>
    <n v="2"/>
    <s v="Best"/>
    <n v="20"/>
    <x v="2"/>
    <n v="4"/>
    <n v="4"/>
    <n v="8"/>
  </r>
  <r>
    <n v="42"/>
    <s v="Middle Aged"/>
    <n v="0"/>
    <s v="Travel_Rarely"/>
    <n v="810"/>
    <x v="0"/>
    <n v="23"/>
    <s v="Long Commute"/>
    <s v="Doctor"/>
    <s v="Life Sciences"/>
    <n v="1"/>
    <s v="Female"/>
    <n v="44"/>
    <n v="3"/>
    <n v="4"/>
    <s v="Research Director"/>
    <s v="Very High"/>
    <s v="Single"/>
    <n v="15992"/>
    <s v="High (&gt;10k)"/>
    <n v="15901"/>
    <n v="2"/>
    <x v="0"/>
    <n v="14"/>
    <n v="3"/>
    <n v="2"/>
    <n v="0"/>
    <n v="16"/>
    <n v="2"/>
    <s v="Better"/>
    <n v="1"/>
    <x v="0"/>
    <n v="0"/>
    <n v="0"/>
    <n v="0"/>
  </r>
  <r>
    <n v="42"/>
    <s v="Middle Aged"/>
    <n v="0"/>
    <s v="Travel_Rarely"/>
    <n v="544"/>
    <x v="2"/>
    <n v="2"/>
    <s v="Near Office"/>
    <s v="Below College"/>
    <s v="Technical Degree"/>
    <n v="3"/>
    <s v="Male"/>
    <n v="52"/>
    <n v="3"/>
    <n v="1"/>
    <s v="Human Resources"/>
    <s v="High"/>
    <s v="Divorced"/>
    <n v="2696"/>
    <s v="Low (&lt;5k)"/>
    <n v="24017"/>
    <n v="0"/>
    <x v="1"/>
    <n v="11"/>
    <n v="3"/>
    <n v="3"/>
    <n v="1"/>
    <n v="4"/>
    <n v="5"/>
    <s v="Better"/>
    <n v="3"/>
    <x v="1"/>
    <n v="2"/>
    <n v="1"/>
    <n v="0"/>
  </r>
  <r>
    <n v="42"/>
    <s v="Middle Aged"/>
    <n v="0"/>
    <s v="Travel_Rarely"/>
    <n v="1332"/>
    <x v="0"/>
    <n v="2"/>
    <s v="Near Office"/>
    <s v="Master"/>
    <s v="Other"/>
    <n v="1"/>
    <s v="Male"/>
    <n v="98"/>
    <n v="2"/>
    <n v="2"/>
    <s v="Healthcare Representative"/>
    <s v="Very High"/>
    <s v="Single"/>
    <n v="6781"/>
    <s v="Medium (5k-10k)"/>
    <n v="17078"/>
    <n v="3"/>
    <x v="0"/>
    <n v="23"/>
    <n v="4"/>
    <n v="2"/>
    <n v="0"/>
    <n v="14"/>
    <n v="6"/>
    <s v="Better"/>
    <n v="1"/>
    <x v="0"/>
    <n v="0"/>
    <n v="0"/>
    <n v="0"/>
  </r>
  <r>
    <n v="42"/>
    <s v="Middle Aged"/>
    <n v="0"/>
    <s v="Travel_Rarely"/>
    <n v="201"/>
    <x v="0"/>
    <n v="1"/>
    <s v="Near Office"/>
    <s v="Master"/>
    <s v="Life Sciences"/>
    <n v="2"/>
    <s v="Female"/>
    <n v="95"/>
    <n v="3"/>
    <n v="1"/>
    <s v="Laboratory Technician"/>
    <s v="Low"/>
    <s v="Divorced"/>
    <n v="2576"/>
    <s v="Low (&lt;5k)"/>
    <n v="20490"/>
    <n v="3"/>
    <x v="0"/>
    <n v="16"/>
    <n v="3"/>
    <n v="2"/>
    <n v="1"/>
    <n v="8"/>
    <n v="5"/>
    <s v="Better"/>
    <n v="5"/>
    <x v="1"/>
    <n v="2"/>
    <n v="1"/>
    <n v="2"/>
  </r>
  <r>
    <n v="42"/>
    <s v="Middle Aged"/>
    <n v="0"/>
    <s v="Travel_Frequently"/>
    <n v="532"/>
    <x v="0"/>
    <n v="29"/>
    <s v="Long Commute"/>
    <s v="College"/>
    <s v="Life Sciences"/>
    <n v="1"/>
    <s v="Female"/>
    <n v="92"/>
    <n v="3"/>
    <n v="2"/>
    <s v="Research Scientist"/>
    <s v="High"/>
    <s v="Divorced"/>
    <n v="4556"/>
    <s v="Low (&lt;5k)"/>
    <n v="12932"/>
    <n v="2"/>
    <x v="0"/>
    <n v="11"/>
    <n v="3"/>
    <n v="2"/>
    <n v="1"/>
    <n v="19"/>
    <n v="3"/>
    <s v="Better"/>
    <n v="5"/>
    <x v="1"/>
    <n v="4"/>
    <n v="0"/>
    <n v="2"/>
  </r>
  <r>
    <n v="42"/>
    <s v="Middle Aged"/>
    <n v="0"/>
    <s v="Travel_Frequently"/>
    <n v="1368"/>
    <x v="0"/>
    <n v="28"/>
    <s v="Long Commute"/>
    <s v="Master"/>
    <s v="Technical Degree"/>
    <n v="4"/>
    <s v="Female"/>
    <n v="88"/>
    <n v="2"/>
    <n v="2"/>
    <s v="Healthcare Representative"/>
    <s v="Very High"/>
    <s v="Married"/>
    <n v="4523"/>
    <s v="Low (&lt;5k)"/>
    <n v="4386"/>
    <n v="0"/>
    <x v="0"/>
    <n v="11"/>
    <n v="3"/>
    <n v="4"/>
    <n v="3"/>
    <n v="7"/>
    <n v="4"/>
    <s v="Best"/>
    <n v="6"/>
    <x v="1"/>
    <n v="5"/>
    <n v="0"/>
    <n v="4"/>
  </r>
  <r>
    <n v="42"/>
    <s v="Middle Aged"/>
    <n v="0"/>
    <s v="Travel_Frequently"/>
    <n v="1474"/>
    <x v="0"/>
    <n v="5"/>
    <s v="Near Office"/>
    <s v="College"/>
    <s v="Other"/>
    <n v="2"/>
    <s v="Male"/>
    <n v="97"/>
    <n v="3"/>
    <n v="1"/>
    <s v="Laboratory Technician"/>
    <s v="High"/>
    <s v="Married"/>
    <n v="2093"/>
    <s v="Low (&lt;5k)"/>
    <n v="9260"/>
    <n v="4"/>
    <x v="0"/>
    <n v="17"/>
    <n v="3"/>
    <n v="4"/>
    <n v="1"/>
    <n v="8"/>
    <n v="4"/>
    <s v="Better"/>
    <n v="2"/>
    <x v="0"/>
    <n v="2"/>
    <n v="2"/>
    <n v="0"/>
  </r>
  <r>
    <n v="42"/>
    <s v="Middle Aged"/>
    <n v="0"/>
    <s v="Travel_Rarely"/>
    <n v="319"/>
    <x v="0"/>
    <n v="24"/>
    <s v="Long Commute"/>
    <s v="Bachelor"/>
    <s v="Medical"/>
    <n v="4"/>
    <s v="Male"/>
    <n v="56"/>
    <n v="3"/>
    <n v="3"/>
    <s v="Manufacturing Director"/>
    <s v="Low"/>
    <s v="Married"/>
    <n v="7406"/>
    <s v="Medium (5k-10k)"/>
    <n v="6950"/>
    <n v="1"/>
    <x v="1"/>
    <n v="21"/>
    <n v="4"/>
    <n v="4"/>
    <n v="1"/>
    <n v="10"/>
    <n v="5"/>
    <s v="Good"/>
    <n v="10"/>
    <x v="2"/>
    <n v="9"/>
    <n v="5"/>
    <n v="8"/>
  </r>
  <r>
    <n v="42"/>
    <s v="Middle Aged"/>
    <n v="0"/>
    <s v="Travel_Rarely"/>
    <n v="622"/>
    <x v="0"/>
    <n v="2"/>
    <s v="Near Office"/>
    <s v="Master"/>
    <s v="Life Sciences"/>
    <n v="3"/>
    <s v="Female"/>
    <n v="81"/>
    <n v="3"/>
    <n v="2"/>
    <s v="Healthcare Representative"/>
    <s v="Very High"/>
    <s v="Married"/>
    <n v="4089"/>
    <s v="Low (&lt;5k)"/>
    <n v="5718"/>
    <n v="1"/>
    <x v="0"/>
    <n v="13"/>
    <n v="3"/>
    <n v="2"/>
    <n v="2"/>
    <n v="10"/>
    <n v="4"/>
    <s v="Better"/>
    <n v="10"/>
    <x v="2"/>
    <n v="2"/>
    <n v="2"/>
    <n v="2"/>
  </r>
  <r>
    <n v="42"/>
    <s v="Middle Aged"/>
    <n v="1"/>
    <s v="Travel_Frequently"/>
    <n v="933"/>
    <x v="0"/>
    <n v="19"/>
    <s v="Long Commute"/>
    <s v="Bachelor"/>
    <s v="Medical"/>
    <n v="3"/>
    <s v="Male"/>
    <n v="57"/>
    <n v="4"/>
    <n v="1"/>
    <s v="Research Scientist"/>
    <s v="High"/>
    <s v="Divorced"/>
    <n v="2759"/>
    <s v="Low (&lt;5k)"/>
    <n v="20366"/>
    <n v="6"/>
    <x v="1"/>
    <n v="12"/>
    <n v="3"/>
    <n v="4"/>
    <n v="0"/>
    <n v="7"/>
    <n v="2"/>
    <s v="Better"/>
    <n v="2"/>
    <x v="0"/>
    <n v="2"/>
    <n v="2"/>
    <n v="2"/>
  </r>
  <r>
    <n v="42"/>
    <s v="Middle Aged"/>
    <n v="0"/>
    <s v="Travel_Frequently"/>
    <n v="570"/>
    <x v="0"/>
    <n v="8"/>
    <s v="Moderate"/>
    <s v="Bachelor"/>
    <s v="Life Sciences"/>
    <n v="2"/>
    <s v="Male"/>
    <n v="66"/>
    <n v="3"/>
    <n v="5"/>
    <s v="Manager"/>
    <s v="Very High"/>
    <s v="Divorced"/>
    <n v="18430"/>
    <s v="High (&gt;10k)"/>
    <n v="16225"/>
    <n v="1"/>
    <x v="0"/>
    <n v="13"/>
    <n v="3"/>
    <n v="2"/>
    <n v="1"/>
    <n v="24"/>
    <n v="4"/>
    <s v="Good"/>
    <n v="24"/>
    <x v="2"/>
    <n v="7"/>
    <n v="14"/>
    <n v="9"/>
  </r>
  <r>
    <n v="42"/>
    <s v="Middle Aged"/>
    <n v="0"/>
    <s v="Travel_Rarely"/>
    <n v="932"/>
    <x v="0"/>
    <n v="1"/>
    <s v="Near Office"/>
    <s v="College"/>
    <s v="Life Sciences"/>
    <n v="4"/>
    <s v="Female"/>
    <n v="43"/>
    <n v="2"/>
    <n v="2"/>
    <s v="Manufacturing Director"/>
    <s v="Very High"/>
    <s v="Married"/>
    <n v="6062"/>
    <s v="Medium (5k-10k)"/>
    <n v="4051"/>
    <n v="9"/>
    <x v="1"/>
    <n v="13"/>
    <n v="3"/>
    <n v="4"/>
    <n v="1"/>
    <n v="8"/>
    <n v="4"/>
    <s v="Better"/>
    <n v="4"/>
    <x v="1"/>
    <n v="3"/>
    <n v="0"/>
    <n v="2"/>
  </r>
  <r>
    <n v="42"/>
    <s v="Middle Aged"/>
    <n v="0"/>
    <s v="Travel_Rarely"/>
    <n v="933"/>
    <x v="0"/>
    <n v="29"/>
    <s v="Long Commute"/>
    <s v="Bachelor"/>
    <s v="Life Sciences"/>
    <n v="2"/>
    <s v="Male"/>
    <n v="98"/>
    <n v="3"/>
    <n v="2"/>
    <s v="Manufacturing Director"/>
    <s v="Medium"/>
    <s v="Married"/>
    <n v="4434"/>
    <s v="Low (&lt;5k)"/>
    <n v="11806"/>
    <n v="1"/>
    <x v="0"/>
    <n v="13"/>
    <n v="3"/>
    <n v="4"/>
    <n v="1"/>
    <n v="10"/>
    <n v="3"/>
    <s v="Good"/>
    <n v="9"/>
    <x v="1"/>
    <n v="8"/>
    <n v="7"/>
    <n v="8"/>
  </r>
  <r>
    <n v="42"/>
    <s v="Middle Aged"/>
    <n v="0"/>
    <s v="Travel_Frequently"/>
    <n v="1271"/>
    <x v="0"/>
    <n v="2"/>
    <s v="Near Office"/>
    <s v="Below College"/>
    <s v="Medical"/>
    <n v="2"/>
    <s v="Male"/>
    <n v="35"/>
    <n v="3"/>
    <n v="1"/>
    <s v="Research Scientist"/>
    <s v="Very High"/>
    <s v="Single"/>
    <n v="2515"/>
    <s v="Low (&lt;5k)"/>
    <n v="9068"/>
    <n v="5"/>
    <x v="1"/>
    <n v="14"/>
    <n v="3"/>
    <n v="4"/>
    <n v="0"/>
    <n v="8"/>
    <n v="2"/>
    <s v="Better"/>
    <n v="2"/>
    <x v="0"/>
    <n v="1"/>
    <n v="2"/>
    <n v="2"/>
  </r>
  <r>
    <n v="42"/>
    <s v="Middle Aged"/>
    <n v="0"/>
    <s v="Travel_Rarely"/>
    <n v="1265"/>
    <x v="0"/>
    <n v="3"/>
    <s v="Near Office"/>
    <s v="Bachelor"/>
    <s v="Life Sciences"/>
    <n v="3"/>
    <s v="Female"/>
    <n v="95"/>
    <n v="4"/>
    <n v="2"/>
    <s v="Laboratory Technician"/>
    <s v="Very High"/>
    <s v="Married"/>
    <n v="5231"/>
    <s v="Medium (5k-10k)"/>
    <n v="23726"/>
    <n v="2"/>
    <x v="1"/>
    <n v="13"/>
    <n v="3"/>
    <n v="2"/>
    <n v="1"/>
    <n v="17"/>
    <n v="1"/>
    <s v="Good"/>
    <n v="5"/>
    <x v="1"/>
    <n v="3"/>
    <n v="1"/>
    <n v="3"/>
  </r>
  <r>
    <n v="42"/>
    <s v="Middle Aged"/>
    <n v="0"/>
    <s v="Travel_Rarely"/>
    <n v="462"/>
    <x v="1"/>
    <n v="14"/>
    <s v="Moderate"/>
    <s v="College"/>
    <s v="Medical"/>
    <n v="3"/>
    <s v="Female"/>
    <n v="68"/>
    <n v="2"/>
    <n v="2"/>
    <s v="Sales Executive"/>
    <s v="High"/>
    <s v="Single"/>
    <n v="6244"/>
    <s v="Medium (5k-10k)"/>
    <n v="7824"/>
    <n v="7"/>
    <x v="0"/>
    <n v="17"/>
    <n v="3"/>
    <n v="1"/>
    <n v="0"/>
    <n v="10"/>
    <n v="6"/>
    <s v="Better"/>
    <n v="5"/>
    <x v="1"/>
    <n v="4"/>
    <n v="0"/>
    <n v="3"/>
  </r>
  <r>
    <n v="42"/>
    <s v="Middle Aged"/>
    <n v="0"/>
    <s v="Travel_Rarely"/>
    <n v="265"/>
    <x v="1"/>
    <n v="5"/>
    <s v="Near Office"/>
    <s v="College"/>
    <s v="Marketing"/>
    <n v="4"/>
    <s v="Male"/>
    <n v="90"/>
    <n v="3"/>
    <n v="5"/>
    <s v="Manager"/>
    <s v="High"/>
    <s v="Married"/>
    <n v="18303"/>
    <s v="High (&gt;10k)"/>
    <n v="7770"/>
    <n v="6"/>
    <x v="0"/>
    <n v="13"/>
    <n v="3"/>
    <n v="2"/>
    <n v="0"/>
    <n v="21"/>
    <n v="3"/>
    <s v="Best"/>
    <n v="1"/>
    <x v="0"/>
    <n v="0"/>
    <n v="0"/>
    <n v="0"/>
  </r>
  <r>
    <n v="42"/>
    <s v="Middle Aged"/>
    <n v="0"/>
    <s v="Travel_Rarely"/>
    <n v="469"/>
    <x v="0"/>
    <n v="2"/>
    <s v="Near Office"/>
    <s v="College"/>
    <s v="Medical"/>
    <n v="4"/>
    <s v="Male"/>
    <n v="35"/>
    <n v="3"/>
    <n v="4"/>
    <s v="Manager"/>
    <s v="Low"/>
    <s v="Married"/>
    <n v="17665"/>
    <s v="High (&gt;10k)"/>
    <n v="14399"/>
    <n v="0"/>
    <x v="0"/>
    <n v="17"/>
    <n v="3"/>
    <n v="4"/>
    <n v="1"/>
    <n v="23"/>
    <n v="3"/>
    <s v="Better"/>
    <n v="22"/>
    <x v="2"/>
    <n v="6"/>
    <n v="13"/>
    <n v="7"/>
  </r>
  <r>
    <n v="42"/>
    <s v="Middle Aged"/>
    <n v="0"/>
    <s v="Travel_Rarely"/>
    <n v="188"/>
    <x v="0"/>
    <n v="29"/>
    <s v="Long Commute"/>
    <s v="Bachelor"/>
    <s v="Medical"/>
    <n v="2"/>
    <s v="Male"/>
    <n v="56"/>
    <n v="1"/>
    <n v="2"/>
    <s v="Laboratory Technician"/>
    <s v="Very High"/>
    <s v="Single"/>
    <n v="4272"/>
    <s v="Low (&lt;5k)"/>
    <n v="9558"/>
    <n v="4"/>
    <x v="0"/>
    <n v="19"/>
    <n v="3"/>
    <n v="1"/>
    <n v="0"/>
    <n v="16"/>
    <n v="3"/>
    <s v="Better"/>
    <n v="1"/>
    <x v="0"/>
    <n v="0"/>
    <n v="0"/>
    <n v="0"/>
  </r>
  <r>
    <n v="42"/>
    <s v="Middle Aged"/>
    <n v="1"/>
    <s v="Travel_Frequently"/>
    <n v="481"/>
    <x v="1"/>
    <n v="12"/>
    <s v="Moderate"/>
    <s v="Bachelor"/>
    <s v="Life Sciences"/>
    <n v="3"/>
    <s v="Male"/>
    <n v="44"/>
    <n v="3"/>
    <n v="4"/>
    <s v="Sales Executive"/>
    <s v="Low"/>
    <s v="Single"/>
    <n v="13758"/>
    <s v="High (&gt;10k)"/>
    <n v="2447"/>
    <n v="0"/>
    <x v="1"/>
    <n v="12"/>
    <n v="3"/>
    <n v="2"/>
    <n v="0"/>
    <n v="22"/>
    <n v="2"/>
    <s v="Good"/>
    <n v="21"/>
    <x v="2"/>
    <n v="9"/>
    <n v="13"/>
    <n v="14"/>
  </r>
  <r>
    <n v="42"/>
    <s v="Middle Aged"/>
    <n v="0"/>
    <s v="Travel_Rarely"/>
    <n v="647"/>
    <x v="1"/>
    <n v="4"/>
    <s v="Near Office"/>
    <s v="Master"/>
    <s v="Marketing"/>
    <n v="2"/>
    <s v="Male"/>
    <n v="45"/>
    <n v="3"/>
    <n v="2"/>
    <s v="Sales Executive"/>
    <s v="Low"/>
    <s v="Single"/>
    <n v="5155"/>
    <s v="Medium (5k-10k)"/>
    <n v="2253"/>
    <n v="7"/>
    <x v="0"/>
    <n v="13"/>
    <n v="3"/>
    <n v="4"/>
    <n v="0"/>
    <n v="9"/>
    <n v="3"/>
    <s v="Best"/>
    <n v="6"/>
    <x v="1"/>
    <n v="4"/>
    <n v="1"/>
    <n v="5"/>
  </r>
  <r>
    <n v="42"/>
    <s v="Middle Aged"/>
    <n v="0"/>
    <s v="Non-Travel"/>
    <n v="179"/>
    <x v="2"/>
    <n v="2"/>
    <s v="Near Office"/>
    <s v="Doctor"/>
    <s v="Medical"/>
    <n v="4"/>
    <s v="Male"/>
    <n v="79"/>
    <n v="4"/>
    <n v="2"/>
    <s v="Human Resources"/>
    <s v="Low"/>
    <s v="Married"/>
    <n v="6272"/>
    <s v="Medium (5k-10k)"/>
    <n v="12858"/>
    <n v="7"/>
    <x v="0"/>
    <n v="16"/>
    <n v="3"/>
    <n v="1"/>
    <n v="1"/>
    <n v="10"/>
    <n v="3"/>
    <s v="Best"/>
    <n v="4"/>
    <x v="1"/>
    <n v="3"/>
    <n v="0"/>
    <n v="3"/>
  </r>
  <r>
    <n v="42"/>
    <s v="Middle Aged"/>
    <n v="0"/>
    <s v="Travel_Frequently"/>
    <n v="458"/>
    <x v="0"/>
    <n v="26"/>
    <s v="Long Commute"/>
    <s v="Doctor"/>
    <s v="Medical"/>
    <n v="1"/>
    <s v="Female"/>
    <n v="60"/>
    <n v="3"/>
    <n v="3"/>
    <s v="Research Director"/>
    <s v="Low"/>
    <s v="Married"/>
    <n v="13191"/>
    <s v="High (&gt;10k)"/>
    <n v="23281"/>
    <n v="3"/>
    <x v="1"/>
    <n v="17"/>
    <n v="3"/>
    <n v="3"/>
    <n v="0"/>
    <n v="20"/>
    <n v="6"/>
    <s v="Better"/>
    <n v="1"/>
    <x v="0"/>
    <n v="0"/>
    <n v="0"/>
    <n v="0"/>
  </r>
  <r>
    <n v="42"/>
    <s v="Middle Aged"/>
    <n v="0"/>
    <s v="Travel_Rarely"/>
    <n v="603"/>
    <x v="0"/>
    <n v="7"/>
    <s v="Moderate"/>
    <s v="Master"/>
    <s v="Medical"/>
    <n v="2"/>
    <s v="Female"/>
    <n v="78"/>
    <n v="4"/>
    <n v="2"/>
    <s v="Research Scientist"/>
    <s v="Medium"/>
    <s v="Married"/>
    <n v="2372"/>
    <s v="Low (&lt;5k)"/>
    <n v="5628"/>
    <n v="6"/>
    <x v="1"/>
    <n v="16"/>
    <n v="3"/>
    <n v="4"/>
    <n v="0"/>
    <n v="18"/>
    <n v="2"/>
    <s v="Better"/>
    <n v="1"/>
    <x v="0"/>
    <n v="0"/>
    <n v="0"/>
    <n v="0"/>
  </r>
  <r>
    <n v="42"/>
    <s v="Middle Aged"/>
    <n v="0"/>
    <s v="Non-Travel"/>
    <n v="495"/>
    <x v="0"/>
    <n v="2"/>
    <s v="Near Office"/>
    <s v="Below College"/>
    <s v="Life Sciences"/>
    <n v="3"/>
    <s v="Male"/>
    <n v="37"/>
    <n v="3"/>
    <n v="4"/>
    <s v="Manager"/>
    <s v="High"/>
    <s v="Married"/>
    <n v="17861"/>
    <s v="High (&gt;10k)"/>
    <n v="26582"/>
    <n v="0"/>
    <x v="1"/>
    <n v="13"/>
    <n v="3"/>
    <n v="4"/>
    <n v="0"/>
    <n v="21"/>
    <n v="3"/>
    <s v="Good"/>
    <n v="20"/>
    <x v="2"/>
    <n v="8"/>
    <n v="2"/>
    <n v="10"/>
  </r>
  <r>
    <n v="42"/>
    <s v="Middle Aged"/>
    <n v="0"/>
    <s v="Travel_Rarely"/>
    <n v="1147"/>
    <x v="2"/>
    <n v="10"/>
    <s v="Moderate"/>
    <s v="Bachelor"/>
    <s v="Human Resources"/>
    <n v="3"/>
    <s v="Female"/>
    <n v="31"/>
    <n v="3"/>
    <n v="4"/>
    <s v="Manager"/>
    <s v="Low"/>
    <s v="Married"/>
    <n v="16799"/>
    <s v="High (&gt;10k)"/>
    <n v="16616"/>
    <n v="0"/>
    <x v="0"/>
    <n v="14"/>
    <n v="3"/>
    <n v="3"/>
    <n v="1"/>
    <n v="21"/>
    <n v="5"/>
    <s v="Better"/>
    <n v="20"/>
    <x v="2"/>
    <n v="7"/>
    <n v="0"/>
    <n v="9"/>
  </r>
  <r>
    <n v="42"/>
    <s v="Middle Aged"/>
    <n v="0"/>
    <s v="Travel_Frequently"/>
    <n v="748"/>
    <x v="0"/>
    <n v="9"/>
    <s v="Moderate"/>
    <s v="College"/>
    <s v="Medical"/>
    <n v="1"/>
    <s v="Female"/>
    <n v="74"/>
    <n v="3"/>
    <n v="1"/>
    <s v="Laboratory Technician"/>
    <s v="Very High"/>
    <s v="Single"/>
    <n v="3673"/>
    <s v="Low (&lt;5k)"/>
    <n v="16458"/>
    <n v="1"/>
    <x v="0"/>
    <n v="13"/>
    <n v="3"/>
    <n v="3"/>
    <n v="0"/>
    <n v="12"/>
    <n v="3"/>
    <s v="Better"/>
    <n v="12"/>
    <x v="2"/>
    <n v="9"/>
    <n v="5"/>
    <n v="8"/>
  </r>
  <r>
    <n v="42"/>
    <s v="Middle Aged"/>
    <n v="0"/>
    <s v="Travel_Rarely"/>
    <n v="1210"/>
    <x v="0"/>
    <n v="2"/>
    <s v="Near Office"/>
    <s v="Bachelor"/>
    <s v="Medical"/>
    <n v="3"/>
    <s v="Male"/>
    <n v="68"/>
    <n v="2"/>
    <n v="1"/>
    <s v="Laboratory Technician"/>
    <s v="Medium"/>
    <s v="Married"/>
    <n v="4841"/>
    <s v="Low (&lt;5k)"/>
    <n v="24052"/>
    <n v="4"/>
    <x v="0"/>
    <n v="14"/>
    <n v="3"/>
    <n v="2"/>
    <n v="1"/>
    <n v="4"/>
    <n v="3"/>
    <s v="Better"/>
    <n v="1"/>
    <x v="0"/>
    <n v="0"/>
    <n v="0"/>
    <n v="0"/>
  </r>
  <r>
    <n v="42"/>
    <s v="Middle Aged"/>
    <n v="0"/>
    <s v="Travel_Frequently"/>
    <n v="288"/>
    <x v="0"/>
    <n v="2"/>
    <s v="Near Office"/>
    <s v="Bachelor"/>
    <s v="Life Sciences"/>
    <n v="4"/>
    <s v="Male"/>
    <n v="40"/>
    <n v="3"/>
    <n v="3"/>
    <s v="Healthcare Representative"/>
    <s v="Very High"/>
    <s v="Married"/>
    <n v="10124"/>
    <s v="High (&gt;10k)"/>
    <n v="18611"/>
    <n v="2"/>
    <x v="1"/>
    <n v="14"/>
    <n v="3"/>
    <n v="3"/>
    <n v="1"/>
    <n v="24"/>
    <n v="3"/>
    <s v="Bad"/>
    <n v="20"/>
    <x v="2"/>
    <n v="8"/>
    <n v="13"/>
    <n v="9"/>
  </r>
  <r>
    <n v="42"/>
    <s v="Middle Aged"/>
    <n v="0"/>
    <s v="Travel_Rarely"/>
    <n v="1059"/>
    <x v="0"/>
    <n v="9"/>
    <s v="Moderate"/>
    <s v="College"/>
    <s v="Other"/>
    <n v="4"/>
    <s v="Male"/>
    <n v="93"/>
    <n v="2"/>
    <n v="5"/>
    <s v="Manager"/>
    <s v="Very High"/>
    <s v="Single"/>
    <n v="19613"/>
    <s v="High (&gt;10k)"/>
    <n v="26362"/>
    <n v="8"/>
    <x v="0"/>
    <n v="22"/>
    <n v="4"/>
    <n v="4"/>
    <n v="0"/>
    <n v="24"/>
    <n v="2"/>
    <s v="Better"/>
    <n v="1"/>
    <x v="0"/>
    <n v="0"/>
    <n v="0"/>
    <n v="1"/>
  </r>
  <r>
    <n v="42"/>
    <s v="Middle Aged"/>
    <n v="0"/>
    <s v="Travel_Rarely"/>
    <n v="855"/>
    <x v="0"/>
    <n v="12"/>
    <s v="Moderate"/>
    <s v="Bachelor"/>
    <s v="Medical"/>
    <n v="2"/>
    <s v="Male"/>
    <n v="57"/>
    <n v="3"/>
    <n v="1"/>
    <s v="Laboratory Technician"/>
    <s v="Medium"/>
    <s v="Divorced"/>
    <n v="2766"/>
    <s v="Low (&lt;5k)"/>
    <n v="8952"/>
    <n v="8"/>
    <x v="0"/>
    <n v="22"/>
    <n v="4"/>
    <n v="2"/>
    <n v="3"/>
    <n v="7"/>
    <n v="6"/>
    <s v="Good"/>
    <n v="5"/>
    <x v="1"/>
    <n v="3"/>
    <n v="0"/>
    <n v="4"/>
  </r>
  <r>
    <n v="42"/>
    <s v="Middle Aged"/>
    <n v="0"/>
    <s v="Travel_Rarely"/>
    <n v="1128"/>
    <x v="0"/>
    <n v="13"/>
    <s v="Moderate"/>
    <s v="Bachelor"/>
    <s v="Medical"/>
    <n v="2"/>
    <s v="Male"/>
    <n v="95"/>
    <n v="4"/>
    <n v="2"/>
    <s v="Healthcare Representative"/>
    <s v="Low"/>
    <s v="Married"/>
    <n v="5538"/>
    <s v="Medium (5k-10k)"/>
    <n v="5696"/>
    <n v="5"/>
    <x v="0"/>
    <n v="18"/>
    <n v="3"/>
    <n v="3"/>
    <n v="2"/>
    <n v="10"/>
    <n v="2"/>
    <s v="Good"/>
    <n v="0"/>
    <x v="0"/>
    <n v="0"/>
    <n v="0"/>
    <n v="0"/>
  </r>
  <r>
    <n v="42"/>
    <s v="Middle Aged"/>
    <n v="0"/>
    <s v="Non-Travel"/>
    <n v="355"/>
    <x v="0"/>
    <n v="10"/>
    <s v="Moderate"/>
    <s v="Master"/>
    <s v="Technical Degree"/>
    <n v="3"/>
    <s v="Male"/>
    <n v="38"/>
    <n v="3"/>
    <n v="1"/>
    <s v="Research Scientist"/>
    <s v="High"/>
    <s v="Married"/>
    <n v="2936"/>
    <s v="Low (&lt;5k)"/>
    <n v="6161"/>
    <n v="3"/>
    <x v="0"/>
    <n v="22"/>
    <n v="4"/>
    <n v="2"/>
    <n v="2"/>
    <n v="10"/>
    <n v="1"/>
    <s v="Good"/>
    <n v="6"/>
    <x v="1"/>
    <n v="3"/>
    <n v="3"/>
    <n v="3"/>
  </r>
  <r>
    <n v="42"/>
    <s v="Middle Aged"/>
    <n v="0"/>
    <s v="Travel_Rarely"/>
    <n v="1142"/>
    <x v="0"/>
    <n v="8"/>
    <s v="Moderate"/>
    <s v="Bachelor"/>
    <s v="Life Sciences"/>
    <n v="4"/>
    <s v="Male"/>
    <n v="81"/>
    <n v="3"/>
    <n v="1"/>
    <s v="Laboratory Technician"/>
    <s v="High"/>
    <s v="Single"/>
    <n v="3968"/>
    <s v="Low (&lt;5k)"/>
    <n v="13624"/>
    <n v="4"/>
    <x v="0"/>
    <n v="13"/>
    <n v="3"/>
    <n v="4"/>
    <n v="0"/>
    <n v="8"/>
    <n v="3"/>
    <s v="Better"/>
    <n v="0"/>
    <x v="0"/>
    <n v="0"/>
    <n v="0"/>
    <n v="0"/>
  </r>
  <r>
    <n v="42"/>
    <s v="Middle Aged"/>
    <n v="0"/>
    <s v="Travel_Rarely"/>
    <n v="1396"/>
    <x v="0"/>
    <n v="6"/>
    <s v="Moderate"/>
    <s v="Bachelor"/>
    <s v="Medical"/>
    <n v="3"/>
    <s v="Male"/>
    <n v="83"/>
    <n v="3"/>
    <n v="3"/>
    <s v="Research Director"/>
    <s v="Low"/>
    <s v="Married"/>
    <n v="13348"/>
    <s v="High (&gt;10k)"/>
    <n v="14842"/>
    <n v="9"/>
    <x v="0"/>
    <n v="13"/>
    <n v="3"/>
    <n v="2"/>
    <n v="1"/>
    <n v="18"/>
    <n v="3"/>
    <s v="Best"/>
    <n v="13"/>
    <x v="2"/>
    <n v="7"/>
    <n v="5"/>
    <n v="7"/>
  </r>
  <r>
    <n v="42"/>
    <s v="Middle Aged"/>
    <n v="0"/>
    <s v="Travel_Rarely"/>
    <n v="419"/>
    <x v="1"/>
    <n v="12"/>
    <s v="Moderate"/>
    <s v="Master"/>
    <s v="Marketing"/>
    <n v="2"/>
    <s v="Male"/>
    <n v="77"/>
    <n v="3"/>
    <n v="2"/>
    <s v="Sales Executive"/>
    <s v="Very High"/>
    <s v="Divorced"/>
    <n v="5087"/>
    <s v="Medium (5k-10k)"/>
    <n v="2900"/>
    <n v="3"/>
    <x v="1"/>
    <n v="12"/>
    <n v="3"/>
    <n v="3"/>
    <n v="2"/>
    <n v="14"/>
    <n v="4"/>
    <s v="Better"/>
    <n v="0"/>
    <x v="0"/>
    <n v="0"/>
    <n v="0"/>
    <n v="0"/>
  </r>
  <r>
    <n v="42"/>
    <s v="Middle Aged"/>
    <n v="0"/>
    <s v="Non-Travel"/>
    <n v="335"/>
    <x v="0"/>
    <n v="23"/>
    <s v="Long Commute"/>
    <s v="College"/>
    <s v="Life Sciences"/>
    <n v="4"/>
    <s v="Male"/>
    <n v="37"/>
    <n v="2"/>
    <n v="2"/>
    <s v="Research Scientist"/>
    <s v="High"/>
    <s v="Single"/>
    <n v="4332"/>
    <s v="Low (&lt;5k)"/>
    <n v="14811"/>
    <n v="1"/>
    <x v="0"/>
    <n v="12"/>
    <n v="3"/>
    <n v="4"/>
    <n v="0"/>
    <n v="20"/>
    <n v="2"/>
    <s v="Better"/>
    <n v="20"/>
    <x v="2"/>
    <n v="9"/>
    <n v="3"/>
    <n v="7"/>
  </r>
  <r>
    <n v="42"/>
    <s v="Middle Aged"/>
    <n v="0"/>
    <s v="Travel_Rarely"/>
    <n v="557"/>
    <x v="0"/>
    <n v="18"/>
    <s v="Long Commute"/>
    <s v="Master"/>
    <s v="Life Sciences"/>
    <n v="4"/>
    <s v="Male"/>
    <n v="35"/>
    <n v="3"/>
    <n v="2"/>
    <s v="Research Scientist"/>
    <s v="Low"/>
    <s v="Divorced"/>
    <n v="5410"/>
    <s v="Medium (5k-10k)"/>
    <n v="11189"/>
    <n v="6"/>
    <x v="1"/>
    <n v="17"/>
    <n v="3"/>
    <n v="3"/>
    <n v="1"/>
    <n v="9"/>
    <n v="3"/>
    <s v="Good"/>
    <n v="4"/>
    <x v="1"/>
    <n v="3"/>
    <n v="1"/>
    <n v="2"/>
  </r>
  <r>
    <n v="42"/>
    <s v="Middle Aged"/>
    <n v="0"/>
    <s v="Travel_Rarely"/>
    <n v="300"/>
    <x v="0"/>
    <n v="2"/>
    <s v="Near Office"/>
    <s v="Bachelor"/>
    <s v="Life Sciences"/>
    <n v="1"/>
    <s v="Male"/>
    <n v="56"/>
    <n v="3"/>
    <n v="5"/>
    <s v="Manager"/>
    <s v="High"/>
    <s v="Married"/>
    <n v="18880"/>
    <s v="High (&gt;10k)"/>
    <n v="17312"/>
    <n v="5"/>
    <x v="0"/>
    <n v="11"/>
    <n v="3"/>
    <n v="1"/>
    <n v="0"/>
    <n v="24"/>
    <n v="2"/>
    <s v="Good"/>
    <n v="22"/>
    <x v="2"/>
    <n v="6"/>
    <n v="4"/>
    <n v="14"/>
  </r>
  <r>
    <n v="43"/>
    <s v="Middle Aged"/>
    <n v="0"/>
    <s v="Travel_Rarely"/>
    <n v="1273"/>
    <x v="0"/>
    <n v="2"/>
    <s v="Near Office"/>
    <s v="College"/>
    <s v="Medical"/>
    <n v="4"/>
    <s v="Female"/>
    <n v="72"/>
    <n v="4"/>
    <n v="1"/>
    <s v="Research Scientist"/>
    <s v="High"/>
    <s v="Divorced"/>
    <n v="2645"/>
    <s v="Low (&lt;5k)"/>
    <n v="21923"/>
    <n v="1"/>
    <x v="0"/>
    <n v="12"/>
    <n v="3"/>
    <n v="4"/>
    <n v="2"/>
    <n v="6"/>
    <n v="3"/>
    <s v="Good"/>
    <n v="5"/>
    <x v="1"/>
    <n v="3"/>
    <n v="1"/>
    <n v="4"/>
  </r>
  <r>
    <n v="43"/>
    <s v="Middle Aged"/>
    <n v="0"/>
    <s v="Travel_Frequently"/>
    <n v="394"/>
    <x v="1"/>
    <n v="26"/>
    <s v="Long Commute"/>
    <s v="College"/>
    <s v="Life Sciences"/>
    <n v="3"/>
    <s v="Male"/>
    <n v="92"/>
    <n v="3"/>
    <n v="4"/>
    <s v="Manager"/>
    <s v="Very High"/>
    <s v="Married"/>
    <n v="16959"/>
    <s v="High (&gt;10k)"/>
    <n v="19494"/>
    <n v="1"/>
    <x v="1"/>
    <n v="12"/>
    <n v="3"/>
    <n v="4"/>
    <n v="2"/>
    <n v="25"/>
    <n v="3"/>
    <s v="Best"/>
    <n v="25"/>
    <x v="2"/>
    <n v="12"/>
    <n v="4"/>
    <n v="12"/>
  </r>
  <r>
    <n v="43"/>
    <s v="Middle Aged"/>
    <n v="0"/>
    <s v="Travel_Frequently"/>
    <n v="957"/>
    <x v="0"/>
    <n v="28"/>
    <s v="Long Commute"/>
    <s v="Bachelor"/>
    <s v="Medical"/>
    <n v="2"/>
    <s v="Female"/>
    <n v="72"/>
    <n v="4"/>
    <n v="1"/>
    <s v="Research Scientist"/>
    <s v="High"/>
    <s v="Single"/>
    <n v="4739"/>
    <s v="Low (&lt;5k)"/>
    <n v="16090"/>
    <n v="4"/>
    <x v="0"/>
    <n v="12"/>
    <n v="3"/>
    <n v="4"/>
    <n v="0"/>
    <n v="18"/>
    <n v="2"/>
    <s v="Better"/>
    <n v="3"/>
    <x v="1"/>
    <n v="2"/>
    <n v="1"/>
    <n v="2"/>
  </r>
  <r>
    <n v="43"/>
    <s v="Middle Aged"/>
    <n v="0"/>
    <s v="Non-Travel"/>
    <n v="1344"/>
    <x v="0"/>
    <n v="7"/>
    <s v="Moderate"/>
    <s v="Bachelor"/>
    <s v="Medical"/>
    <n v="4"/>
    <s v="Male"/>
    <n v="37"/>
    <n v="4"/>
    <n v="1"/>
    <s v="Research Scientist"/>
    <s v="Very High"/>
    <s v="Divorced"/>
    <n v="2089"/>
    <s v="Low (&lt;5k)"/>
    <n v="5228"/>
    <n v="4"/>
    <x v="0"/>
    <n v="14"/>
    <n v="3"/>
    <n v="4"/>
    <n v="3"/>
    <n v="7"/>
    <n v="3"/>
    <s v="Best"/>
    <n v="5"/>
    <x v="1"/>
    <n v="4"/>
    <n v="2"/>
    <n v="2"/>
  </r>
  <r>
    <n v="43"/>
    <s v="Middle Aged"/>
    <n v="0"/>
    <s v="Travel_Rarely"/>
    <n v="1034"/>
    <x v="1"/>
    <n v="16"/>
    <s v="Long Commute"/>
    <s v="Bachelor"/>
    <s v="Marketing"/>
    <n v="4"/>
    <s v="Female"/>
    <n v="80"/>
    <n v="3"/>
    <n v="4"/>
    <s v="Manager"/>
    <s v="Very High"/>
    <s v="Married"/>
    <n v="16064"/>
    <s v="High (&gt;10k)"/>
    <n v="7744"/>
    <n v="5"/>
    <x v="1"/>
    <n v="22"/>
    <n v="4"/>
    <n v="3"/>
    <n v="1"/>
    <n v="22"/>
    <n v="3"/>
    <s v="Better"/>
    <n v="17"/>
    <x v="2"/>
    <n v="13"/>
    <n v="1"/>
    <n v="9"/>
  </r>
  <r>
    <n v="43"/>
    <s v="Middle Aged"/>
    <n v="0"/>
    <s v="Travel_Frequently"/>
    <n v="185"/>
    <x v="0"/>
    <n v="10"/>
    <s v="Moderate"/>
    <s v="Master"/>
    <s v="Life Sciences"/>
    <n v="3"/>
    <s v="Female"/>
    <n v="33"/>
    <n v="3"/>
    <n v="1"/>
    <s v="Laboratory Technician"/>
    <s v="Very High"/>
    <s v="Single"/>
    <n v="2455"/>
    <s v="Low (&lt;5k)"/>
    <n v="10675"/>
    <n v="0"/>
    <x v="0"/>
    <n v="19"/>
    <n v="3"/>
    <n v="1"/>
    <n v="0"/>
    <n v="9"/>
    <n v="5"/>
    <s v="Better"/>
    <n v="8"/>
    <x v="1"/>
    <n v="7"/>
    <n v="1"/>
    <n v="7"/>
  </r>
  <r>
    <n v="43"/>
    <s v="Middle Aged"/>
    <n v="0"/>
    <s v="Travel_Frequently"/>
    <n v="559"/>
    <x v="0"/>
    <n v="10"/>
    <s v="Moderate"/>
    <s v="Master"/>
    <s v="Life Sciences"/>
    <n v="3"/>
    <s v="Female"/>
    <n v="82"/>
    <n v="2"/>
    <n v="2"/>
    <s v="Laboratory Technician"/>
    <s v="High"/>
    <s v="Divorced"/>
    <n v="5257"/>
    <s v="Medium (5k-10k)"/>
    <n v="6227"/>
    <n v="1"/>
    <x v="0"/>
    <n v="11"/>
    <n v="3"/>
    <n v="2"/>
    <n v="1"/>
    <n v="9"/>
    <n v="3"/>
    <s v="Best"/>
    <n v="9"/>
    <x v="1"/>
    <n v="7"/>
    <n v="0"/>
    <n v="0"/>
  </r>
  <r>
    <n v="43"/>
    <s v="Middle Aged"/>
    <n v="0"/>
    <s v="Travel_Rarely"/>
    <n v="1001"/>
    <x v="0"/>
    <n v="7"/>
    <s v="Moderate"/>
    <s v="Bachelor"/>
    <s v="Life Sciences"/>
    <n v="3"/>
    <s v="Female"/>
    <n v="43"/>
    <n v="3"/>
    <n v="3"/>
    <s v="Healthcare Representative"/>
    <s v="Low"/>
    <s v="Married"/>
    <n v="9985"/>
    <s v="Medium (5k-10k)"/>
    <n v="9262"/>
    <n v="8"/>
    <x v="0"/>
    <n v="16"/>
    <n v="3"/>
    <n v="1"/>
    <n v="1"/>
    <n v="10"/>
    <n v="1"/>
    <s v="Good"/>
    <n v="1"/>
    <x v="0"/>
    <n v="0"/>
    <n v="0"/>
    <n v="0"/>
  </r>
  <r>
    <n v="43"/>
    <s v="Middle Aged"/>
    <n v="0"/>
    <s v="Travel_Rarely"/>
    <n v="982"/>
    <x v="0"/>
    <n v="12"/>
    <s v="Moderate"/>
    <s v="Bachelor"/>
    <s v="Life Sciences"/>
    <n v="1"/>
    <s v="Male"/>
    <n v="59"/>
    <n v="2"/>
    <n v="4"/>
    <s v="Research Director"/>
    <s v="Medium"/>
    <s v="Divorced"/>
    <n v="14336"/>
    <s v="High (&gt;10k)"/>
    <n v="4345"/>
    <n v="1"/>
    <x v="0"/>
    <n v="11"/>
    <n v="3"/>
    <n v="3"/>
    <n v="1"/>
    <n v="25"/>
    <n v="3"/>
    <s v="Better"/>
    <n v="25"/>
    <x v="2"/>
    <n v="10"/>
    <n v="3"/>
    <n v="9"/>
  </r>
  <r>
    <n v="43"/>
    <s v="Middle Aged"/>
    <n v="0"/>
    <s v="Travel_Frequently"/>
    <n v="313"/>
    <x v="0"/>
    <n v="21"/>
    <s v="Long Commute"/>
    <s v="Bachelor"/>
    <s v="Medical"/>
    <n v="4"/>
    <s v="Male"/>
    <n v="61"/>
    <n v="3"/>
    <n v="1"/>
    <s v="Laboratory Technician"/>
    <s v="Very High"/>
    <s v="Married"/>
    <n v="2258"/>
    <s v="Low (&lt;5k)"/>
    <n v="15238"/>
    <n v="7"/>
    <x v="0"/>
    <n v="20"/>
    <n v="4"/>
    <n v="1"/>
    <n v="1"/>
    <n v="8"/>
    <n v="1"/>
    <s v="Better"/>
    <n v="3"/>
    <x v="1"/>
    <n v="2"/>
    <n v="1"/>
    <n v="2"/>
  </r>
  <r>
    <n v="43"/>
    <s v="Middle Aged"/>
    <n v="0"/>
    <s v="Travel_Rarely"/>
    <n v="1473"/>
    <x v="0"/>
    <n v="8"/>
    <s v="Moderate"/>
    <s v="Master"/>
    <s v="Other"/>
    <n v="3"/>
    <s v="Female"/>
    <n v="74"/>
    <n v="3"/>
    <n v="2"/>
    <s v="Healthcare Representative"/>
    <s v="High"/>
    <s v="Divorced"/>
    <n v="4522"/>
    <s v="Low (&lt;5k)"/>
    <n v="2227"/>
    <n v="4"/>
    <x v="1"/>
    <n v="14"/>
    <n v="3"/>
    <n v="4"/>
    <n v="0"/>
    <n v="8"/>
    <n v="3"/>
    <s v="Better"/>
    <n v="5"/>
    <x v="1"/>
    <n v="2"/>
    <n v="0"/>
    <n v="2"/>
  </r>
  <r>
    <n v="43"/>
    <s v="Middle Aged"/>
    <n v="0"/>
    <s v="Travel_Rarely"/>
    <n v="782"/>
    <x v="0"/>
    <n v="6"/>
    <s v="Moderate"/>
    <s v="Master"/>
    <s v="Other"/>
    <n v="2"/>
    <s v="Male"/>
    <n v="50"/>
    <n v="2"/>
    <n v="4"/>
    <s v="Research Director"/>
    <s v="Very High"/>
    <s v="Divorced"/>
    <n v="16627"/>
    <s v="High (&gt;10k)"/>
    <n v="2671"/>
    <n v="4"/>
    <x v="1"/>
    <n v="14"/>
    <n v="3"/>
    <n v="3"/>
    <n v="1"/>
    <n v="21"/>
    <n v="3"/>
    <s v="Good"/>
    <n v="1"/>
    <x v="0"/>
    <n v="0"/>
    <n v="0"/>
    <n v="0"/>
  </r>
  <r>
    <n v="43"/>
    <s v="Middle Aged"/>
    <n v="0"/>
    <s v="Travel_Frequently"/>
    <n v="1001"/>
    <x v="0"/>
    <n v="9"/>
    <s v="Moderate"/>
    <s v="Doctor"/>
    <s v="Medical"/>
    <n v="4"/>
    <s v="Male"/>
    <n v="72"/>
    <n v="3"/>
    <n v="2"/>
    <s v="Laboratory Technician"/>
    <s v="High"/>
    <s v="Divorced"/>
    <n v="5679"/>
    <s v="Medium (5k-10k)"/>
    <n v="19627"/>
    <n v="3"/>
    <x v="1"/>
    <n v="13"/>
    <n v="3"/>
    <n v="2"/>
    <n v="1"/>
    <n v="10"/>
    <n v="3"/>
    <s v="Better"/>
    <n v="8"/>
    <x v="1"/>
    <n v="7"/>
    <n v="4"/>
    <n v="7"/>
  </r>
  <r>
    <n v="43"/>
    <s v="Middle Aged"/>
    <n v="0"/>
    <s v="Travel_Frequently"/>
    <n v="775"/>
    <x v="1"/>
    <n v="15"/>
    <s v="Moderate"/>
    <s v="Bachelor"/>
    <s v="Life Sciences"/>
    <n v="4"/>
    <s v="Male"/>
    <n v="47"/>
    <n v="2"/>
    <n v="2"/>
    <s v="Sales Executive"/>
    <s v="Very High"/>
    <s v="Married"/>
    <n v="6804"/>
    <s v="Medium (5k-10k)"/>
    <n v="23683"/>
    <n v="3"/>
    <x v="0"/>
    <n v="18"/>
    <n v="3"/>
    <n v="3"/>
    <n v="1"/>
    <n v="7"/>
    <n v="5"/>
    <s v="Better"/>
    <n v="2"/>
    <x v="0"/>
    <n v="2"/>
    <n v="2"/>
    <n v="2"/>
  </r>
  <r>
    <n v="43"/>
    <s v="Middle Aged"/>
    <n v="0"/>
    <s v="Travel_Rarely"/>
    <n v="589"/>
    <x v="0"/>
    <n v="14"/>
    <s v="Moderate"/>
    <s v="College"/>
    <s v="Life Sciences"/>
    <n v="2"/>
    <s v="Male"/>
    <n v="94"/>
    <n v="3"/>
    <n v="4"/>
    <s v="Research Director"/>
    <s v="Low"/>
    <s v="Married"/>
    <n v="17159"/>
    <s v="High (&gt;10k)"/>
    <n v="5200"/>
    <n v="6"/>
    <x v="0"/>
    <n v="24"/>
    <n v="4"/>
    <n v="3"/>
    <n v="1"/>
    <n v="22"/>
    <n v="3"/>
    <s v="Better"/>
    <n v="4"/>
    <x v="1"/>
    <n v="1"/>
    <n v="1"/>
    <n v="0"/>
  </r>
  <r>
    <n v="43"/>
    <s v="Middle Aged"/>
    <n v="0"/>
    <s v="Travel_Frequently"/>
    <n v="422"/>
    <x v="0"/>
    <n v="1"/>
    <s v="Near Office"/>
    <s v="Bachelor"/>
    <s v="Life Sciences"/>
    <n v="4"/>
    <s v="Female"/>
    <n v="33"/>
    <n v="3"/>
    <n v="2"/>
    <s v="Healthcare Representative"/>
    <s v="Very High"/>
    <s v="Married"/>
    <n v="5562"/>
    <s v="Medium (5k-10k)"/>
    <n v="21782"/>
    <n v="4"/>
    <x v="0"/>
    <n v="13"/>
    <n v="3"/>
    <n v="2"/>
    <n v="1"/>
    <n v="12"/>
    <n v="2"/>
    <s v="Good"/>
    <n v="5"/>
    <x v="1"/>
    <n v="2"/>
    <n v="2"/>
    <n v="2"/>
  </r>
  <r>
    <n v="43"/>
    <s v="Middle Aged"/>
    <n v="0"/>
    <s v="Travel_Rarely"/>
    <n v="177"/>
    <x v="0"/>
    <n v="8"/>
    <s v="Moderate"/>
    <s v="Bachelor"/>
    <s v="Life Sciences"/>
    <n v="1"/>
    <s v="Female"/>
    <n v="55"/>
    <n v="3"/>
    <n v="2"/>
    <s v="Manufacturing Director"/>
    <s v="Medium"/>
    <s v="Divorced"/>
    <n v="4765"/>
    <s v="Low (&lt;5k)"/>
    <n v="23814"/>
    <n v="4"/>
    <x v="0"/>
    <n v="21"/>
    <n v="4"/>
    <n v="3"/>
    <n v="1"/>
    <n v="4"/>
    <n v="2"/>
    <s v="Best"/>
    <n v="1"/>
    <x v="0"/>
    <n v="0"/>
    <n v="0"/>
    <n v="0"/>
  </r>
  <r>
    <n v="43"/>
    <s v="Middle Aged"/>
    <n v="0"/>
    <s v="Travel_Rarely"/>
    <n v="415"/>
    <x v="1"/>
    <n v="25"/>
    <s v="Long Commute"/>
    <s v="Bachelor"/>
    <s v="Medical"/>
    <n v="3"/>
    <s v="Male"/>
    <n v="79"/>
    <n v="2"/>
    <n v="3"/>
    <s v="Sales Executive"/>
    <s v="Very High"/>
    <s v="Divorced"/>
    <n v="10798"/>
    <s v="High (&gt;10k)"/>
    <n v="5268"/>
    <n v="5"/>
    <x v="0"/>
    <n v="13"/>
    <n v="3"/>
    <n v="3"/>
    <n v="1"/>
    <n v="18"/>
    <n v="5"/>
    <s v="Better"/>
    <n v="1"/>
    <x v="0"/>
    <n v="0"/>
    <n v="0"/>
    <n v="0"/>
  </r>
  <r>
    <n v="43"/>
    <s v="Middle Aged"/>
    <n v="0"/>
    <s v="Travel_Frequently"/>
    <n v="1082"/>
    <x v="0"/>
    <n v="27"/>
    <s v="Long Commute"/>
    <s v="Bachelor"/>
    <s v="Life Sciences"/>
    <n v="3"/>
    <s v="Female"/>
    <n v="83"/>
    <n v="3"/>
    <n v="3"/>
    <s v="Manufacturing Director"/>
    <s v="Low"/>
    <s v="Married"/>
    <n v="10820"/>
    <s v="High (&gt;10k)"/>
    <n v="11535"/>
    <n v="8"/>
    <x v="0"/>
    <n v="11"/>
    <n v="3"/>
    <n v="3"/>
    <n v="1"/>
    <n v="18"/>
    <n v="1"/>
    <s v="Better"/>
    <n v="8"/>
    <x v="1"/>
    <n v="7"/>
    <n v="0"/>
    <n v="1"/>
  </r>
  <r>
    <n v="43"/>
    <s v="Middle Aged"/>
    <n v="1"/>
    <s v="Travel_Rarely"/>
    <n v="1372"/>
    <x v="1"/>
    <n v="9"/>
    <s v="Moderate"/>
    <s v="Bachelor"/>
    <s v="Marketing"/>
    <n v="1"/>
    <s v="Female"/>
    <n v="85"/>
    <n v="1"/>
    <n v="2"/>
    <s v="Sales Executive"/>
    <s v="High"/>
    <s v="Single"/>
    <n v="5346"/>
    <s v="Medium (5k-10k)"/>
    <n v="9489"/>
    <n v="8"/>
    <x v="0"/>
    <n v="13"/>
    <n v="3"/>
    <n v="2"/>
    <n v="0"/>
    <n v="7"/>
    <n v="2"/>
    <s v="Good"/>
    <n v="4"/>
    <x v="1"/>
    <n v="3"/>
    <n v="1"/>
    <n v="3"/>
  </r>
  <r>
    <n v="43"/>
    <s v="Middle Aged"/>
    <n v="0"/>
    <s v="Travel_Rarely"/>
    <n v="920"/>
    <x v="0"/>
    <n v="3"/>
    <s v="Near Office"/>
    <s v="Bachelor"/>
    <s v="Life Sciences"/>
    <n v="3"/>
    <s v="Male"/>
    <n v="96"/>
    <n v="1"/>
    <n v="5"/>
    <s v="Research Director"/>
    <s v="Very High"/>
    <s v="Married"/>
    <n v="19740"/>
    <s v="High (&gt;10k)"/>
    <n v="18625"/>
    <n v="3"/>
    <x v="0"/>
    <n v="14"/>
    <n v="3"/>
    <n v="2"/>
    <n v="1"/>
    <n v="25"/>
    <n v="2"/>
    <s v="Better"/>
    <n v="8"/>
    <x v="1"/>
    <n v="7"/>
    <n v="0"/>
    <n v="7"/>
  </r>
  <r>
    <n v="43"/>
    <s v="Middle Aged"/>
    <n v="0"/>
    <s v="Travel_Rarely"/>
    <n v="531"/>
    <x v="1"/>
    <n v="4"/>
    <s v="Near Office"/>
    <s v="Master"/>
    <s v="Marketing"/>
    <n v="4"/>
    <s v="Female"/>
    <n v="56"/>
    <n v="2"/>
    <n v="3"/>
    <s v="Sales Executive"/>
    <s v="Very High"/>
    <s v="Single"/>
    <n v="10231"/>
    <s v="High (&gt;10k)"/>
    <n v="20364"/>
    <n v="3"/>
    <x v="0"/>
    <n v="14"/>
    <n v="3"/>
    <n v="4"/>
    <n v="0"/>
    <n v="23"/>
    <n v="3"/>
    <s v="Best"/>
    <n v="21"/>
    <x v="2"/>
    <n v="7"/>
    <n v="15"/>
    <n v="17"/>
  </r>
  <r>
    <n v="43"/>
    <s v="Middle Aged"/>
    <n v="0"/>
    <s v="Travel_Rarely"/>
    <n v="930"/>
    <x v="0"/>
    <n v="6"/>
    <s v="Moderate"/>
    <s v="Bachelor"/>
    <s v="Medical"/>
    <n v="1"/>
    <s v="Female"/>
    <n v="73"/>
    <n v="2"/>
    <n v="2"/>
    <s v="Research Scientist"/>
    <s v="High"/>
    <s v="Single"/>
    <n v="4081"/>
    <s v="Low (&lt;5k)"/>
    <n v="20003"/>
    <n v="1"/>
    <x v="1"/>
    <n v="14"/>
    <n v="3"/>
    <n v="1"/>
    <n v="0"/>
    <n v="20"/>
    <n v="3"/>
    <s v="Bad"/>
    <n v="20"/>
    <x v="2"/>
    <n v="7"/>
    <n v="1"/>
    <n v="8"/>
  </r>
  <r>
    <n v="43"/>
    <s v="Middle Aged"/>
    <n v="0"/>
    <s v="Travel_Rarely"/>
    <n v="990"/>
    <x v="0"/>
    <n v="27"/>
    <s v="Long Commute"/>
    <s v="Bachelor"/>
    <s v="Technical Degree"/>
    <n v="4"/>
    <s v="Male"/>
    <n v="87"/>
    <n v="4"/>
    <n v="1"/>
    <s v="Laboratory Technician"/>
    <s v="Medium"/>
    <s v="Divorced"/>
    <n v="4876"/>
    <s v="Low (&lt;5k)"/>
    <n v="5855"/>
    <n v="5"/>
    <x v="0"/>
    <n v="12"/>
    <n v="3"/>
    <n v="3"/>
    <n v="1"/>
    <n v="8"/>
    <n v="0"/>
    <s v="Better"/>
    <n v="6"/>
    <x v="1"/>
    <n v="4"/>
    <n v="0"/>
    <n v="2"/>
  </r>
  <r>
    <n v="43"/>
    <s v="Middle Aged"/>
    <n v="0"/>
    <s v="Travel_Rarely"/>
    <n v="1291"/>
    <x v="0"/>
    <n v="15"/>
    <s v="Moderate"/>
    <s v="College"/>
    <s v="Life Sciences"/>
    <n v="3"/>
    <s v="Male"/>
    <n v="65"/>
    <n v="2"/>
    <n v="4"/>
    <s v="Research Director"/>
    <s v="High"/>
    <s v="Married"/>
    <n v="17603"/>
    <s v="High (&gt;10k)"/>
    <n v="3525"/>
    <n v="1"/>
    <x v="0"/>
    <n v="24"/>
    <n v="4"/>
    <n v="1"/>
    <n v="1"/>
    <n v="14"/>
    <n v="3"/>
    <s v="Better"/>
    <n v="14"/>
    <x v="2"/>
    <n v="10"/>
    <n v="6"/>
    <n v="11"/>
  </r>
  <r>
    <n v="43"/>
    <s v="Middle Aged"/>
    <n v="0"/>
    <s v="Travel_Rarely"/>
    <n v="1179"/>
    <x v="1"/>
    <n v="2"/>
    <s v="Near Office"/>
    <s v="Bachelor"/>
    <s v="Medical"/>
    <n v="4"/>
    <s v="Male"/>
    <n v="73"/>
    <n v="3"/>
    <n v="2"/>
    <s v="Sales Executive"/>
    <s v="Very High"/>
    <s v="Married"/>
    <n v="7847"/>
    <s v="Medium (5k-10k)"/>
    <n v="6069"/>
    <n v="1"/>
    <x v="1"/>
    <n v="17"/>
    <n v="3"/>
    <n v="1"/>
    <n v="1"/>
    <n v="10"/>
    <n v="3"/>
    <s v="Better"/>
    <n v="10"/>
    <x v="2"/>
    <n v="9"/>
    <n v="8"/>
    <n v="8"/>
  </r>
  <r>
    <n v="43"/>
    <s v="Middle Aged"/>
    <n v="1"/>
    <s v="Travel_Frequently"/>
    <n v="807"/>
    <x v="0"/>
    <n v="17"/>
    <s v="Long Commute"/>
    <s v="Bachelor"/>
    <s v="Technical Degree"/>
    <n v="3"/>
    <s v="Male"/>
    <n v="38"/>
    <n v="2"/>
    <n v="1"/>
    <s v="Research Scientist"/>
    <s v="High"/>
    <s v="Married"/>
    <n v="2437"/>
    <s v="Low (&lt;5k)"/>
    <n v="15587"/>
    <n v="9"/>
    <x v="1"/>
    <n v="16"/>
    <n v="3"/>
    <n v="4"/>
    <n v="1"/>
    <n v="6"/>
    <n v="4"/>
    <s v="Better"/>
    <n v="1"/>
    <x v="0"/>
    <n v="0"/>
    <n v="0"/>
    <n v="0"/>
  </r>
  <r>
    <n v="43"/>
    <s v="Middle Aged"/>
    <n v="0"/>
    <s v="Travel_Rarely"/>
    <n v="244"/>
    <x v="2"/>
    <n v="2"/>
    <s v="Near Office"/>
    <s v="Bachelor"/>
    <s v="Life Sciences"/>
    <n v="2"/>
    <s v="Male"/>
    <n v="97"/>
    <n v="3"/>
    <n v="1"/>
    <s v="Human Resources"/>
    <s v="Very High"/>
    <s v="Single"/>
    <n v="3539"/>
    <s v="Low (&lt;5k)"/>
    <n v="5033"/>
    <n v="0"/>
    <x v="0"/>
    <n v="13"/>
    <n v="3"/>
    <n v="2"/>
    <n v="0"/>
    <n v="10"/>
    <n v="5"/>
    <s v="Better"/>
    <n v="9"/>
    <x v="1"/>
    <n v="7"/>
    <n v="1"/>
    <n v="8"/>
  </r>
  <r>
    <n v="43"/>
    <s v="Middle Aged"/>
    <n v="0"/>
    <s v="Non-Travel"/>
    <n v="343"/>
    <x v="0"/>
    <n v="9"/>
    <s v="Moderate"/>
    <s v="Bachelor"/>
    <s v="Life Sciences"/>
    <n v="1"/>
    <s v="Male"/>
    <n v="52"/>
    <n v="3"/>
    <n v="1"/>
    <s v="Research Scientist"/>
    <s v="High"/>
    <s v="Single"/>
    <n v="2438"/>
    <s v="Low (&lt;5k)"/>
    <n v="24978"/>
    <n v="4"/>
    <x v="0"/>
    <n v="13"/>
    <n v="3"/>
    <n v="3"/>
    <n v="0"/>
    <n v="7"/>
    <n v="2"/>
    <s v="Good"/>
    <n v="3"/>
    <x v="1"/>
    <n v="2"/>
    <n v="1"/>
    <n v="2"/>
  </r>
  <r>
    <n v="43"/>
    <s v="Middle Aged"/>
    <n v="0"/>
    <s v="Travel_Frequently"/>
    <n v="1422"/>
    <x v="1"/>
    <n v="2"/>
    <s v="Near Office"/>
    <s v="Master"/>
    <s v="Life Sciences"/>
    <n v="1"/>
    <s v="Male"/>
    <n v="92"/>
    <n v="3"/>
    <n v="2"/>
    <s v="Sales Executive"/>
    <s v="Very High"/>
    <s v="Married"/>
    <n v="5675"/>
    <s v="Medium (5k-10k)"/>
    <n v="19246"/>
    <n v="1"/>
    <x v="0"/>
    <n v="20"/>
    <n v="4"/>
    <n v="3"/>
    <n v="1"/>
    <n v="7"/>
    <n v="5"/>
    <s v="Better"/>
    <n v="7"/>
    <x v="1"/>
    <n v="7"/>
    <n v="7"/>
    <n v="7"/>
  </r>
  <r>
    <n v="43"/>
    <s v="Middle Aged"/>
    <n v="0"/>
    <s v="Travel_Rarely"/>
    <n v="823"/>
    <x v="0"/>
    <n v="6"/>
    <s v="Moderate"/>
    <s v="Bachelor"/>
    <s v="Medical"/>
    <n v="1"/>
    <s v="Female"/>
    <n v="81"/>
    <n v="2"/>
    <n v="5"/>
    <s v="Manager"/>
    <s v="High"/>
    <s v="Married"/>
    <n v="19392"/>
    <s v="High (&gt;10k)"/>
    <n v="22539"/>
    <n v="7"/>
    <x v="0"/>
    <n v="13"/>
    <n v="3"/>
    <n v="4"/>
    <n v="0"/>
    <n v="21"/>
    <n v="2"/>
    <s v="Better"/>
    <n v="16"/>
    <x v="2"/>
    <n v="12"/>
    <n v="6"/>
    <n v="14"/>
  </r>
  <r>
    <n v="43"/>
    <s v="Middle Aged"/>
    <n v="0"/>
    <s v="Travel_Rarely"/>
    <n v="574"/>
    <x v="0"/>
    <n v="11"/>
    <s v="Moderate"/>
    <s v="Bachelor"/>
    <s v="Life Sciences"/>
    <n v="1"/>
    <s v="Male"/>
    <n v="30"/>
    <n v="3"/>
    <n v="3"/>
    <s v="Healthcare Representative"/>
    <s v="High"/>
    <s v="Married"/>
    <n v="7510"/>
    <s v="Medium (5k-10k)"/>
    <n v="16873"/>
    <n v="1"/>
    <x v="0"/>
    <n v="17"/>
    <n v="3"/>
    <n v="2"/>
    <n v="1"/>
    <n v="10"/>
    <n v="1"/>
    <s v="Better"/>
    <n v="10"/>
    <x v="2"/>
    <n v="9"/>
    <n v="0"/>
    <n v="9"/>
  </r>
  <r>
    <n v="44"/>
    <s v="Middle Aged"/>
    <n v="0"/>
    <s v="Travel_Rarely"/>
    <n v="477"/>
    <x v="0"/>
    <n v="7"/>
    <s v="Moderate"/>
    <s v="Master"/>
    <s v="Medical"/>
    <n v="1"/>
    <s v="Female"/>
    <n v="42"/>
    <n v="2"/>
    <n v="3"/>
    <s v="Healthcare Representative"/>
    <s v="Very High"/>
    <s v="Married"/>
    <n v="10248"/>
    <s v="High (&gt;10k)"/>
    <n v="2094"/>
    <n v="3"/>
    <x v="0"/>
    <n v="14"/>
    <n v="3"/>
    <n v="4"/>
    <n v="1"/>
    <n v="24"/>
    <n v="4"/>
    <s v="Better"/>
    <n v="22"/>
    <x v="2"/>
    <n v="6"/>
    <n v="5"/>
    <n v="17"/>
  </r>
  <r>
    <n v="44"/>
    <s v="Middle Aged"/>
    <n v="0"/>
    <s v="Travel_Rarely"/>
    <n v="1459"/>
    <x v="0"/>
    <n v="10"/>
    <s v="Moderate"/>
    <s v="Master"/>
    <s v="Other"/>
    <n v="4"/>
    <s v="Male"/>
    <n v="41"/>
    <n v="3"/>
    <n v="2"/>
    <s v="Healthcare Representative"/>
    <s v="Very High"/>
    <s v="Married"/>
    <n v="6465"/>
    <s v="Medium (5k-10k)"/>
    <n v="19121"/>
    <n v="2"/>
    <x v="1"/>
    <n v="13"/>
    <n v="3"/>
    <n v="4"/>
    <n v="0"/>
    <n v="9"/>
    <n v="5"/>
    <s v="Best"/>
    <n v="4"/>
    <x v="1"/>
    <n v="2"/>
    <n v="1"/>
    <n v="3"/>
  </r>
  <r>
    <n v="44"/>
    <s v="Middle Aged"/>
    <n v="0"/>
    <s v="Travel_Rarely"/>
    <n v="1488"/>
    <x v="1"/>
    <n v="1"/>
    <s v="Near Office"/>
    <s v="Doctor"/>
    <s v="Marketing"/>
    <n v="2"/>
    <s v="Female"/>
    <n v="75"/>
    <n v="3"/>
    <n v="2"/>
    <s v="Sales Executive"/>
    <s v="Low"/>
    <s v="Divorced"/>
    <n v="5454"/>
    <s v="Medium (5k-10k)"/>
    <n v="4009"/>
    <n v="5"/>
    <x v="1"/>
    <n v="21"/>
    <n v="4"/>
    <n v="3"/>
    <n v="1"/>
    <n v="9"/>
    <n v="2"/>
    <s v="Good"/>
    <n v="4"/>
    <x v="1"/>
    <n v="3"/>
    <n v="1"/>
    <n v="3"/>
  </r>
  <r>
    <n v="44"/>
    <s v="Middle Aged"/>
    <n v="0"/>
    <s v="Non-Travel"/>
    <n v="489"/>
    <x v="0"/>
    <n v="23"/>
    <s v="Long Commute"/>
    <s v="Bachelor"/>
    <s v="Medical"/>
    <n v="2"/>
    <s v="Male"/>
    <n v="67"/>
    <n v="3"/>
    <n v="2"/>
    <s v="Laboratory Technician"/>
    <s v="Medium"/>
    <s v="Married"/>
    <n v="2042"/>
    <s v="Low (&lt;5k)"/>
    <n v="25043"/>
    <n v="4"/>
    <x v="0"/>
    <n v="12"/>
    <n v="3"/>
    <n v="3"/>
    <n v="1"/>
    <n v="17"/>
    <n v="3"/>
    <s v="Best"/>
    <n v="3"/>
    <x v="1"/>
    <n v="2"/>
    <n v="1"/>
    <n v="2"/>
  </r>
  <r>
    <n v="44"/>
    <s v="Middle Aged"/>
    <n v="1"/>
    <s v="Travel_Frequently"/>
    <n v="920"/>
    <x v="0"/>
    <n v="24"/>
    <s v="Long Commute"/>
    <s v="Bachelor"/>
    <s v="Life Sciences"/>
    <n v="4"/>
    <s v="Male"/>
    <n v="43"/>
    <n v="3"/>
    <n v="1"/>
    <s v="Laboratory Technician"/>
    <s v="High"/>
    <s v="Divorced"/>
    <n v="3161"/>
    <s v="Low (&lt;5k)"/>
    <n v="19920"/>
    <n v="3"/>
    <x v="1"/>
    <n v="22"/>
    <n v="4"/>
    <n v="4"/>
    <n v="1"/>
    <n v="19"/>
    <n v="0"/>
    <s v="Bad"/>
    <n v="1"/>
    <x v="0"/>
    <n v="0"/>
    <n v="0"/>
    <n v="0"/>
  </r>
  <r>
    <n v="44"/>
    <s v="Middle Aged"/>
    <n v="0"/>
    <s v="Travel_Rarely"/>
    <n v="1112"/>
    <x v="2"/>
    <n v="1"/>
    <s v="Near Office"/>
    <s v="Master"/>
    <s v="Life Sciences"/>
    <n v="1"/>
    <s v="Female"/>
    <n v="50"/>
    <n v="2"/>
    <n v="2"/>
    <s v="Human Resources"/>
    <s v="High"/>
    <s v="Single"/>
    <n v="5985"/>
    <s v="Medium (5k-10k)"/>
    <n v="26894"/>
    <n v="4"/>
    <x v="0"/>
    <n v="11"/>
    <n v="3"/>
    <n v="2"/>
    <n v="0"/>
    <n v="10"/>
    <n v="1"/>
    <s v="Best"/>
    <n v="2"/>
    <x v="0"/>
    <n v="2"/>
    <n v="0"/>
    <n v="2"/>
  </r>
  <r>
    <n v="44"/>
    <s v="Middle Aged"/>
    <n v="0"/>
    <s v="Travel_Rarely"/>
    <n v="1315"/>
    <x v="0"/>
    <n v="3"/>
    <s v="Near Office"/>
    <s v="Master"/>
    <s v="Other"/>
    <n v="4"/>
    <s v="Male"/>
    <n v="35"/>
    <n v="3"/>
    <n v="5"/>
    <s v="Manager"/>
    <s v="Very High"/>
    <s v="Married"/>
    <n v="19513"/>
    <s v="High (&gt;10k)"/>
    <n v="9358"/>
    <n v="4"/>
    <x v="1"/>
    <n v="12"/>
    <n v="3"/>
    <n v="1"/>
    <n v="1"/>
    <n v="26"/>
    <n v="2"/>
    <s v="Best"/>
    <n v="2"/>
    <x v="0"/>
    <n v="2"/>
    <n v="0"/>
    <n v="1"/>
  </r>
  <r>
    <n v="44"/>
    <s v="Middle Aged"/>
    <n v="0"/>
    <s v="Non-Travel"/>
    <n v="381"/>
    <x v="0"/>
    <n v="24"/>
    <s v="Long Commute"/>
    <s v="Bachelor"/>
    <s v="Medical"/>
    <n v="1"/>
    <s v="Male"/>
    <n v="49"/>
    <n v="1"/>
    <n v="1"/>
    <s v="Laboratory Technician"/>
    <s v="High"/>
    <s v="Single"/>
    <n v="3708"/>
    <s v="Low (&lt;5k)"/>
    <n v="2104"/>
    <n v="2"/>
    <x v="0"/>
    <n v="14"/>
    <n v="3"/>
    <n v="3"/>
    <n v="0"/>
    <n v="9"/>
    <n v="5"/>
    <s v="Better"/>
    <n v="5"/>
    <x v="1"/>
    <n v="2"/>
    <n v="1"/>
    <n v="4"/>
  </r>
  <r>
    <n v="44"/>
    <s v="Middle Aged"/>
    <n v="0"/>
    <s v="Travel_Rarely"/>
    <n v="625"/>
    <x v="0"/>
    <n v="4"/>
    <s v="Near Office"/>
    <s v="Bachelor"/>
    <s v="Medical"/>
    <n v="4"/>
    <s v="Male"/>
    <n v="50"/>
    <n v="3"/>
    <n v="2"/>
    <s v="Healthcare Representative"/>
    <s v="Medium"/>
    <s v="Single"/>
    <n v="5933"/>
    <s v="Medium (5k-10k)"/>
    <n v="5197"/>
    <n v="9"/>
    <x v="0"/>
    <n v="12"/>
    <n v="3"/>
    <n v="4"/>
    <n v="0"/>
    <n v="10"/>
    <n v="2"/>
    <s v="Good"/>
    <n v="5"/>
    <x v="1"/>
    <n v="2"/>
    <n v="2"/>
    <n v="3"/>
  </r>
  <r>
    <n v="44"/>
    <s v="Middle Aged"/>
    <n v="0"/>
    <s v="Travel_Rarely"/>
    <n v="986"/>
    <x v="0"/>
    <n v="8"/>
    <s v="Moderate"/>
    <s v="Master"/>
    <s v="Life Sciences"/>
    <n v="1"/>
    <s v="Male"/>
    <n v="62"/>
    <n v="4"/>
    <n v="1"/>
    <s v="Laboratory Technician"/>
    <s v="Very High"/>
    <s v="Married"/>
    <n v="2818"/>
    <s v="Low (&lt;5k)"/>
    <n v="5044"/>
    <n v="2"/>
    <x v="1"/>
    <n v="24"/>
    <n v="4"/>
    <n v="3"/>
    <n v="1"/>
    <n v="10"/>
    <n v="2"/>
    <s v="Good"/>
    <n v="3"/>
    <x v="1"/>
    <n v="2"/>
    <n v="0"/>
    <n v="2"/>
  </r>
  <r>
    <n v="44"/>
    <s v="Middle Aged"/>
    <n v="0"/>
    <s v="Travel_Rarely"/>
    <n v="661"/>
    <x v="0"/>
    <n v="9"/>
    <s v="Moderate"/>
    <s v="College"/>
    <s v="Life Sciences"/>
    <n v="2"/>
    <s v="Male"/>
    <n v="61"/>
    <n v="3"/>
    <n v="1"/>
    <s v="Research Scientist"/>
    <s v="Low"/>
    <s v="Married"/>
    <n v="2559"/>
    <s v="Low (&lt;5k)"/>
    <n v="7508"/>
    <n v="1"/>
    <x v="1"/>
    <n v="13"/>
    <n v="3"/>
    <n v="4"/>
    <n v="0"/>
    <n v="8"/>
    <n v="0"/>
    <s v="Better"/>
    <n v="8"/>
    <x v="1"/>
    <n v="7"/>
    <n v="7"/>
    <n v="1"/>
  </r>
  <r>
    <n v="44"/>
    <s v="Middle Aged"/>
    <n v="0"/>
    <s v="Travel_Rarely"/>
    <n v="1448"/>
    <x v="1"/>
    <n v="28"/>
    <s v="Long Commute"/>
    <s v="Bachelor"/>
    <s v="Medical"/>
    <n v="4"/>
    <s v="Female"/>
    <n v="53"/>
    <n v="4"/>
    <n v="4"/>
    <s v="Sales Executive"/>
    <s v="Very High"/>
    <s v="Married"/>
    <n v="13320"/>
    <s v="High (&gt;10k)"/>
    <n v="11737"/>
    <n v="3"/>
    <x v="1"/>
    <n v="18"/>
    <n v="3"/>
    <n v="3"/>
    <n v="1"/>
    <n v="23"/>
    <n v="2"/>
    <s v="Better"/>
    <n v="12"/>
    <x v="2"/>
    <n v="11"/>
    <n v="11"/>
    <n v="11"/>
  </r>
  <r>
    <n v="44"/>
    <s v="Middle Aged"/>
    <n v="1"/>
    <s v="Travel_Rarely"/>
    <n v="1376"/>
    <x v="2"/>
    <n v="1"/>
    <s v="Near Office"/>
    <s v="College"/>
    <s v="Medical"/>
    <n v="2"/>
    <s v="Male"/>
    <n v="91"/>
    <n v="2"/>
    <n v="3"/>
    <s v="Human Resources"/>
    <s v="Low"/>
    <s v="Married"/>
    <n v="10482"/>
    <s v="High (&gt;10k)"/>
    <n v="2326"/>
    <n v="9"/>
    <x v="0"/>
    <n v="14"/>
    <n v="3"/>
    <n v="4"/>
    <n v="1"/>
    <n v="24"/>
    <n v="1"/>
    <s v="Better"/>
    <n v="20"/>
    <x v="2"/>
    <n v="6"/>
    <n v="3"/>
    <n v="6"/>
  </r>
  <r>
    <n v="44"/>
    <s v="Middle Aged"/>
    <n v="1"/>
    <s v="Travel_Rarely"/>
    <n v="1097"/>
    <x v="0"/>
    <n v="10"/>
    <s v="Moderate"/>
    <s v="Master"/>
    <s v="Life Sciences"/>
    <n v="3"/>
    <s v="Male"/>
    <n v="96"/>
    <n v="3"/>
    <n v="1"/>
    <s v="Research Scientist"/>
    <s v="High"/>
    <s v="Single"/>
    <n v="2936"/>
    <s v="Low (&lt;5k)"/>
    <n v="10826"/>
    <n v="1"/>
    <x v="1"/>
    <n v="11"/>
    <n v="3"/>
    <n v="3"/>
    <n v="0"/>
    <n v="6"/>
    <n v="4"/>
    <s v="Better"/>
    <n v="6"/>
    <x v="1"/>
    <n v="4"/>
    <n v="0"/>
    <n v="2"/>
  </r>
  <r>
    <n v="44"/>
    <s v="Middle Aged"/>
    <n v="0"/>
    <s v="Non-Travel"/>
    <n v="111"/>
    <x v="0"/>
    <n v="17"/>
    <s v="Long Commute"/>
    <s v="Bachelor"/>
    <s v="Life Sciences"/>
    <n v="4"/>
    <s v="Male"/>
    <n v="74"/>
    <n v="1"/>
    <n v="1"/>
    <s v="Research Scientist"/>
    <s v="High"/>
    <s v="Single"/>
    <n v="2290"/>
    <s v="Low (&lt;5k)"/>
    <n v="4279"/>
    <n v="2"/>
    <x v="0"/>
    <n v="13"/>
    <n v="3"/>
    <n v="4"/>
    <n v="0"/>
    <n v="6"/>
    <n v="3"/>
    <s v="Better"/>
    <n v="0"/>
    <x v="0"/>
    <n v="0"/>
    <n v="0"/>
    <n v="0"/>
  </r>
  <r>
    <n v="44"/>
    <s v="Middle Aged"/>
    <n v="0"/>
    <s v="Travel_Rarely"/>
    <n v="200"/>
    <x v="0"/>
    <n v="29"/>
    <s v="Long Commute"/>
    <s v="Master"/>
    <s v="Other"/>
    <n v="4"/>
    <s v="Male"/>
    <n v="32"/>
    <n v="3"/>
    <n v="2"/>
    <s v="Research Scientist"/>
    <s v="Very High"/>
    <s v="Single"/>
    <n v="4541"/>
    <s v="Low (&lt;5k)"/>
    <n v="7744"/>
    <n v="1"/>
    <x v="0"/>
    <n v="25"/>
    <n v="4"/>
    <n v="2"/>
    <n v="0"/>
    <n v="20"/>
    <n v="3"/>
    <s v="Better"/>
    <n v="20"/>
    <x v="2"/>
    <n v="11"/>
    <n v="13"/>
    <n v="17"/>
  </r>
  <r>
    <n v="44"/>
    <s v="Middle Aged"/>
    <n v="0"/>
    <s v="Travel_Rarely"/>
    <n v="1117"/>
    <x v="0"/>
    <n v="2"/>
    <s v="Near Office"/>
    <s v="Below College"/>
    <s v="Life Sciences"/>
    <n v="1"/>
    <s v="Female"/>
    <n v="72"/>
    <n v="4"/>
    <n v="1"/>
    <s v="Research Scientist"/>
    <s v="Very High"/>
    <s v="Married"/>
    <n v="2011"/>
    <s v="Low (&lt;5k)"/>
    <n v="19982"/>
    <n v="1"/>
    <x v="0"/>
    <n v="13"/>
    <n v="3"/>
    <n v="4"/>
    <n v="1"/>
    <n v="10"/>
    <n v="5"/>
    <s v="Better"/>
    <n v="10"/>
    <x v="2"/>
    <n v="5"/>
    <n v="7"/>
    <n v="7"/>
  </r>
  <r>
    <n v="44"/>
    <s v="Middle Aged"/>
    <n v="0"/>
    <s v="Travel_Rarely"/>
    <n v="1099"/>
    <x v="1"/>
    <n v="5"/>
    <s v="Near Office"/>
    <s v="Bachelor"/>
    <s v="Marketing"/>
    <n v="2"/>
    <s v="Male"/>
    <n v="88"/>
    <n v="3"/>
    <n v="5"/>
    <s v="Manager"/>
    <s v="Medium"/>
    <s v="Married"/>
    <n v="18213"/>
    <s v="High (&gt;10k)"/>
    <n v="8751"/>
    <n v="7"/>
    <x v="0"/>
    <n v="11"/>
    <n v="3"/>
    <n v="3"/>
    <n v="1"/>
    <n v="26"/>
    <n v="5"/>
    <s v="Better"/>
    <n v="22"/>
    <x v="2"/>
    <n v="9"/>
    <n v="3"/>
    <n v="10"/>
  </r>
  <r>
    <n v="44"/>
    <s v="Middle Aged"/>
    <n v="0"/>
    <s v="Travel_Rarely"/>
    <n v="1199"/>
    <x v="0"/>
    <n v="4"/>
    <s v="Near Office"/>
    <s v="College"/>
    <s v="Life Sciences"/>
    <n v="3"/>
    <s v="Male"/>
    <n v="92"/>
    <n v="4"/>
    <n v="5"/>
    <s v="Manager"/>
    <s v="Low"/>
    <s v="Divorced"/>
    <n v="19190"/>
    <s v="High (&gt;10k)"/>
    <n v="17477"/>
    <n v="1"/>
    <x v="0"/>
    <n v="14"/>
    <n v="3"/>
    <n v="4"/>
    <n v="2"/>
    <n v="26"/>
    <n v="4"/>
    <s v="Good"/>
    <n v="25"/>
    <x v="2"/>
    <n v="9"/>
    <n v="14"/>
    <n v="13"/>
  </r>
  <r>
    <n v="44"/>
    <s v="Middle Aged"/>
    <n v="1"/>
    <s v="Travel_Rarely"/>
    <n v="621"/>
    <x v="0"/>
    <n v="15"/>
    <s v="Moderate"/>
    <s v="Bachelor"/>
    <s v="Medical"/>
    <n v="1"/>
    <s v="Female"/>
    <n v="73"/>
    <n v="3"/>
    <n v="3"/>
    <s v="Healthcare Representative"/>
    <s v="Very High"/>
    <s v="Married"/>
    <n v="7978"/>
    <s v="Medium (5k-10k)"/>
    <n v="14075"/>
    <n v="1"/>
    <x v="0"/>
    <n v="11"/>
    <n v="3"/>
    <n v="4"/>
    <n v="1"/>
    <n v="10"/>
    <n v="2"/>
    <s v="Better"/>
    <n v="10"/>
    <x v="2"/>
    <n v="7"/>
    <n v="0"/>
    <n v="5"/>
  </r>
  <r>
    <n v="44"/>
    <s v="Middle Aged"/>
    <n v="1"/>
    <s v="Travel_Rarely"/>
    <n v="935"/>
    <x v="0"/>
    <n v="3"/>
    <s v="Near Office"/>
    <s v="Bachelor"/>
    <s v="Life Sciences"/>
    <n v="1"/>
    <s v="Male"/>
    <n v="89"/>
    <n v="3"/>
    <n v="1"/>
    <s v="Laboratory Technician"/>
    <s v="Low"/>
    <s v="Married"/>
    <n v="2362"/>
    <s v="Low (&lt;5k)"/>
    <n v="14669"/>
    <n v="4"/>
    <x v="0"/>
    <n v="12"/>
    <n v="3"/>
    <n v="3"/>
    <n v="0"/>
    <n v="10"/>
    <n v="4"/>
    <s v="Best"/>
    <n v="3"/>
    <x v="1"/>
    <n v="2"/>
    <n v="1"/>
    <n v="2"/>
  </r>
  <r>
    <n v="44"/>
    <s v="Middle Aged"/>
    <n v="0"/>
    <s v="Non-Travel"/>
    <n v="981"/>
    <x v="0"/>
    <n v="5"/>
    <s v="Near Office"/>
    <s v="Bachelor"/>
    <s v="Life Sciences"/>
    <n v="3"/>
    <s v="Male"/>
    <n v="90"/>
    <n v="2"/>
    <n v="1"/>
    <s v="Laboratory Technician"/>
    <s v="High"/>
    <s v="Single"/>
    <n v="3162"/>
    <s v="Low (&lt;5k)"/>
    <n v="7973"/>
    <n v="3"/>
    <x v="0"/>
    <n v="14"/>
    <n v="3"/>
    <n v="4"/>
    <n v="0"/>
    <n v="7"/>
    <n v="5"/>
    <s v="Better"/>
    <n v="5"/>
    <x v="1"/>
    <n v="2"/>
    <n v="0"/>
    <n v="3"/>
  </r>
  <r>
    <n v="44"/>
    <s v="Middle Aged"/>
    <n v="0"/>
    <s v="Travel_Rarely"/>
    <n v="1467"/>
    <x v="0"/>
    <n v="20"/>
    <s v="Long Commute"/>
    <s v="Bachelor"/>
    <s v="Life Sciences"/>
    <n v="4"/>
    <s v="Male"/>
    <n v="49"/>
    <n v="3"/>
    <n v="1"/>
    <s v="Research Scientist"/>
    <s v="Medium"/>
    <s v="Single"/>
    <n v="3420"/>
    <s v="Low (&lt;5k)"/>
    <n v="21158"/>
    <n v="1"/>
    <x v="0"/>
    <n v="13"/>
    <n v="3"/>
    <n v="3"/>
    <n v="0"/>
    <n v="6"/>
    <n v="3"/>
    <s v="Good"/>
    <n v="5"/>
    <x v="1"/>
    <n v="2"/>
    <n v="1"/>
    <n v="3"/>
  </r>
  <r>
    <n v="44"/>
    <s v="Middle Aged"/>
    <n v="0"/>
    <s v="Travel_Frequently"/>
    <n v="383"/>
    <x v="1"/>
    <n v="1"/>
    <s v="Near Office"/>
    <s v="Doctor"/>
    <s v="Marketing"/>
    <n v="1"/>
    <s v="Female"/>
    <n v="79"/>
    <n v="3"/>
    <n v="2"/>
    <s v="Sales Executive"/>
    <s v="High"/>
    <s v="Married"/>
    <n v="4768"/>
    <s v="Low (&lt;5k)"/>
    <n v="9282"/>
    <n v="7"/>
    <x v="0"/>
    <n v="12"/>
    <n v="3"/>
    <n v="3"/>
    <n v="1"/>
    <n v="11"/>
    <n v="4"/>
    <s v="Good"/>
    <n v="1"/>
    <x v="0"/>
    <n v="0"/>
    <n v="0"/>
    <n v="0"/>
  </r>
  <r>
    <n v="44"/>
    <s v="Middle Aged"/>
    <n v="0"/>
    <s v="Travel_Frequently"/>
    <n v="1193"/>
    <x v="0"/>
    <n v="2"/>
    <s v="Near Office"/>
    <s v="Below College"/>
    <s v="Medical"/>
    <n v="2"/>
    <s v="Male"/>
    <n v="86"/>
    <n v="3"/>
    <n v="3"/>
    <s v="Manufacturing Director"/>
    <s v="High"/>
    <s v="Single"/>
    <n v="10209"/>
    <s v="High (&gt;10k)"/>
    <n v="19719"/>
    <n v="5"/>
    <x v="1"/>
    <n v="18"/>
    <n v="3"/>
    <n v="2"/>
    <n v="0"/>
    <n v="16"/>
    <n v="2"/>
    <s v="Good"/>
    <n v="2"/>
    <x v="0"/>
    <n v="2"/>
    <n v="2"/>
    <n v="2"/>
  </r>
  <r>
    <n v="44"/>
    <s v="Middle Aged"/>
    <n v="0"/>
    <s v="Travel_Rarely"/>
    <n v="136"/>
    <x v="0"/>
    <n v="28"/>
    <s v="Long Commute"/>
    <s v="Bachelor"/>
    <s v="Life Sciences"/>
    <n v="4"/>
    <s v="Male"/>
    <n v="32"/>
    <n v="3"/>
    <n v="4"/>
    <s v="Research Director"/>
    <s v="Low"/>
    <s v="Married"/>
    <n v="16328"/>
    <s v="High (&gt;10k)"/>
    <n v="22074"/>
    <n v="3"/>
    <x v="0"/>
    <n v="13"/>
    <n v="3"/>
    <n v="3"/>
    <n v="1"/>
    <n v="24"/>
    <n v="1"/>
    <s v="Best"/>
    <n v="20"/>
    <x v="2"/>
    <n v="6"/>
    <n v="14"/>
    <n v="17"/>
  </r>
  <r>
    <n v="44"/>
    <s v="Middle Aged"/>
    <n v="0"/>
    <s v="Travel_Rarely"/>
    <n v="1313"/>
    <x v="0"/>
    <n v="7"/>
    <s v="Moderate"/>
    <s v="Bachelor"/>
    <s v="Medical"/>
    <n v="2"/>
    <s v="Female"/>
    <n v="31"/>
    <n v="3"/>
    <n v="5"/>
    <s v="Research Director"/>
    <s v="Very High"/>
    <s v="Divorced"/>
    <n v="19049"/>
    <s v="High (&gt;10k)"/>
    <n v="3549"/>
    <n v="0"/>
    <x v="1"/>
    <n v="14"/>
    <n v="3"/>
    <n v="4"/>
    <n v="1"/>
    <n v="23"/>
    <n v="4"/>
    <s v="Good"/>
    <n v="22"/>
    <x v="2"/>
    <n v="7"/>
    <n v="1"/>
    <n v="10"/>
  </r>
  <r>
    <n v="44"/>
    <s v="Middle Aged"/>
    <n v="0"/>
    <s v="Travel_Frequently"/>
    <n v="602"/>
    <x v="2"/>
    <n v="1"/>
    <s v="Near Office"/>
    <s v="Doctor"/>
    <s v="Human Resources"/>
    <n v="1"/>
    <s v="Male"/>
    <n v="37"/>
    <n v="3"/>
    <n v="2"/>
    <s v="Human Resources"/>
    <s v="Very High"/>
    <s v="Married"/>
    <n v="5743"/>
    <s v="Medium (5k-10k)"/>
    <n v="10503"/>
    <n v="4"/>
    <x v="1"/>
    <n v="11"/>
    <n v="3"/>
    <n v="3"/>
    <n v="0"/>
    <n v="14"/>
    <n v="3"/>
    <s v="Better"/>
    <n v="10"/>
    <x v="2"/>
    <n v="7"/>
    <n v="0"/>
    <n v="2"/>
  </r>
  <r>
    <n v="44"/>
    <s v="Middle Aged"/>
    <n v="0"/>
    <s v="Travel_Rarely"/>
    <n v="528"/>
    <x v="2"/>
    <n v="1"/>
    <s v="Near Office"/>
    <s v="Bachelor"/>
    <s v="Life Sciences"/>
    <n v="3"/>
    <s v="Female"/>
    <n v="44"/>
    <n v="3"/>
    <n v="1"/>
    <s v="Human Resources"/>
    <s v="Very High"/>
    <s v="Divorced"/>
    <n v="3195"/>
    <s v="Low (&lt;5k)"/>
    <n v="4167"/>
    <n v="4"/>
    <x v="1"/>
    <n v="18"/>
    <n v="3"/>
    <n v="1"/>
    <n v="3"/>
    <n v="8"/>
    <n v="2"/>
    <s v="Better"/>
    <n v="2"/>
    <x v="0"/>
    <n v="2"/>
    <n v="2"/>
    <n v="2"/>
  </r>
  <r>
    <n v="44"/>
    <s v="Middle Aged"/>
    <n v="0"/>
    <s v="Travel_Rarely"/>
    <n v="921"/>
    <x v="0"/>
    <n v="2"/>
    <s v="Near Office"/>
    <s v="Bachelor"/>
    <s v="Life Sciences"/>
    <n v="3"/>
    <s v="Female"/>
    <n v="96"/>
    <n v="4"/>
    <n v="3"/>
    <s v="Healthcare Representative"/>
    <s v="Very High"/>
    <s v="Married"/>
    <n v="7879"/>
    <s v="Medium (5k-10k)"/>
    <n v="14810"/>
    <n v="1"/>
    <x v="1"/>
    <n v="19"/>
    <n v="3"/>
    <n v="2"/>
    <n v="1"/>
    <n v="9"/>
    <n v="2"/>
    <s v="Better"/>
    <n v="8"/>
    <x v="1"/>
    <n v="7"/>
    <n v="6"/>
    <n v="7"/>
  </r>
  <r>
    <n v="44"/>
    <s v="Middle Aged"/>
    <n v="1"/>
    <s v="Travel_Frequently"/>
    <n v="429"/>
    <x v="0"/>
    <n v="1"/>
    <s v="Near Office"/>
    <s v="College"/>
    <s v="Medical"/>
    <n v="3"/>
    <s v="Male"/>
    <n v="99"/>
    <n v="3"/>
    <n v="1"/>
    <s v="Research Scientist"/>
    <s v="Medium"/>
    <s v="Divorced"/>
    <n v="2342"/>
    <s v="Low (&lt;5k)"/>
    <n v="11092"/>
    <n v="1"/>
    <x v="1"/>
    <n v="12"/>
    <n v="3"/>
    <n v="3"/>
    <n v="3"/>
    <n v="6"/>
    <n v="2"/>
    <s v="Good"/>
    <n v="5"/>
    <x v="1"/>
    <n v="3"/>
    <n v="2"/>
    <n v="3"/>
  </r>
  <r>
    <n v="44"/>
    <s v="Middle Aged"/>
    <n v="0"/>
    <s v="Travel_Rarely"/>
    <n v="170"/>
    <x v="0"/>
    <n v="1"/>
    <s v="Near Office"/>
    <s v="Master"/>
    <s v="Life Sciences"/>
    <n v="2"/>
    <s v="Male"/>
    <n v="78"/>
    <n v="4"/>
    <n v="2"/>
    <s v="Healthcare Representative"/>
    <s v="Low"/>
    <s v="Married"/>
    <n v="5033"/>
    <s v="Medium (5k-10k)"/>
    <n v="9364"/>
    <n v="2"/>
    <x v="0"/>
    <n v="15"/>
    <n v="3"/>
    <n v="4"/>
    <n v="1"/>
    <n v="10"/>
    <n v="5"/>
    <s v="Better"/>
    <n v="2"/>
    <x v="0"/>
    <n v="0"/>
    <n v="2"/>
    <n v="2"/>
  </r>
  <r>
    <n v="44"/>
    <s v="Middle Aged"/>
    <n v="0"/>
    <s v="Travel_Rarely"/>
    <n v="1037"/>
    <x v="0"/>
    <n v="1"/>
    <s v="Near Office"/>
    <s v="Bachelor"/>
    <s v="Medical"/>
    <n v="2"/>
    <s v="Male"/>
    <n v="42"/>
    <n v="3"/>
    <n v="1"/>
    <s v="Research Scientist"/>
    <s v="Very High"/>
    <s v="Single"/>
    <n v="2436"/>
    <s v="Low (&lt;5k)"/>
    <n v="13422"/>
    <n v="6"/>
    <x v="1"/>
    <n v="12"/>
    <n v="3"/>
    <n v="3"/>
    <n v="0"/>
    <n v="6"/>
    <n v="2"/>
    <s v="Better"/>
    <n v="4"/>
    <x v="1"/>
    <n v="3"/>
    <n v="1"/>
    <n v="2"/>
  </r>
  <r>
    <n v="45"/>
    <s v="Middle Aged"/>
    <n v="0"/>
    <s v="Travel_Rarely"/>
    <n v="1339"/>
    <x v="0"/>
    <n v="7"/>
    <s v="Moderate"/>
    <s v="Bachelor"/>
    <s v="Life Sciences"/>
    <n v="2"/>
    <s v="Male"/>
    <n v="59"/>
    <n v="3"/>
    <n v="3"/>
    <s v="Research Scientist"/>
    <s v="Low"/>
    <s v="Divorced"/>
    <n v="9724"/>
    <s v="Medium (5k-10k)"/>
    <n v="18787"/>
    <n v="2"/>
    <x v="0"/>
    <n v="17"/>
    <n v="3"/>
    <n v="3"/>
    <n v="1"/>
    <n v="25"/>
    <n v="2"/>
    <s v="Better"/>
    <n v="1"/>
    <x v="0"/>
    <n v="0"/>
    <n v="0"/>
    <n v="0"/>
  </r>
  <r>
    <n v="45"/>
    <s v="Middle Aged"/>
    <n v="0"/>
    <s v="Travel_Rarely"/>
    <n v="193"/>
    <x v="0"/>
    <n v="6"/>
    <s v="Moderate"/>
    <s v="Master"/>
    <s v="Other"/>
    <n v="4"/>
    <s v="Male"/>
    <n v="52"/>
    <n v="3"/>
    <n v="3"/>
    <s v="Research Director"/>
    <s v="Low"/>
    <s v="Married"/>
    <n v="13245"/>
    <s v="High (&gt;10k)"/>
    <n v="15067"/>
    <n v="4"/>
    <x v="1"/>
    <n v="14"/>
    <n v="3"/>
    <n v="2"/>
    <n v="0"/>
    <n v="17"/>
    <n v="3"/>
    <s v="Best"/>
    <n v="0"/>
    <x v="0"/>
    <n v="0"/>
    <n v="0"/>
    <n v="0"/>
  </r>
  <r>
    <n v="45"/>
    <s v="Middle Aged"/>
    <n v="0"/>
    <s v="Travel_Rarely"/>
    <n v="1316"/>
    <x v="0"/>
    <n v="29"/>
    <s v="Long Commute"/>
    <s v="Bachelor"/>
    <s v="Medical"/>
    <n v="3"/>
    <s v="Male"/>
    <n v="83"/>
    <n v="3"/>
    <n v="1"/>
    <s v="Research Scientist"/>
    <s v="Very High"/>
    <s v="Single"/>
    <n v="3452"/>
    <s v="Low (&lt;5k)"/>
    <n v="9752"/>
    <n v="5"/>
    <x v="0"/>
    <n v="13"/>
    <n v="3"/>
    <n v="2"/>
    <n v="0"/>
    <n v="9"/>
    <n v="2"/>
    <s v="Good"/>
    <n v="6"/>
    <x v="1"/>
    <n v="5"/>
    <n v="0"/>
    <n v="3"/>
  </r>
  <r>
    <n v="45"/>
    <s v="Middle Aged"/>
    <n v="0"/>
    <s v="Travel_Rarely"/>
    <n v="194"/>
    <x v="0"/>
    <n v="9"/>
    <s v="Moderate"/>
    <s v="Bachelor"/>
    <s v="Life Sciences"/>
    <n v="2"/>
    <s v="Male"/>
    <n v="60"/>
    <n v="3"/>
    <n v="2"/>
    <s v="Laboratory Technician"/>
    <s v="Medium"/>
    <s v="Divorced"/>
    <n v="2348"/>
    <s v="Low (&lt;5k)"/>
    <n v="10901"/>
    <n v="8"/>
    <x v="0"/>
    <n v="18"/>
    <n v="3"/>
    <n v="3"/>
    <n v="1"/>
    <n v="20"/>
    <n v="2"/>
    <s v="Bad"/>
    <n v="17"/>
    <x v="2"/>
    <n v="9"/>
    <n v="0"/>
    <n v="15"/>
  </r>
  <r>
    <n v="45"/>
    <s v="Middle Aged"/>
    <n v="0"/>
    <s v="Travel_Rarely"/>
    <n v="1268"/>
    <x v="1"/>
    <n v="4"/>
    <s v="Near Office"/>
    <s v="College"/>
    <s v="Life Sciences"/>
    <n v="3"/>
    <s v="Female"/>
    <n v="30"/>
    <n v="3"/>
    <n v="2"/>
    <s v="Sales Executive"/>
    <s v="Low"/>
    <s v="Divorced"/>
    <n v="5006"/>
    <s v="Medium (5k-10k)"/>
    <n v="6319"/>
    <n v="4"/>
    <x v="1"/>
    <n v="11"/>
    <n v="3"/>
    <n v="1"/>
    <n v="1"/>
    <n v="9"/>
    <n v="3"/>
    <s v="Best"/>
    <n v="5"/>
    <x v="1"/>
    <n v="4"/>
    <n v="0"/>
    <n v="3"/>
  </r>
  <r>
    <n v="45"/>
    <s v="Middle Aged"/>
    <n v="0"/>
    <s v="Non-Travel"/>
    <n v="1195"/>
    <x v="0"/>
    <n v="2"/>
    <s v="Near Office"/>
    <s v="College"/>
    <s v="Medical"/>
    <n v="1"/>
    <s v="Male"/>
    <n v="65"/>
    <n v="2"/>
    <n v="4"/>
    <s v="Manager"/>
    <s v="Very High"/>
    <s v="Married"/>
    <n v="16792"/>
    <s v="High (&gt;10k)"/>
    <n v="20462"/>
    <n v="9"/>
    <x v="0"/>
    <n v="23"/>
    <n v="4"/>
    <n v="4"/>
    <n v="1"/>
    <n v="22"/>
    <n v="1"/>
    <s v="Better"/>
    <n v="20"/>
    <x v="2"/>
    <n v="8"/>
    <n v="11"/>
    <n v="8"/>
  </r>
  <r>
    <n v="45"/>
    <s v="Middle Aged"/>
    <n v="0"/>
    <s v="Non-Travel"/>
    <n v="1052"/>
    <x v="1"/>
    <n v="6"/>
    <s v="Moderate"/>
    <s v="Bachelor"/>
    <s v="Medical"/>
    <n v="4"/>
    <s v="Female"/>
    <n v="57"/>
    <n v="2"/>
    <n v="3"/>
    <s v="Sales Executive"/>
    <s v="Very High"/>
    <s v="Single"/>
    <n v="8865"/>
    <s v="Medium (5k-10k)"/>
    <n v="16840"/>
    <n v="6"/>
    <x v="0"/>
    <n v="12"/>
    <n v="3"/>
    <n v="4"/>
    <n v="0"/>
    <n v="23"/>
    <n v="2"/>
    <s v="Better"/>
    <n v="19"/>
    <x v="2"/>
    <n v="7"/>
    <n v="12"/>
    <n v="8"/>
  </r>
  <r>
    <n v="45"/>
    <s v="Middle Aged"/>
    <n v="0"/>
    <s v="Travel_Rarely"/>
    <n v="252"/>
    <x v="0"/>
    <n v="1"/>
    <s v="Near Office"/>
    <s v="Bachelor"/>
    <s v="Other"/>
    <n v="3"/>
    <s v="Male"/>
    <n v="70"/>
    <n v="4"/>
    <n v="5"/>
    <s v="Manager"/>
    <s v="Very High"/>
    <s v="Married"/>
    <n v="19202"/>
    <s v="High (&gt;10k)"/>
    <n v="15970"/>
    <n v="0"/>
    <x v="0"/>
    <n v="11"/>
    <n v="3"/>
    <n v="3"/>
    <n v="1"/>
    <n v="25"/>
    <n v="2"/>
    <s v="Better"/>
    <n v="24"/>
    <x v="2"/>
    <n v="0"/>
    <n v="1"/>
    <n v="7"/>
  </r>
  <r>
    <n v="45"/>
    <s v="Middle Aged"/>
    <n v="0"/>
    <s v="Travel_Frequently"/>
    <n v="1199"/>
    <x v="0"/>
    <n v="7"/>
    <s v="Moderate"/>
    <s v="Master"/>
    <s v="Life Sciences"/>
    <n v="1"/>
    <s v="Male"/>
    <n v="77"/>
    <n v="4"/>
    <n v="2"/>
    <s v="Manufacturing Director"/>
    <s v="High"/>
    <s v="Married"/>
    <n v="6434"/>
    <s v="Medium (5k-10k)"/>
    <n v="5118"/>
    <n v="4"/>
    <x v="0"/>
    <n v="17"/>
    <n v="3"/>
    <n v="4"/>
    <n v="1"/>
    <n v="9"/>
    <n v="1"/>
    <s v="Better"/>
    <n v="3"/>
    <x v="1"/>
    <n v="2"/>
    <n v="0"/>
    <n v="2"/>
  </r>
  <r>
    <n v="45"/>
    <s v="Middle Aged"/>
    <n v="0"/>
    <s v="Travel_Rarely"/>
    <n v="1385"/>
    <x v="0"/>
    <n v="20"/>
    <s v="Long Commute"/>
    <s v="College"/>
    <s v="Medical"/>
    <n v="3"/>
    <s v="Male"/>
    <n v="79"/>
    <n v="3"/>
    <n v="4"/>
    <s v="Healthcare Representative"/>
    <s v="Very High"/>
    <s v="Married"/>
    <n v="13496"/>
    <s v="High (&gt;10k)"/>
    <n v="7501"/>
    <n v="0"/>
    <x v="1"/>
    <n v="14"/>
    <n v="3"/>
    <n v="2"/>
    <n v="0"/>
    <n v="21"/>
    <n v="2"/>
    <s v="Better"/>
    <n v="20"/>
    <x v="2"/>
    <n v="7"/>
    <n v="4"/>
    <n v="10"/>
  </r>
  <r>
    <n v="45"/>
    <s v="Middle Aged"/>
    <n v="0"/>
    <s v="Travel_Frequently"/>
    <n v="1249"/>
    <x v="0"/>
    <n v="7"/>
    <s v="Moderate"/>
    <s v="Bachelor"/>
    <s v="Life Sciences"/>
    <n v="1"/>
    <s v="Male"/>
    <n v="97"/>
    <n v="3"/>
    <n v="3"/>
    <s v="Laboratory Technician"/>
    <s v="Low"/>
    <s v="Divorced"/>
    <n v="5210"/>
    <s v="Medium (5k-10k)"/>
    <n v="20308"/>
    <n v="1"/>
    <x v="0"/>
    <n v="18"/>
    <n v="3"/>
    <n v="1"/>
    <n v="1"/>
    <n v="24"/>
    <n v="2"/>
    <s v="Better"/>
    <n v="24"/>
    <x v="2"/>
    <n v="9"/>
    <n v="9"/>
    <n v="11"/>
  </r>
  <r>
    <n v="45"/>
    <s v="Middle Aged"/>
    <n v="0"/>
    <s v="Travel_Rarely"/>
    <n v="549"/>
    <x v="0"/>
    <n v="8"/>
    <s v="Moderate"/>
    <s v="Master"/>
    <s v="Other"/>
    <n v="4"/>
    <s v="Male"/>
    <n v="75"/>
    <n v="3"/>
    <n v="2"/>
    <s v="Research Scientist"/>
    <s v="Very High"/>
    <s v="Married"/>
    <n v="3697"/>
    <s v="Low (&lt;5k)"/>
    <n v="9278"/>
    <n v="9"/>
    <x v="0"/>
    <n v="14"/>
    <n v="3"/>
    <n v="1"/>
    <n v="2"/>
    <n v="12"/>
    <n v="3"/>
    <s v="Better"/>
    <n v="10"/>
    <x v="2"/>
    <n v="9"/>
    <n v="9"/>
    <n v="8"/>
  </r>
  <r>
    <n v="45"/>
    <s v="Middle Aged"/>
    <n v="0"/>
    <s v="Travel_Rarely"/>
    <n v="192"/>
    <x v="0"/>
    <n v="10"/>
    <s v="Moderate"/>
    <s v="College"/>
    <s v="Life Sciences"/>
    <n v="1"/>
    <s v="Male"/>
    <n v="69"/>
    <n v="3"/>
    <n v="1"/>
    <s v="Research Scientist"/>
    <s v="Very High"/>
    <s v="Married"/>
    <n v="2654"/>
    <s v="Low (&lt;5k)"/>
    <n v="9655"/>
    <n v="3"/>
    <x v="0"/>
    <n v="21"/>
    <n v="4"/>
    <n v="4"/>
    <n v="2"/>
    <n v="8"/>
    <n v="3"/>
    <s v="Good"/>
    <n v="2"/>
    <x v="0"/>
    <n v="2"/>
    <n v="0"/>
    <n v="2"/>
  </r>
  <r>
    <n v="45"/>
    <s v="Middle Aged"/>
    <n v="0"/>
    <s v="Travel_Rarely"/>
    <n v="561"/>
    <x v="1"/>
    <n v="2"/>
    <s v="Near Office"/>
    <s v="Bachelor"/>
    <s v="Other"/>
    <n v="4"/>
    <s v="Male"/>
    <n v="61"/>
    <n v="3"/>
    <n v="2"/>
    <s v="Sales Executive"/>
    <s v="Medium"/>
    <s v="Married"/>
    <n v="4805"/>
    <s v="Low (&lt;5k)"/>
    <n v="16177"/>
    <n v="0"/>
    <x v="0"/>
    <n v="19"/>
    <n v="3"/>
    <n v="2"/>
    <n v="1"/>
    <n v="9"/>
    <n v="3"/>
    <s v="Best"/>
    <n v="8"/>
    <x v="1"/>
    <n v="7"/>
    <n v="3"/>
    <n v="7"/>
  </r>
  <r>
    <n v="45"/>
    <s v="Middle Aged"/>
    <n v="1"/>
    <s v="Travel_Frequently"/>
    <n v="306"/>
    <x v="1"/>
    <n v="26"/>
    <s v="Long Commute"/>
    <s v="Master"/>
    <s v="Life Sciences"/>
    <n v="1"/>
    <s v="Female"/>
    <n v="100"/>
    <n v="3"/>
    <n v="2"/>
    <s v="Sales Executive"/>
    <s v="Low"/>
    <s v="Married"/>
    <n v="4286"/>
    <s v="Low (&lt;5k)"/>
    <n v="5630"/>
    <n v="2"/>
    <x v="0"/>
    <n v="14"/>
    <n v="3"/>
    <n v="4"/>
    <n v="2"/>
    <n v="5"/>
    <n v="4"/>
    <s v="Better"/>
    <n v="1"/>
    <x v="0"/>
    <n v="1"/>
    <n v="0"/>
    <n v="0"/>
  </r>
  <r>
    <n v="45"/>
    <s v="Middle Aged"/>
    <n v="0"/>
    <s v="Travel_Rarely"/>
    <n v="954"/>
    <x v="1"/>
    <n v="2"/>
    <s v="Near Office"/>
    <s v="College"/>
    <s v="Technical Degree"/>
    <n v="2"/>
    <s v="Male"/>
    <n v="46"/>
    <n v="1"/>
    <n v="2"/>
    <s v="Sales Representative"/>
    <s v="High"/>
    <s v="Single"/>
    <n v="6632"/>
    <s v="Medium (5k-10k)"/>
    <n v="12388"/>
    <n v="0"/>
    <x v="0"/>
    <n v="13"/>
    <n v="3"/>
    <n v="1"/>
    <n v="0"/>
    <n v="9"/>
    <n v="3"/>
    <s v="Better"/>
    <n v="8"/>
    <x v="1"/>
    <n v="7"/>
    <n v="3"/>
    <n v="1"/>
  </r>
  <r>
    <n v="45"/>
    <s v="Middle Aged"/>
    <n v="0"/>
    <s v="Travel_Rarely"/>
    <n v="252"/>
    <x v="0"/>
    <n v="2"/>
    <s v="Near Office"/>
    <s v="Bachelor"/>
    <s v="Life Sciences"/>
    <n v="2"/>
    <s v="Female"/>
    <n v="95"/>
    <n v="2"/>
    <n v="1"/>
    <s v="Research Scientist"/>
    <s v="High"/>
    <s v="Single"/>
    <n v="2274"/>
    <s v="Low (&lt;5k)"/>
    <n v="6153"/>
    <n v="1"/>
    <x v="0"/>
    <n v="14"/>
    <n v="3"/>
    <n v="4"/>
    <n v="0"/>
    <n v="1"/>
    <n v="3"/>
    <s v="Better"/>
    <n v="1"/>
    <x v="0"/>
    <n v="0"/>
    <n v="0"/>
    <n v="0"/>
  </r>
  <r>
    <n v="45"/>
    <s v="Middle Aged"/>
    <n v="0"/>
    <s v="Travel_Rarely"/>
    <n v="930"/>
    <x v="1"/>
    <n v="9"/>
    <s v="Moderate"/>
    <s v="Bachelor"/>
    <s v="Marketing"/>
    <n v="4"/>
    <s v="Male"/>
    <n v="74"/>
    <n v="3"/>
    <n v="3"/>
    <s v="Sales Executive"/>
    <s v="Low"/>
    <s v="Divorced"/>
    <n v="10761"/>
    <s v="High (&gt;10k)"/>
    <n v="19239"/>
    <n v="4"/>
    <x v="1"/>
    <n v="12"/>
    <n v="3"/>
    <n v="3"/>
    <n v="1"/>
    <n v="18"/>
    <n v="2"/>
    <s v="Better"/>
    <n v="5"/>
    <x v="1"/>
    <n v="4"/>
    <n v="0"/>
    <n v="2"/>
  </r>
  <r>
    <n v="45"/>
    <s v="Middle Aged"/>
    <n v="0"/>
    <s v="Non-Travel"/>
    <n v="805"/>
    <x v="0"/>
    <n v="4"/>
    <s v="Near Office"/>
    <s v="College"/>
    <s v="Life Sciences"/>
    <n v="3"/>
    <s v="Male"/>
    <n v="57"/>
    <n v="3"/>
    <n v="2"/>
    <s v="Laboratory Technician"/>
    <s v="Medium"/>
    <s v="Married"/>
    <n v="4447"/>
    <s v="Low (&lt;5k)"/>
    <n v="23163"/>
    <n v="1"/>
    <x v="0"/>
    <n v="12"/>
    <n v="3"/>
    <n v="2"/>
    <n v="0"/>
    <n v="9"/>
    <n v="5"/>
    <s v="Good"/>
    <n v="9"/>
    <x v="1"/>
    <n v="7"/>
    <n v="0"/>
    <n v="8"/>
  </r>
  <r>
    <n v="45"/>
    <s v="Middle Aged"/>
    <n v="0"/>
    <s v="Travel_Rarely"/>
    <n v="974"/>
    <x v="0"/>
    <n v="1"/>
    <s v="Near Office"/>
    <s v="Master"/>
    <s v="Medical"/>
    <n v="4"/>
    <s v="Female"/>
    <n v="91"/>
    <n v="3"/>
    <n v="1"/>
    <s v="Laboratory Technician"/>
    <s v="Very High"/>
    <s v="Divorced"/>
    <n v="2270"/>
    <s v="Low (&lt;5k)"/>
    <n v="11005"/>
    <n v="3"/>
    <x v="0"/>
    <n v="14"/>
    <n v="3"/>
    <n v="4"/>
    <n v="2"/>
    <n v="8"/>
    <n v="2"/>
    <s v="Better"/>
    <n v="5"/>
    <x v="1"/>
    <n v="3"/>
    <n v="0"/>
    <n v="2"/>
  </r>
  <r>
    <n v="45"/>
    <s v="Middle Aged"/>
    <n v="0"/>
    <s v="Non-Travel"/>
    <n v="248"/>
    <x v="0"/>
    <n v="23"/>
    <s v="Long Commute"/>
    <s v="College"/>
    <s v="Life Sciences"/>
    <n v="4"/>
    <s v="Male"/>
    <n v="42"/>
    <n v="3"/>
    <n v="2"/>
    <s v="Laboratory Technician"/>
    <s v="Low"/>
    <s v="Married"/>
    <n v="3633"/>
    <s v="Low (&lt;5k)"/>
    <n v="14039"/>
    <n v="1"/>
    <x v="1"/>
    <n v="15"/>
    <n v="3"/>
    <n v="3"/>
    <n v="1"/>
    <n v="9"/>
    <n v="2"/>
    <s v="Better"/>
    <n v="9"/>
    <x v="1"/>
    <n v="8"/>
    <n v="0"/>
    <n v="8"/>
  </r>
  <r>
    <n v="45"/>
    <s v="Middle Aged"/>
    <n v="0"/>
    <s v="Travel_Rarely"/>
    <n v="1234"/>
    <x v="1"/>
    <n v="11"/>
    <s v="Moderate"/>
    <s v="College"/>
    <s v="Life Sciences"/>
    <n v="4"/>
    <s v="Female"/>
    <n v="90"/>
    <n v="3"/>
    <n v="4"/>
    <s v="Manager"/>
    <s v="Very High"/>
    <s v="Married"/>
    <n v="17650"/>
    <s v="High (&gt;10k)"/>
    <n v="5404"/>
    <n v="3"/>
    <x v="0"/>
    <n v="13"/>
    <n v="3"/>
    <n v="2"/>
    <n v="1"/>
    <n v="26"/>
    <n v="4"/>
    <s v="Best"/>
    <n v="9"/>
    <x v="1"/>
    <n v="3"/>
    <n v="1"/>
    <n v="1"/>
  </r>
  <r>
    <n v="45"/>
    <s v="Middle Aged"/>
    <n v="0"/>
    <s v="Travel_Rarely"/>
    <n v="788"/>
    <x v="2"/>
    <n v="24"/>
    <s v="Long Commute"/>
    <s v="Master"/>
    <s v="Medical"/>
    <n v="2"/>
    <s v="Male"/>
    <n v="36"/>
    <n v="3"/>
    <n v="1"/>
    <s v="Human Resources"/>
    <s v="Medium"/>
    <s v="Single"/>
    <n v="2177"/>
    <s v="Low (&lt;5k)"/>
    <n v="8318"/>
    <n v="1"/>
    <x v="0"/>
    <n v="16"/>
    <n v="3"/>
    <n v="1"/>
    <n v="0"/>
    <n v="6"/>
    <n v="3"/>
    <s v="Better"/>
    <n v="6"/>
    <x v="1"/>
    <n v="3"/>
    <n v="0"/>
    <n v="4"/>
  </r>
  <r>
    <n v="45"/>
    <s v="Middle Aged"/>
    <n v="0"/>
    <s v="Non-Travel"/>
    <n v="1050"/>
    <x v="1"/>
    <n v="9"/>
    <s v="Moderate"/>
    <s v="Master"/>
    <s v="Life Sciences"/>
    <n v="2"/>
    <s v="Female"/>
    <n v="65"/>
    <n v="2"/>
    <n v="2"/>
    <s v="Sales Executive"/>
    <s v="High"/>
    <s v="Married"/>
    <n v="5593"/>
    <s v="Medium (5k-10k)"/>
    <n v="17970"/>
    <n v="1"/>
    <x v="0"/>
    <n v="13"/>
    <n v="3"/>
    <n v="4"/>
    <n v="1"/>
    <n v="15"/>
    <n v="2"/>
    <s v="Better"/>
    <n v="15"/>
    <x v="2"/>
    <n v="10"/>
    <n v="4"/>
    <n v="12"/>
  </r>
  <r>
    <n v="45"/>
    <s v="Middle Aged"/>
    <n v="0"/>
    <s v="Travel_Rarely"/>
    <n v="1457"/>
    <x v="0"/>
    <n v="7"/>
    <s v="Moderate"/>
    <s v="Bachelor"/>
    <s v="Medical"/>
    <n v="1"/>
    <s v="Female"/>
    <n v="83"/>
    <n v="3"/>
    <n v="1"/>
    <s v="Research Scientist"/>
    <s v="High"/>
    <s v="Married"/>
    <n v="4477"/>
    <s v="Low (&lt;5k)"/>
    <n v="20100"/>
    <n v="4"/>
    <x v="1"/>
    <n v="19"/>
    <n v="3"/>
    <n v="3"/>
    <n v="1"/>
    <n v="7"/>
    <n v="2"/>
    <s v="Good"/>
    <n v="3"/>
    <x v="1"/>
    <n v="2"/>
    <n v="0"/>
    <n v="2"/>
  </r>
  <r>
    <n v="45"/>
    <s v="Middle Aged"/>
    <n v="1"/>
    <s v="Travel_Rarely"/>
    <n v="1449"/>
    <x v="1"/>
    <n v="2"/>
    <s v="Near Office"/>
    <s v="Bachelor"/>
    <s v="Marketing"/>
    <n v="1"/>
    <s v="Female"/>
    <n v="94"/>
    <n v="1"/>
    <n v="5"/>
    <s v="Manager"/>
    <s v="Medium"/>
    <s v="Single"/>
    <n v="18824"/>
    <s v="High (&gt;10k)"/>
    <n v="2493"/>
    <n v="2"/>
    <x v="1"/>
    <n v="16"/>
    <n v="3"/>
    <n v="1"/>
    <n v="0"/>
    <n v="26"/>
    <n v="2"/>
    <s v="Better"/>
    <n v="24"/>
    <x v="2"/>
    <n v="10"/>
    <n v="1"/>
    <n v="11"/>
  </r>
  <r>
    <n v="45"/>
    <s v="Middle Aged"/>
    <n v="0"/>
    <s v="Travel_Frequently"/>
    <n v="364"/>
    <x v="0"/>
    <n v="25"/>
    <s v="Long Commute"/>
    <s v="Bachelor"/>
    <s v="Medical"/>
    <n v="2"/>
    <s v="Female"/>
    <n v="83"/>
    <n v="3"/>
    <n v="5"/>
    <s v="Manager"/>
    <s v="Medium"/>
    <s v="Single"/>
    <n v="18061"/>
    <s v="High (&gt;10k)"/>
    <n v="13035"/>
    <n v="3"/>
    <x v="0"/>
    <n v="22"/>
    <n v="4"/>
    <n v="3"/>
    <n v="0"/>
    <n v="22"/>
    <n v="4"/>
    <s v="Better"/>
    <n v="0"/>
    <x v="0"/>
    <n v="0"/>
    <n v="0"/>
    <n v="0"/>
  </r>
  <r>
    <n v="45"/>
    <s v="Middle Aged"/>
    <n v="0"/>
    <s v="Travel_Rarely"/>
    <n v="1038"/>
    <x v="0"/>
    <n v="20"/>
    <s v="Long Commute"/>
    <s v="Bachelor"/>
    <s v="Medical"/>
    <n v="2"/>
    <s v="Male"/>
    <n v="95"/>
    <n v="1"/>
    <n v="3"/>
    <s v="Healthcare Representative"/>
    <s v="Low"/>
    <s v="Divorced"/>
    <n v="10851"/>
    <s v="High (&gt;10k)"/>
    <n v="19863"/>
    <n v="2"/>
    <x v="1"/>
    <n v="18"/>
    <n v="3"/>
    <n v="2"/>
    <n v="1"/>
    <n v="24"/>
    <n v="2"/>
    <s v="Better"/>
    <n v="7"/>
    <x v="1"/>
    <n v="7"/>
    <n v="0"/>
    <n v="7"/>
  </r>
  <r>
    <n v="45"/>
    <s v="Middle Aged"/>
    <n v="0"/>
    <s v="Travel_Rarely"/>
    <n v="1448"/>
    <x v="0"/>
    <n v="29"/>
    <s v="Long Commute"/>
    <s v="Bachelor"/>
    <s v="Technical Degree"/>
    <n v="2"/>
    <s v="Male"/>
    <n v="55"/>
    <n v="3"/>
    <n v="3"/>
    <s v="Manufacturing Director"/>
    <s v="Very High"/>
    <s v="Married"/>
    <n v="9380"/>
    <s v="Medium (5k-10k)"/>
    <n v="14720"/>
    <n v="4"/>
    <x v="1"/>
    <n v="18"/>
    <n v="3"/>
    <n v="4"/>
    <n v="2"/>
    <n v="10"/>
    <n v="4"/>
    <s v="Best"/>
    <n v="3"/>
    <x v="1"/>
    <n v="1"/>
    <n v="1"/>
    <n v="2"/>
  </r>
  <r>
    <n v="45"/>
    <s v="Middle Aged"/>
    <n v="0"/>
    <s v="Travel_Rarely"/>
    <n v="950"/>
    <x v="0"/>
    <n v="28"/>
    <s v="Long Commute"/>
    <s v="Bachelor"/>
    <s v="Technical Degree"/>
    <n v="4"/>
    <s v="Male"/>
    <n v="97"/>
    <n v="3"/>
    <n v="1"/>
    <s v="Research Scientist"/>
    <s v="Very High"/>
    <s v="Married"/>
    <n v="2132"/>
    <s v="Low (&lt;5k)"/>
    <n v="4585"/>
    <n v="4"/>
    <x v="0"/>
    <n v="20"/>
    <n v="4"/>
    <n v="4"/>
    <n v="1"/>
    <n v="8"/>
    <n v="3"/>
    <s v="Better"/>
    <n v="5"/>
    <x v="1"/>
    <n v="4"/>
    <n v="0"/>
    <n v="3"/>
  </r>
  <r>
    <n v="45"/>
    <s v="Middle Aged"/>
    <n v="0"/>
    <s v="Travel_Rarely"/>
    <n v="538"/>
    <x v="0"/>
    <n v="1"/>
    <s v="Near Office"/>
    <s v="Master"/>
    <s v="Technical Degree"/>
    <n v="1"/>
    <s v="Male"/>
    <n v="66"/>
    <n v="3"/>
    <n v="3"/>
    <s v="Healthcare Representative"/>
    <s v="Medium"/>
    <s v="Divorced"/>
    <n v="7441"/>
    <s v="Medium (5k-10k)"/>
    <n v="20933"/>
    <n v="1"/>
    <x v="0"/>
    <n v="12"/>
    <n v="3"/>
    <n v="1"/>
    <n v="3"/>
    <n v="10"/>
    <n v="4"/>
    <s v="Better"/>
    <n v="10"/>
    <x v="2"/>
    <n v="8"/>
    <n v="7"/>
    <n v="7"/>
  </r>
  <r>
    <n v="45"/>
    <s v="Middle Aged"/>
    <n v="0"/>
    <s v="Travel_Rarely"/>
    <n v="1015"/>
    <x v="0"/>
    <n v="5"/>
    <s v="Near Office"/>
    <s v="Doctor"/>
    <s v="Medical"/>
    <n v="3"/>
    <s v="Female"/>
    <n v="50"/>
    <n v="1"/>
    <n v="2"/>
    <s v="Laboratory Technician"/>
    <s v="Low"/>
    <s v="Single"/>
    <n v="5769"/>
    <s v="Medium (5k-10k)"/>
    <n v="23447"/>
    <n v="1"/>
    <x v="1"/>
    <n v="14"/>
    <n v="3"/>
    <n v="1"/>
    <n v="0"/>
    <n v="10"/>
    <n v="3"/>
    <s v="Better"/>
    <n v="10"/>
    <x v="2"/>
    <n v="7"/>
    <n v="1"/>
    <n v="4"/>
  </r>
  <r>
    <n v="45"/>
    <s v="Middle Aged"/>
    <n v="0"/>
    <s v="Non-Travel"/>
    <n v="336"/>
    <x v="1"/>
    <n v="26"/>
    <s v="Long Commute"/>
    <s v="Bachelor"/>
    <s v="Marketing"/>
    <n v="1"/>
    <s v="Male"/>
    <n v="52"/>
    <n v="2"/>
    <n v="2"/>
    <s v="Sales Executive"/>
    <s v="Low"/>
    <s v="Married"/>
    <n v="4385"/>
    <s v="Low (&lt;5k)"/>
    <n v="24162"/>
    <n v="1"/>
    <x v="0"/>
    <n v="15"/>
    <n v="3"/>
    <n v="1"/>
    <n v="1"/>
    <n v="10"/>
    <n v="2"/>
    <s v="Better"/>
    <n v="10"/>
    <x v="2"/>
    <n v="7"/>
    <n v="4"/>
    <n v="5"/>
  </r>
  <r>
    <n v="45"/>
    <s v="Middle Aged"/>
    <n v="0"/>
    <s v="Travel_Rarely"/>
    <n v="1329"/>
    <x v="0"/>
    <n v="2"/>
    <s v="Near Office"/>
    <s v="College"/>
    <s v="Other"/>
    <n v="4"/>
    <s v="Female"/>
    <n v="59"/>
    <n v="2"/>
    <n v="2"/>
    <s v="Manufacturing Director"/>
    <s v="Very High"/>
    <s v="Divorced"/>
    <n v="5770"/>
    <s v="Medium (5k-10k)"/>
    <n v="5388"/>
    <n v="1"/>
    <x v="0"/>
    <n v="19"/>
    <n v="3"/>
    <n v="1"/>
    <n v="2"/>
    <n v="10"/>
    <n v="3"/>
    <s v="Better"/>
    <n v="10"/>
    <x v="2"/>
    <n v="7"/>
    <n v="3"/>
    <n v="9"/>
  </r>
  <r>
    <n v="45"/>
    <s v="Middle Aged"/>
    <n v="0"/>
    <s v="Non-Travel"/>
    <n v="1238"/>
    <x v="0"/>
    <n v="1"/>
    <s v="Near Office"/>
    <s v="Below College"/>
    <s v="Life Sciences"/>
    <n v="3"/>
    <s v="Male"/>
    <n v="74"/>
    <n v="2"/>
    <n v="3"/>
    <s v="Healthcare Representative"/>
    <s v="High"/>
    <s v="Married"/>
    <n v="10748"/>
    <s v="High (&gt;10k)"/>
    <n v="3395"/>
    <n v="3"/>
    <x v="0"/>
    <n v="23"/>
    <n v="4"/>
    <n v="4"/>
    <n v="1"/>
    <n v="25"/>
    <n v="3"/>
    <s v="Good"/>
    <n v="23"/>
    <x v="2"/>
    <n v="15"/>
    <n v="14"/>
    <n v="4"/>
  </r>
  <r>
    <n v="45"/>
    <s v="Middle Aged"/>
    <n v="0"/>
    <s v="Travel_Rarely"/>
    <n v="1005"/>
    <x v="0"/>
    <n v="28"/>
    <s v="Long Commute"/>
    <s v="College"/>
    <s v="Technical Degree"/>
    <n v="4"/>
    <s v="Female"/>
    <n v="48"/>
    <n v="2"/>
    <n v="4"/>
    <s v="Research Director"/>
    <s v="Medium"/>
    <s v="Single"/>
    <n v="16704"/>
    <s v="High (&gt;10k)"/>
    <n v="17119"/>
    <n v="1"/>
    <x v="0"/>
    <n v="11"/>
    <n v="3"/>
    <n v="3"/>
    <n v="0"/>
    <n v="21"/>
    <n v="2"/>
    <s v="Better"/>
    <n v="21"/>
    <x v="2"/>
    <n v="6"/>
    <n v="8"/>
    <n v="6"/>
  </r>
  <r>
    <n v="45"/>
    <s v="Middle Aged"/>
    <n v="0"/>
    <s v="Travel_Rarely"/>
    <n v="176"/>
    <x v="2"/>
    <n v="4"/>
    <s v="Near Office"/>
    <s v="Bachelor"/>
    <s v="Life Sciences"/>
    <n v="3"/>
    <s v="Female"/>
    <n v="56"/>
    <n v="1"/>
    <n v="3"/>
    <s v="Human Resources"/>
    <s v="High"/>
    <s v="Married"/>
    <n v="9756"/>
    <s v="Medium (5k-10k)"/>
    <n v="6595"/>
    <n v="4"/>
    <x v="0"/>
    <n v="21"/>
    <n v="4"/>
    <n v="3"/>
    <n v="2"/>
    <n v="9"/>
    <n v="2"/>
    <s v="Best"/>
    <n v="5"/>
    <x v="1"/>
    <n v="0"/>
    <n v="0"/>
    <n v="3"/>
  </r>
  <r>
    <n v="45"/>
    <s v="Middle Aged"/>
    <n v="0"/>
    <s v="Non-Travel"/>
    <n v="589"/>
    <x v="1"/>
    <n v="2"/>
    <s v="Near Office"/>
    <s v="Master"/>
    <s v="Life Sciences"/>
    <n v="3"/>
    <s v="Female"/>
    <n v="67"/>
    <n v="3"/>
    <n v="2"/>
    <s v="Sales Executive"/>
    <s v="High"/>
    <s v="Married"/>
    <n v="5154"/>
    <s v="Medium (5k-10k)"/>
    <n v="19665"/>
    <n v="4"/>
    <x v="0"/>
    <n v="22"/>
    <n v="4"/>
    <n v="2"/>
    <n v="2"/>
    <n v="10"/>
    <n v="3"/>
    <s v="Best"/>
    <n v="8"/>
    <x v="1"/>
    <n v="7"/>
    <n v="5"/>
    <n v="7"/>
  </r>
  <r>
    <n v="45"/>
    <s v="Middle Aged"/>
    <n v="0"/>
    <s v="Travel_Rarely"/>
    <n v="556"/>
    <x v="0"/>
    <n v="25"/>
    <s v="Long Commute"/>
    <s v="College"/>
    <s v="Life Sciences"/>
    <n v="2"/>
    <s v="Female"/>
    <n v="93"/>
    <n v="2"/>
    <n v="2"/>
    <s v="Manufacturing Director"/>
    <s v="Very High"/>
    <s v="Married"/>
    <n v="5906"/>
    <s v="Medium (5k-10k)"/>
    <n v="23888"/>
    <n v="0"/>
    <x v="0"/>
    <n v="13"/>
    <n v="3"/>
    <n v="4"/>
    <n v="2"/>
    <n v="10"/>
    <n v="2"/>
    <s v="Good"/>
    <n v="9"/>
    <x v="1"/>
    <n v="8"/>
    <n v="3"/>
    <n v="8"/>
  </r>
  <r>
    <n v="45"/>
    <s v="Middle Aged"/>
    <n v="0"/>
    <s v="Travel_Frequently"/>
    <n v="1297"/>
    <x v="0"/>
    <n v="1"/>
    <s v="Near Office"/>
    <s v="Master"/>
    <s v="Medical"/>
    <n v="2"/>
    <s v="Male"/>
    <n v="44"/>
    <n v="3"/>
    <n v="2"/>
    <s v="Healthcare Representative"/>
    <s v="High"/>
    <s v="Single"/>
    <n v="5399"/>
    <s v="Medium (5k-10k)"/>
    <n v="14511"/>
    <n v="4"/>
    <x v="0"/>
    <n v="12"/>
    <n v="3"/>
    <n v="3"/>
    <n v="0"/>
    <n v="12"/>
    <n v="3"/>
    <s v="Better"/>
    <n v="4"/>
    <x v="1"/>
    <n v="2"/>
    <n v="0"/>
    <n v="3"/>
  </r>
  <r>
    <n v="45"/>
    <s v="Middle Aged"/>
    <n v="0"/>
    <s v="Travel_Rarely"/>
    <n v="374"/>
    <x v="1"/>
    <n v="20"/>
    <s v="Long Commute"/>
    <s v="Bachelor"/>
    <s v="Life Sciences"/>
    <n v="4"/>
    <s v="Female"/>
    <n v="50"/>
    <n v="3"/>
    <n v="2"/>
    <s v="Sales Executive"/>
    <s v="High"/>
    <s v="Single"/>
    <n v="4850"/>
    <s v="Low (&lt;5k)"/>
    <n v="23333"/>
    <n v="8"/>
    <x v="0"/>
    <n v="15"/>
    <n v="3"/>
    <n v="3"/>
    <n v="0"/>
    <n v="8"/>
    <n v="3"/>
    <s v="Better"/>
    <n v="5"/>
    <x v="1"/>
    <n v="3"/>
    <n v="0"/>
    <n v="1"/>
  </r>
  <r>
    <n v="46"/>
    <s v="Senior"/>
    <n v="0"/>
    <s v="Travel_Rarely"/>
    <n v="705"/>
    <x v="1"/>
    <n v="2"/>
    <s v="Near Office"/>
    <s v="Master"/>
    <s v="Marketing"/>
    <n v="2"/>
    <s v="Female"/>
    <n v="83"/>
    <n v="3"/>
    <n v="5"/>
    <s v="Manager"/>
    <s v="Low"/>
    <s v="Single"/>
    <n v="18947"/>
    <s v="High (&gt;10k)"/>
    <n v="22822"/>
    <n v="3"/>
    <x v="0"/>
    <n v="12"/>
    <n v="3"/>
    <n v="4"/>
    <n v="0"/>
    <n v="22"/>
    <n v="2"/>
    <s v="Good"/>
    <n v="2"/>
    <x v="0"/>
    <n v="2"/>
    <n v="2"/>
    <n v="1"/>
  </r>
  <r>
    <n v="46"/>
    <s v="Senior"/>
    <n v="0"/>
    <s v="Travel_Frequently"/>
    <n v="1211"/>
    <x v="1"/>
    <n v="5"/>
    <s v="Near Office"/>
    <s v="Master"/>
    <s v="Marketing"/>
    <n v="1"/>
    <s v="Male"/>
    <n v="98"/>
    <n v="3"/>
    <n v="2"/>
    <s v="Sales Executive"/>
    <s v="Very High"/>
    <s v="Single"/>
    <n v="5772"/>
    <s v="Medium (5k-10k)"/>
    <n v="20445"/>
    <n v="4"/>
    <x v="1"/>
    <n v="21"/>
    <n v="4"/>
    <n v="3"/>
    <n v="0"/>
    <n v="14"/>
    <n v="4"/>
    <s v="Better"/>
    <n v="9"/>
    <x v="1"/>
    <n v="6"/>
    <n v="0"/>
    <n v="8"/>
  </r>
  <r>
    <n v="46"/>
    <s v="Senior"/>
    <n v="0"/>
    <s v="Travel_Rarely"/>
    <n v="945"/>
    <x v="2"/>
    <n v="5"/>
    <s v="Near Office"/>
    <s v="College"/>
    <s v="Medical"/>
    <n v="2"/>
    <s v="Male"/>
    <n v="80"/>
    <n v="3"/>
    <n v="2"/>
    <s v="Human Resources"/>
    <s v="Medium"/>
    <s v="Divorced"/>
    <n v="5021"/>
    <s v="Medium (5k-10k)"/>
    <n v="10425"/>
    <n v="8"/>
    <x v="1"/>
    <n v="22"/>
    <n v="4"/>
    <n v="4"/>
    <n v="1"/>
    <n v="16"/>
    <n v="2"/>
    <s v="Better"/>
    <n v="4"/>
    <x v="1"/>
    <n v="2"/>
    <n v="0"/>
    <n v="2"/>
  </r>
  <r>
    <n v="46"/>
    <s v="Senior"/>
    <n v="1"/>
    <s v="Travel_Rarely"/>
    <n v="669"/>
    <x v="1"/>
    <n v="9"/>
    <s v="Moderate"/>
    <s v="College"/>
    <s v="Medical"/>
    <n v="3"/>
    <s v="Male"/>
    <n v="64"/>
    <n v="2"/>
    <n v="3"/>
    <s v="Sales Executive"/>
    <s v="Very High"/>
    <s v="Single"/>
    <n v="9619"/>
    <s v="Medium (5k-10k)"/>
    <n v="13596"/>
    <n v="1"/>
    <x v="0"/>
    <n v="16"/>
    <n v="3"/>
    <n v="4"/>
    <n v="0"/>
    <n v="9"/>
    <n v="3"/>
    <s v="Better"/>
    <n v="9"/>
    <x v="1"/>
    <n v="8"/>
    <n v="4"/>
    <n v="7"/>
  </r>
  <r>
    <n v="46"/>
    <s v="Senior"/>
    <n v="0"/>
    <s v="Travel_Frequently"/>
    <n v="638"/>
    <x v="0"/>
    <n v="1"/>
    <s v="Near Office"/>
    <s v="Bachelor"/>
    <s v="Medical"/>
    <n v="3"/>
    <s v="Male"/>
    <n v="40"/>
    <n v="2"/>
    <n v="3"/>
    <s v="Healthcare Representative"/>
    <s v="Low"/>
    <s v="Married"/>
    <n v="10673"/>
    <s v="High (&gt;10k)"/>
    <n v="3142"/>
    <n v="2"/>
    <x v="1"/>
    <n v="13"/>
    <n v="3"/>
    <n v="3"/>
    <n v="1"/>
    <n v="21"/>
    <n v="5"/>
    <s v="Good"/>
    <n v="10"/>
    <x v="2"/>
    <n v="9"/>
    <n v="9"/>
    <n v="5"/>
  </r>
  <r>
    <n v="46"/>
    <s v="Senior"/>
    <n v="0"/>
    <s v="Travel_Rarely"/>
    <n v="526"/>
    <x v="1"/>
    <n v="1"/>
    <s v="Near Office"/>
    <s v="College"/>
    <s v="Marketing"/>
    <n v="2"/>
    <s v="Female"/>
    <n v="92"/>
    <n v="3"/>
    <n v="3"/>
    <s v="Sales Executive"/>
    <s v="Low"/>
    <s v="Divorced"/>
    <n v="10453"/>
    <s v="High (&gt;10k)"/>
    <n v="2137"/>
    <n v="1"/>
    <x v="0"/>
    <n v="25"/>
    <n v="4"/>
    <n v="3"/>
    <n v="3"/>
    <n v="24"/>
    <n v="2"/>
    <s v="Better"/>
    <n v="24"/>
    <x v="2"/>
    <n v="13"/>
    <n v="15"/>
    <n v="7"/>
  </r>
  <r>
    <n v="46"/>
    <s v="Senior"/>
    <n v="0"/>
    <s v="Travel_Rarely"/>
    <n v="644"/>
    <x v="0"/>
    <n v="1"/>
    <s v="Near Office"/>
    <s v="Master"/>
    <s v="Medical"/>
    <n v="4"/>
    <s v="Male"/>
    <n v="97"/>
    <n v="3"/>
    <n v="3"/>
    <s v="Healthcare Representative"/>
    <s v="Low"/>
    <s v="Divorced"/>
    <n v="9396"/>
    <s v="Medium (5k-10k)"/>
    <n v="12368"/>
    <n v="7"/>
    <x v="0"/>
    <n v="16"/>
    <n v="3"/>
    <n v="3"/>
    <n v="1"/>
    <n v="17"/>
    <n v="3"/>
    <s v="Better"/>
    <n v="4"/>
    <x v="1"/>
    <n v="2"/>
    <n v="0"/>
    <n v="3"/>
  </r>
  <r>
    <n v="46"/>
    <s v="Senior"/>
    <n v="0"/>
    <s v="Travel_Rarely"/>
    <n v="488"/>
    <x v="1"/>
    <n v="2"/>
    <s v="Near Office"/>
    <s v="Bachelor"/>
    <s v="Technical Degree"/>
    <n v="3"/>
    <s v="Female"/>
    <n v="75"/>
    <n v="1"/>
    <n v="4"/>
    <s v="Manager"/>
    <s v="Medium"/>
    <s v="Married"/>
    <n v="16872"/>
    <s v="High (&gt;10k)"/>
    <n v="14977"/>
    <n v="3"/>
    <x v="1"/>
    <n v="12"/>
    <n v="3"/>
    <n v="2"/>
    <n v="1"/>
    <n v="28"/>
    <n v="2"/>
    <s v="Good"/>
    <n v="7"/>
    <x v="1"/>
    <n v="7"/>
    <n v="7"/>
    <n v="7"/>
  </r>
  <r>
    <n v="46"/>
    <s v="Senior"/>
    <n v="0"/>
    <s v="Non-Travel"/>
    <n v="1144"/>
    <x v="0"/>
    <n v="7"/>
    <s v="Moderate"/>
    <s v="Master"/>
    <s v="Medical"/>
    <n v="3"/>
    <s v="Female"/>
    <n v="30"/>
    <n v="3"/>
    <n v="2"/>
    <s v="Manufacturing Director"/>
    <s v="High"/>
    <s v="Married"/>
    <n v="5258"/>
    <s v="Medium (5k-10k)"/>
    <n v="16044"/>
    <n v="2"/>
    <x v="0"/>
    <n v="14"/>
    <n v="3"/>
    <n v="3"/>
    <n v="0"/>
    <n v="7"/>
    <n v="2"/>
    <s v="Best"/>
    <n v="1"/>
    <x v="0"/>
    <n v="0"/>
    <n v="0"/>
    <n v="0"/>
  </r>
  <r>
    <n v="46"/>
    <s v="Senior"/>
    <n v="0"/>
    <s v="Travel_Rarely"/>
    <n v="1485"/>
    <x v="0"/>
    <n v="18"/>
    <s v="Long Commute"/>
    <s v="Bachelor"/>
    <s v="Medical"/>
    <n v="3"/>
    <s v="Female"/>
    <n v="87"/>
    <n v="3"/>
    <n v="2"/>
    <s v="Manufacturing Director"/>
    <s v="High"/>
    <s v="Divorced"/>
    <n v="4810"/>
    <s v="Low (&lt;5k)"/>
    <n v="26314"/>
    <n v="2"/>
    <x v="0"/>
    <n v="14"/>
    <n v="3"/>
    <n v="3"/>
    <n v="1"/>
    <n v="19"/>
    <n v="5"/>
    <s v="Good"/>
    <n v="10"/>
    <x v="2"/>
    <n v="7"/>
    <n v="0"/>
    <n v="8"/>
  </r>
  <r>
    <n v="46"/>
    <s v="Senior"/>
    <n v="0"/>
    <s v="Travel_Rarely"/>
    <n v="1009"/>
    <x v="0"/>
    <n v="2"/>
    <s v="Near Office"/>
    <s v="Bachelor"/>
    <s v="Life Sciences"/>
    <n v="1"/>
    <s v="Male"/>
    <n v="51"/>
    <n v="3"/>
    <n v="4"/>
    <s v="Research Director"/>
    <s v="High"/>
    <s v="Married"/>
    <n v="17861"/>
    <s v="High (&gt;10k)"/>
    <n v="2288"/>
    <n v="6"/>
    <x v="0"/>
    <n v="13"/>
    <n v="3"/>
    <n v="3"/>
    <n v="0"/>
    <n v="26"/>
    <n v="2"/>
    <s v="Bad"/>
    <n v="3"/>
    <x v="1"/>
    <n v="2"/>
    <n v="0"/>
    <n v="1"/>
  </r>
  <r>
    <n v="46"/>
    <s v="Senior"/>
    <n v="0"/>
    <s v="Travel_Rarely"/>
    <n v="1125"/>
    <x v="1"/>
    <n v="10"/>
    <s v="Moderate"/>
    <s v="Bachelor"/>
    <s v="Marketing"/>
    <n v="3"/>
    <s v="Female"/>
    <n v="94"/>
    <n v="2"/>
    <n v="3"/>
    <s v="Sales Executive"/>
    <s v="Very High"/>
    <s v="Married"/>
    <n v="9071"/>
    <s v="Medium (5k-10k)"/>
    <n v="11563"/>
    <n v="2"/>
    <x v="1"/>
    <n v="19"/>
    <n v="3"/>
    <n v="3"/>
    <n v="1"/>
    <n v="15"/>
    <n v="3"/>
    <s v="Better"/>
    <n v="3"/>
    <x v="1"/>
    <n v="2"/>
    <n v="1"/>
    <n v="2"/>
  </r>
  <r>
    <n v="46"/>
    <s v="Senior"/>
    <n v="0"/>
    <s v="Travel_Frequently"/>
    <n v="1034"/>
    <x v="0"/>
    <n v="18"/>
    <s v="Long Commute"/>
    <s v="Below College"/>
    <s v="Medical"/>
    <n v="1"/>
    <s v="Female"/>
    <n v="86"/>
    <n v="3"/>
    <n v="3"/>
    <s v="Healthcare Representative"/>
    <s v="High"/>
    <s v="Married"/>
    <n v="10527"/>
    <s v="High (&gt;10k)"/>
    <n v="8984"/>
    <n v="5"/>
    <x v="0"/>
    <n v="11"/>
    <n v="3"/>
    <n v="4"/>
    <n v="0"/>
    <n v="28"/>
    <n v="3"/>
    <s v="Good"/>
    <n v="2"/>
    <x v="0"/>
    <n v="2"/>
    <n v="1"/>
    <n v="2"/>
  </r>
  <r>
    <n v="46"/>
    <s v="Senior"/>
    <n v="0"/>
    <s v="Travel_Rarely"/>
    <n v="566"/>
    <x v="0"/>
    <n v="7"/>
    <s v="Moderate"/>
    <s v="College"/>
    <s v="Medical"/>
    <n v="4"/>
    <s v="Male"/>
    <n v="75"/>
    <n v="3"/>
    <n v="3"/>
    <s v="Manufacturing Director"/>
    <s v="High"/>
    <s v="Divorced"/>
    <n v="10845"/>
    <s v="High (&gt;10k)"/>
    <n v="24208"/>
    <n v="6"/>
    <x v="0"/>
    <n v="13"/>
    <n v="3"/>
    <n v="2"/>
    <n v="1"/>
    <n v="13"/>
    <n v="3"/>
    <s v="Better"/>
    <n v="8"/>
    <x v="1"/>
    <n v="7"/>
    <n v="0"/>
    <n v="7"/>
  </r>
  <r>
    <n v="46"/>
    <s v="Senior"/>
    <n v="0"/>
    <s v="Travel_Rarely"/>
    <n v="430"/>
    <x v="0"/>
    <n v="1"/>
    <s v="Near Office"/>
    <s v="Master"/>
    <s v="Medical"/>
    <n v="4"/>
    <s v="Male"/>
    <n v="40"/>
    <n v="3"/>
    <n v="5"/>
    <s v="Research Director"/>
    <s v="Very High"/>
    <s v="Divorced"/>
    <n v="19627"/>
    <s v="High (&gt;10k)"/>
    <n v="21445"/>
    <n v="9"/>
    <x v="0"/>
    <n v="17"/>
    <n v="3"/>
    <n v="4"/>
    <n v="2"/>
    <n v="23"/>
    <n v="0"/>
    <s v="Better"/>
    <n v="2"/>
    <x v="0"/>
    <n v="2"/>
    <n v="2"/>
    <n v="2"/>
  </r>
  <r>
    <n v="46"/>
    <s v="Senior"/>
    <n v="0"/>
    <s v="Travel_Rarely"/>
    <n v="1003"/>
    <x v="0"/>
    <n v="8"/>
    <s v="Moderate"/>
    <s v="Master"/>
    <s v="Life Sciences"/>
    <n v="4"/>
    <s v="Female"/>
    <n v="74"/>
    <n v="2"/>
    <n v="2"/>
    <s v="Research Scientist"/>
    <s v="Low"/>
    <s v="Divorced"/>
    <n v="4615"/>
    <s v="Low (&lt;5k)"/>
    <n v="21029"/>
    <n v="8"/>
    <x v="1"/>
    <n v="23"/>
    <n v="4"/>
    <n v="1"/>
    <n v="3"/>
    <n v="19"/>
    <n v="2"/>
    <s v="Better"/>
    <n v="16"/>
    <x v="2"/>
    <n v="13"/>
    <n v="1"/>
    <n v="7"/>
  </r>
  <r>
    <n v="46"/>
    <s v="Senior"/>
    <n v="0"/>
    <s v="Travel_Rarely"/>
    <n v="406"/>
    <x v="1"/>
    <n v="3"/>
    <s v="Near Office"/>
    <s v="Below College"/>
    <s v="Marketing"/>
    <n v="1"/>
    <s v="Male"/>
    <n v="52"/>
    <n v="3"/>
    <n v="4"/>
    <s v="Manager"/>
    <s v="High"/>
    <s v="Married"/>
    <n v="17465"/>
    <s v="High (&gt;10k)"/>
    <n v="15596"/>
    <n v="3"/>
    <x v="0"/>
    <n v="12"/>
    <n v="3"/>
    <n v="4"/>
    <n v="1"/>
    <n v="23"/>
    <n v="3"/>
    <s v="Better"/>
    <n v="12"/>
    <x v="2"/>
    <n v="9"/>
    <n v="4"/>
    <n v="9"/>
  </r>
  <r>
    <n v="46"/>
    <s v="Senior"/>
    <n v="0"/>
    <s v="Travel_Rarely"/>
    <n v="1402"/>
    <x v="1"/>
    <n v="2"/>
    <s v="Near Office"/>
    <s v="Bachelor"/>
    <s v="Marketing"/>
    <n v="3"/>
    <s v="Female"/>
    <n v="69"/>
    <n v="3"/>
    <n v="4"/>
    <s v="Manager"/>
    <s v="Low"/>
    <s v="Married"/>
    <n v="17048"/>
    <s v="High (&gt;10k)"/>
    <n v="24097"/>
    <n v="8"/>
    <x v="0"/>
    <n v="23"/>
    <n v="4"/>
    <n v="1"/>
    <n v="0"/>
    <n v="28"/>
    <n v="2"/>
    <s v="Better"/>
    <n v="26"/>
    <x v="2"/>
    <n v="15"/>
    <n v="15"/>
    <n v="9"/>
  </r>
  <r>
    <n v="46"/>
    <s v="Senior"/>
    <n v="0"/>
    <s v="Travel_Rarely"/>
    <n v="1450"/>
    <x v="0"/>
    <n v="15"/>
    <s v="Moderate"/>
    <s v="College"/>
    <s v="Life Sciences"/>
    <n v="4"/>
    <s v="Male"/>
    <n v="52"/>
    <n v="3"/>
    <n v="5"/>
    <s v="Research Director"/>
    <s v="Medium"/>
    <s v="Married"/>
    <n v="19081"/>
    <s v="High (&gt;10k)"/>
    <n v="10849"/>
    <n v="5"/>
    <x v="0"/>
    <n v="11"/>
    <n v="3"/>
    <n v="1"/>
    <n v="1"/>
    <n v="25"/>
    <n v="2"/>
    <s v="Better"/>
    <n v="4"/>
    <x v="1"/>
    <n v="2"/>
    <n v="0"/>
    <n v="3"/>
  </r>
  <r>
    <n v="46"/>
    <s v="Senior"/>
    <n v="0"/>
    <s v="Travel_Rarely"/>
    <n v="150"/>
    <x v="0"/>
    <n v="2"/>
    <s v="Near Office"/>
    <s v="Master"/>
    <s v="Technical Degree"/>
    <n v="4"/>
    <s v="Male"/>
    <n v="60"/>
    <n v="3"/>
    <n v="2"/>
    <s v="Manufacturing Director"/>
    <s v="Very High"/>
    <s v="Divorced"/>
    <n v="7379"/>
    <s v="Medium (5k-10k)"/>
    <n v="17433"/>
    <n v="2"/>
    <x v="0"/>
    <n v="11"/>
    <n v="3"/>
    <n v="3"/>
    <n v="1"/>
    <n v="12"/>
    <n v="3"/>
    <s v="Good"/>
    <n v="6"/>
    <x v="1"/>
    <n v="3"/>
    <n v="1"/>
    <n v="4"/>
  </r>
  <r>
    <n v="46"/>
    <s v="Senior"/>
    <n v="0"/>
    <s v="Travel_Rarely"/>
    <n v="168"/>
    <x v="1"/>
    <n v="4"/>
    <s v="Near Office"/>
    <s v="College"/>
    <s v="Marketing"/>
    <n v="4"/>
    <s v="Female"/>
    <n v="33"/>
    <n v="2"/>
    <n v="5"/>
    <s v="Manager"/>
    <s v="Medium"/>
    <s v="Married"/>
    <n v="18789"/>
    <s v="High (&gt;10k)"/>
    <n v="9946"/>
    <n v="2"/>
    <x v="0"/>
    <n v="14"/>
    <n v="3"/>
    <n v="3"/>
    <n v="1"/>
    <n v="26"/>
    <n v="2"/>
    <s v="Better"/>
    <n v="11"/>
    <x v="2"/>
    <n v="4"/>
    <n v="0"/>
    <n v="8"/>
  </r>
  <r>
    <n v="46"/>
    <s v="Senior"/>
    <n v="0"/>
    <s v="Travel_Rarely"/>
    <n v="991"/>
    <x v="2"/>
    <n v="1"/>
    <s v="Near Office"/>
    <s v="College"/>
    <s v="Life Sciences"/>
    <n v="4"/>
    <s v="Female"/>
    <n v="44"/>
    <n v="3"/>
    <n v="1"/>
    <s v="Human Resources"/>
    <s v="Low"/>
    <s v="Single"/>
    <n v="3423"/>
    <s v="Low (&lt;5k)"/>
    <n v="22957"/>
    <n v="6"/>
    <x v="0"/>
    <n v="12"/>
    <n v="3"/>
    <n v="3"/>
    <n v="0"/>
    <n v="10"/>
    <n v="3"/>
    <s v="Best"/>
    <n v="7"/>
    <x v="1"/>
    <n v="6"/>
    <n v="5"/>
    <n v="7"/>
  </r>
  <r>
    <n v="46"/>
    <s v="Senior"/>
    <n v="1"/>
    <s v="Travel_Rarely"/>
    <n v="377"/>
    <x v="1"/>
    <n v="9"/>
    <s v="Moderate"/>
    <s v="Bachelor"/>
    <s v="Marketing"/>
    <n v="1"/>
    <s v="Male"/>
    <n v="52"/>
    <n v="3"/>
    <n v="3"/>
    <s v="Sales Executive"/>
    <s v="Very High"/>
    <s v="Divorced"/>
    <n v="10096"/>
    <s v="High (&gt;10k)"/>
    <n v="15986"/>
    <n v="4"/>
    <x v="0"/>
    <n v="11"/>
    <n v="3"/>
    <n v="1"/>
    <n v="1"/>
    <n v="28"/>
    <n v="1"/>
    <s v="Best"/>
    <n v="7"/>
    <x v="1"/>
    <n v="7"/>
    <n v="4"/>
    <n v="3"/>
  </r>
  <r>
    <n v="46"/>
    <s v="Senior"/>
    <n v="0"/>
    <s v="Travel_Rarely"/>
    <n v="228"/>
    <x v="1"/>
    <n v="3"/>
    <s v="Near Office"/>
    <s v="Bachelor"/>
    <s v="Life Sciences"/>
    <n v="3"/>
    <s v="Female"/>
    <n v="51"/>
    <n v="3"/>
    <n v="4"/>
    <s v="Manager"/>
    <s v="Medium"/>
    <s v="Married"/>
    <n v="16606"/>
    <s v="High (&gt;10k)"/>
    <n v="11380"/>
    <n v="8"/>
    <x v="0"/>
    <n v="12"/>
    <n v="3"/>
    <n v="4"/>
    <n v="1"/>
    <n v="23"/>
    <n v="2"/>
    <s v="Best"/>
    <n v="13"/>
    <x v="2"/>
    <n v="12"/>
    <n v="5"/>
    <n v="1"/>
  </r>
  <r>
    <n v="46"/>
    <s v="Senior"/>
    <n v="0"/>
    <s v="Travel_Rarely"/>
    <n v="563"/>
    <x v="1"/>
    <n v="1"/>
    <s v="Near Office"/>
    <s v="Master"/>
    <s v="Life Sciences"/>
    <n v="4"/>
    <s v="Male"/>
    <n v="56"/>
    <n v="4"/>
    <n v="4"/>
    <s v="Manager"/>
    <s v="Low"/>
    <s v="Single"/>
    <n v="17567"/>
    <s v="High (&gt;10k)"/>
    <n v="3156"/>
    <n v="1"/>
    <x v="0"/>
    <n v="15"/>
    <n v="3"/>
    <n v="2"/>
    <n v="0"/>
    <n v="27"/>
    <n v="5"/>
    <s v="Bad"/>
    <n v="26"/>
    <x v="2"/>
    <n v="0"/>
    <n v="0"/>
    <n v="12"/>
  </r>
  <r>
    <n v="46"/>
    <s v="Senior"/>
    <n v="0"/>
    <s v="Travel_Rarely"/>
    <n v="717"/>
    <x v="0"/>
    <n v="13"/>
    <s v="Moderate"/>
    <s v="Master"/>
    <s v="Life Sciences"/>
    <n v="3"/>
    <s v="Male"/>
    <n v="34"/>
    <n v="3"/>
    <n v="2"/>
    <s v="Healthcare Representative"/>
    <s v="Medium"/>
    <s v="Single"/>
    <n v="5562"/>
    <s v="Medium (5k-10k)"/>
    <n v="9697"/>
    <n v="6"/>
    <x v="0"/>
    <n v="14"/>
    <n v="3"/>
    <n v="4"/>
    <n v="0"/>
    <n v="19"/>
    <n v="3"/>
    <s v="Better"/>
    <n v="10"/>
    <x v="2"/>
    <n v="7"/>
    <n v="0"/>
    <n v="9"/>
  </r>
  <r>
    <n v="46"/>
    <s v="Senior"/>
    <n v="0"/>
    <s v="Travel_Rarely"/>
    <n v="1277"/>
    <x v="1"/>
    <n v="2"/>
    <s v="Near Office"/>
    <s v="Bachelor"/>
    <s v="Life Sciences"/>
    <n v="3"/>
    <s v="Male"/>
    <n v="74"/>
    <n v="3"/>
    <n v="3"/>
    <s v="Sales Executive"/>
    <s v="Very High"/>
    <s v="Divorced"/>
    <n v="10368"/>
    <s v="High (&gt;10k)"/>
    <n v="5596"/>
    <n v="4"/>
    <x v="1"/>
    <n v="12"/>
    <n v="3"/>
    <n v="2"/>
    <n v="1"/>
    <n v="13"/>
    <n v="5"/>
    <s v="Good"/>
    <n v="10"/>
    <x v="2"/>
    <n v="6"/>
    <n v="0"/>
    <n v="3"/>
  </r>
  <r>
    <n v="46"/>
    <s v="Senior"/>
    <n v="0"/>
    <s v="Travel_Rarely"/>
    <n v="734"/>
    <x v="0"/>
    <n v="2"/>
    <s v="Near Office"/>
    <s v="Master"/>
    <s v="Medical"/>
    <n v="3"/>
    <s v="Male"/>
    <n v="46"/>
    <n v="3"/>
    <n v="5"/>
    <s v="Research Director"/>
    <s v="Very High"/>
    <s v="Divorced"/>
    <n v="19328"/>
    <s v="High (&gt;10k)"/>
    <n v="14218"/>
    <n v="7"/>
    <x v="1"/>
    <n v="17"/>
    <n v="3"/>
    <n v="3"/>
    <n v="1"/>
    <n v="24"/>
    <n v="3"/>
    <s v="Better"/>
    <n v="2"/>
    <x v="0"/>
    <n v="1"/>
    <n v="2"/>
    <n v="2"/>
  </r>
  <r>
    <n v="46"/>
    <s v="Senior"/>
    <n v="0"/>
    <s v="Non-Travel"/>
    <n v="849"/>
    <x v="1"/>
    <n v="26"/>
    <s v="Long Commute"/>
    <s v="College"/>
    <s v="Life Sciences"/>
    <n v="2"/>
    <s v="Male"/>
    <n v="98"/>
    <n v="2"/>
    <n v="2"/>
    <s v="Sales Executive"/>
    <s v="Medium"/>
    <s v="Single"/>
    <n v="7991"/>
    <s v="Medium (5k-10k)"/>
    <n v="25166"/>
    <n v="8"/>
    <x v="0"/>
    <n v="15"/>
    <n v="3"/>
    <n v="3"/>
    <n v="0"/>
    <n v="6"/>
    <n v="3"/>
    <s v="Better"/>
    <n v="2"/>
    <x v="0"/>
    <n v="2"/>
    <n v="2"/>
    <n v="2"/>
  </r>
  <r>
    <n v="46"/>
    <s v="Senior"/>
    <n v="1"/>
    <s v="Travel_Rarely"/>
    <n v="261"/>
    <x v="0"/>
    <n v="21"/>
    <s v="Long Commute"/>
    <s v="College"/>
    <s v="Medical"/>
    <n v="4"/>
    <s v="Female"/>
    <n v="66"/>
    <n v="3"/>
    <n v="2"/>
    <s v="Healthcare Representative"/>
    <s v="Medium"/>
    <s v="Married"/>
    <n v="8926"/>
    <s v="Medium (5k-10k)"/>
    <n v="10842"/>
    <n v="4"/>
    <x v="0"/>
    <n v="22"/>
    <n v="4"/>
    <n v="4"/>
    <n v="1"/>
    <n v="13"/>
    <n v="2"/>
    <s v="Best"/>
    <n v="9"/>
    <x v="1"/>
    <n v="7"/>
    <n v="3"/>
    <n v="7"/>
  </r>
  <r>
    <n v="46"/>
    <s v="Senior"/>
    <n v="0"/>
    <s v="Travel_Rarely"/>
    <n v="706"/>
    <x v="0"/>
    <n v="2"/>
    <s v="Near Office"/>
    <s v="College"/>
    <s v="Life Sciences"/>
    <n v="4"/>
    <s v="Male"/>
    <n v="82"/>
    <n v="3"/>
    <n v="3"/>
    <s v="Manufacturing Director"/>
    <s v="Very High"/>
    <s v="Divorced"/>
    <n v="8578"/>
    <s v="Medium (5k-10k)"/>
    <n v="19989"/>
    <n v="3"/>
    <x v="0"/>
    <n v="14"/>
    <n v="3"/>
    <n v="3"/>
    <n v="1"/>
    <n v="12"/>
    <n v="4"/>
    <s v="Good"/>
    <n v="9"/>
    <x v="1"/>
    <n v="8"/>
    <n v="4"/>
    <n v="7"/>
  </r>
  <r>
    <n v="46"/>
    <s v="Senior"/>
    <n v="0"/>
    <s v="Travel_Rarely"/>
    <n v="1319"/>
    <x v="1"/>
    <n v="3"/>
    <s v="Near Office"/>
    <s v="Bachelor"/>
    <s v="Technical Degree"/>
    <n v="1"/>
    <s v="Female"/>
    <n v="45"/>
    <n v="4"/>
    <n v="4"/>
    <s v="Sales Executive"/>
    <s v="Low"/>
    <s v="Divorced"/>
    <n v="13225"/>
    <s v="High (&gt;10k)"/>
    <n v="7739"/>
    <n v="2"/>
    <x v="0"/>
    <n v="12"/>
    <n v="3"/>
    <n v="4"/>
    <n v="1"/>
    <n v="25"/>
    <n v="5"/>
    <s v="Better"/>
    <n v="19"/>
    <x v="2"/>
    <n v="17"/>
    <n v="2"/>
    <n v="8"/>
  </r>
  <r>
    <n v="46"/>
    <s v="Senior"/>
    <n v="1"/>
    <s v="Travel_Rarely"/>
    <n v="1254"/>
    <x v="1"/>
    <n v="10"/>
    <s v="Moderate"/>
    <s v="Bachelor"/>
    <s v="Life Sciences"/>
    <n v="3"/>
    <s v="Female"/>
    <n v="64"/>
    <n v="3"/>
    <n v="3"/>
    <s v="Sales Executive"/>
    <s v="Medium"/>
    <s v="Married"/>
    <n v="7314"/>
    <s v="Medium (5k-10k)"/>
    <n v="14011"/>
    <n v="5"/>
    <x v="0"/>
    <n v="21"/>
    <n v="4"/>
    <n v="3"/>
    <n v="3"/>
    <n v="14"/>
    <n v="2"/>
    <s v="Better"/>
    <n v="8"/>
    <x v="1"/>
    <n v="7"/>
    <n v="0"/>
    <n v="7"/>
  </r>
  <r>
    <n v="47"/>
    <s v="Senior"/>
    <n v="1"/>
    <s v="Non-Travel"/>
    <n v="666"/>
    <x v="0"/>
    <n v="29"/>
    <s v="Long Commute"/>
    <s v="Master"/>
    <s v="Life Sciences"/>
    <n v="1"/>
    <s v="Male"/>
    <n v="88"/>
    <n v="3"/>
    <n v="3"/>
    <s v="Manager"/>
    <s v="Medium"/>
    <s v="Married"/>
    <n v="11849"/>
    <s v="High (&gt;10k)"/>
    <n v="10268"/>
    <n v="1"/>
    <x v="1"/>
    <n v="12"/>
    <n v="3"/>
    <n v="4"/>
    <n v="1"/>
    <n v="10"/>
    <n v="2"/>
    <s v="Good"/>
    <n v="10"/>
    <x v="2"/>
    <n v="7"/>
    <n v="9"/>
    <n v="9"/>
  </r>
  <r>
    <n v="47"/>
    <s v="Senior"/>
    <n v="0"/>
    <s v="Travel_Rarely"/>
    <n v="1482"/>
    <x v="0"/>
    <n v="5"/>
    <s v="Near Office"/>
    <s v="Doctor"/>
    <s v="Life Sciences"/>
    <n v="4"/>
    <s v="Male"/>
    <n v="42"/>
    <n v="3"/>
    <n v="5"/>
    <s v="Research Director"/>
    <s v="High"/>
    <s v="Married"/>
    <n v="18300"/>
    <s v="High (&gt;10k)"/>
    <n v="16375"/>
    <n v="4"/>
    <x v="0"/>
    <n v="11"/>
    <n v="3"/>
    <n v="2"/>
    <n v="1"/>
    <n v="21"/>
    <n v="2"/>
    <s v="Better"/>
    <n v="3"/>
    <x v="1"/>
    <n v="2"/>
    <n v="1"/>
    <n v="1"/>
  </r>
  <r>
    <n v="47"/>
    <s v="Senior"/>
    <n v="0"/>
    <s v="Travel_Frequently"/>
    <n v="1309"/>
    <x v="1"/>
    <n v="4"/>
    <s v="Near Office"/>
    <s v="Below College"/>
    <s v="Medical"/>
    <n v="2"/>
    <s v="Male"/>
    <n v="99"/>
    <n v="3"/>
    <n v="2"/>
    <s v="Sales Representative"/>
    <s v="High"/>
    <s v="Single"/>
    <n v="2976"/>
    <s v="Low (&lt;5k)"/>
    <n v="25751"/>
    <n v="3"/>
    <x v="0"/>
    <n v="19"/>
    <n v="3"/>
    <n v="1"/>
    <n v="0"/>
    <n v="5"/>
    <n v="3"/>
    <s v="Better"/>
    <n v="0"/>
    <x v="0"/>
    <n v="0"/>
    <n v="0"/>
    <n v="0"/>
  </r>
  <r>
    <n v="47"/>
    <s v="Senior"/>
    <n v="0"/>
    <s v="Travel_Rarely"/>
    <n v="983"/>
    <x v="0"/>
    <n v="2"/>
    <s v="Near Office"/>
    <s v="College"/>
    <s v="Medical"/>
    <n v="1"/>
    <s v="Female"/>
    <n v="65"/>
    <n v="3"/>
    <n v="2"/>
    <s v="Manufacturing Director"/>
    <s v="Very High"/>
    <s v="Divorced"/>
    <n v="5070"/>
    <s v="Medium (5k-10k)"/>
    <n v="7389"/>
    <n v="5"/>
    <x v="0"/>
    <n v="13"/>
    <n v="3"/>
    <n v="3"/>
    <n v="3"/>
    <n v="20"/>
    <n v="2"/>
    <s v="Better"/>
    <n v="5"/>
    <x v="1"/>
    <n v="0"/>
    <n v="0"/>
    <n v="4"/>
  </r>
  <r>
    <n v="47"/>
    <s v="Senior"/>
    <n v="0"/>
    <s v="Travel_Rarely"/>
    <n v="703"/>
    <x v="1"/>
    <n v="14"/>
    <s v="Moderate"/>
    <s v="Master"/>
    <s v="Marketing"/>
    <n v="4"/>
    <s v="Male"/>
    <n v="42"/>
    <n v="3"/>
    <n v="2"/>
    <s v="Sales Executive"/>
    <s v="Low"/>
    <s v="Single"/>
    <n v="4960"/>
    <s v="Low (&lt;5k)"/>
    <n v="11825"/>
    <n v="2"/>
    <x v="0"/>
    <n v="12"/>
    <n v="3"/>
    <n v="4"/>
    <n v="0"/>
    <n v="20"/>
    <n v="2"/>
    <s v="Better"/>
    <n v="7"/>
    <x v="1"/>
    <n v="7"/>
    <n v="1"/>
    <n v="7"/>
  </r>
  <r>
    <n v="47"/>
    <s v="Senior"/>
    <n v="0"/>
    <s v="Travel_Frequently"/>
    <n v="217"/>
    <x v="1"/>
    <n v="3"/>
    <s v="Near Office"/>
    <s v="Bachelor"/>
    <s v="Medical"/>
    <n v="4"/>
    <s v="Female"/>
    <n v="49"/>
    <n v="3"/>
    <n v="4"/>
    <s v="Sales Executive"/>
    <s v="High"/>
    <s v="Divorced"/>
    <n v="13770"/>
    <s v="High (&gt;10k)"/>
    <n v="10225"/>
    <n v="9"/>
    <x v="1"/>
    <n v="12"/>
    <n v="3"/>
    <n v="4"/>
    <n v="2"/>
    <n v="28"/>
    <n v="2"/>
    <s v="Good"/>
    <n v="22"/>
    <x v="2"/>
    <n v="2"/>
    <n v="11"/>
    <n v="13"/>
  </r>
  <r>
    <n v="47"/>
    <s v="Senior"/>
    <n v="1"/>
    <s v="Travel_Frequently"/>
    <n v="719"/>
    <x v="1"/>
    <n v="27"/>
    <s v="Long Commute"/>
    <s v="College"/>
    <s v="Life Sciences"/>
    <n v="2"/>
    <s v="Female"/>
    <n v="77"/>
    <n v="4"/>
    <n v="2"/>
    <s v="Sales Executive"/>
    <s v="High"/>
    <s v="Single"/>
    <n v="6397"/>
    <s v="Medium (5k-10k)"/>
    <n v="10339"/>
    <n v="4"/>
    <x v="1"/>
    <n v="12"/>
    <n v="3"/>
    <n v="4"/>
    <n v="0"/>
    <n v="8"/>
    <n v="2"/>
    <s v="Better"/>
    <n v="5"/>
    <x v="1"/>
    <n v="4"/>
    <n v="1"/>
    <n v="3"/>
  </r>
  <r>
    <n v="47"/>
    <s v="Senior"/>
    <n v="0"/>
    <s v="Travel_Rarely"/>
    <n v="202"/>
    <x v="0"/>
    <n v="2"/>
    <s v="Near Office"/>
    <s v="College"/>
    <s v="Other"/>
    <n v="3"/>
    <s v="Female"/>
    <n v="33"/>
    <n v="3"/>
    <n v="4"/>
    <s v="Manager"/>
    <s v="Very High"/>
    <s v="Married"/>
    <n v="16752"/>
    <s v="High (&gt;10k)"/>
    <n v="12982"/>
    <n v="1"/>
    <x v="1"/>
    <n v="11"/>
    <n v="3"/>
    <n v="3"/>
    <n v="1"/>
    <n v="26"/>
    <n v="3"/>
    <s v="Good"/>
    <n v="26"/>
    <x v="2"/>
    <n v="14"/>
    <n v="3"/>
    <n v="0"/>
  </r>
  <r>
    <n v="47"/>
    <s v="Senior"/>
    <n v="0"/>
    <s v="Travel_Rarely"/>
    <n v="249"/>
    <x v="1"/>
    <n v="2"/>
    <s v="Near Office"/>
    <s v="College"/>
    <s v="Marketing"/>
    <n v="3"/>
    <s v="Female"/>
    <n v="35"/>
    <n v="3"/>
    <n v="2"/>
    <s v="Sales Executive"/>
    <s v="Very High"/>
    <s v="Married"/>
    <n v="4537"/>
    <s v="Low (&lt;5k)"/>
    <n v="17783"/>
    <n v="0"/>
    <x v="1"/>
    <n v="22"/>
    <n v="4"/>
    <n v="1"/>
    <n v="1"/>
    <n v="8"/>
    <n v="2"/>
    <s v="Better"/>
    <n v="7"/>
    <x v="1"/>
    <n v="6"/>
    <n v="7"/>
    <n v="7"/>
  </r>
  <r>
    <n v="47"/>
    <s v="Senior"/>
    <n v="0"/>
    <s v="Travel_Rarely"/>
    <n v="1454"/>
    <x v="1"/>
    <n v="2"/>
    <s v="Near Office"/>
    <s v="Master"/>
    <s v="Life Sciences"/>
    <n v="4"/>
    <s v="Female"/>
    <n v="65"/>
    <n v="2"/>
    <n v="1"/>
    <s v="Sales Representative"/>
    <s v="Very High"/>
    <s v="Single"/>
    <n v="3294"/>
    <s v="Low (&lt;5k)"/>
    <n v="13137"/>
    <n v="1"/>
    <x v="1"/>
    <n v="18"/>
    <n v="3"/>
    <n v="1"/>
    <n v="0"/>
    <n v="3"/>
    <n v="3"/>
    <s v="Good"/>
    <n v="3"/>
    <x v="1"/>
    <n v="2"/>
    <n v="1"/>
    <n v="2"/>
  </r>
  <r>
    <n v="47"/>
    <s v="Senior"/>
    <n v="0"/>
    <s v="Travel_Frequently"/>
    <n v="1379"/>
    <x v="0"/>
    <n v="16"/>
    <s v="Long Commute"/>
    <s v="Master"/>
    <s v="Medical"/>
    <n v="3"/>
    <s v="Male"/>
    <n v="64"/>
    <n v="4"/>
    <n v="2"/>
    <s v="Manufacturing Director"/>
    <s v="High"/>
    <s v="Divorced"/>
    <n v="5067"/>
    <s v="Medium (5k-10k)"/>
    <n v="6759"/>
    <n v="1"/>
    <x v="1"/>
    <n v="19"/>
    <n v="3"/>
    <n v="3"/>
    <n v="0"/>
    <n v="20"/>
    <n v="3"/>
    <s v="Best"/>
    <n v="19"/>
    <x v="2"/>
    <n v="10"/>
    <n v="2"/>
    <n v="7"/>
  </r>
  <r>
    <n v="47"/>
    <s v="Senior"/>
    <n v="0"/>
    <s v="Travel_Rarely"/>
    <n v="955"/>
    <x v="1"/>
    <n v="4"/>
    <s v="Near Office"/>
    <s v="College"/>
    <s v="Life Sciences"/>
    <n v="4"/>
    <s v="Female"/>
    <n v="83"/>
    <n v="3"/>
    <n v="2"/>
    <s v="Sales Executive"/>
    <s v="Very High"/>
    <s v="Single"/>
    <n v="4163"/>
    <s v="Low (&lt;5k)"/>
    <n v="8571"/>
    <n v="1"/>
    <x v="1"/>
    <n v="17"/>
    <n v="3"/>
    <n v="3"/>
    <n v="0"/>
    <n v="9"/>
    <n v="0"/>
    <s v="Better"/>
    <n v="9"/>
    <x v="1"/>
    <n v="0"/>
    <n v="0"/>
    <n v="7"/>
  </r>
  <r>
    <n v="47"/>
    <s v="Senior"/>
    <n v="0"/>
    <s v="Travel_Rarely"/>
    <n v="465"/>
    <x v="0"/>
    <n v="1"/>
    <s v="Near Office"/>
    <s v="Bachelor"/>
    <s v="Technical Degree"/>
    <n v="1"/>
    <s v="Male"/>
    <n v="74"/>
    <n v="3"/>
    <n v="1"/>
    <s v="Research Scientist"/>
    <s v="Very High"/>
    <s v="Married"/>
    <n v="3420"/>
    <s v="Low (&lt;5k)"/>
    <n v="10205"/>
    <n v="7"/>
    <x v="0"/>
    <n v="12"/>
    <n v="3"/>
    <n v="3"/>
    <n v="1"/>
    <n v="17"/>
    <n v="2"/>
    <s v="Good"/>
    <n v="6"/>
    <x v="1"/>
    <n v="5"/>
    <n v="1"/>
    <n v="2"/>
  </r>
  <r>
    <n v="47"/>
    <s v="Senior"/>
    <n v="0"/>
    <s v="Travel_Rarely"/>
    <n v="359"/>
    <x v="0"/>
    <n v="2"/>
    <s v="Near Office"/>
    <s v="Master"/>
    <s v="Medical"/>
    <n v="1"/>
    <s v="Female"/>
    <n v="82"/>
    <n v="3"/>
    <n v="4"/>
    <s v="Research Director"/>
    <s v="High"/>
    <s v="Married"/>
    <n v="17169"/>
    <s v="High (&gt;10k)"/>
    <n v="26703"/>
    <n v="3"/>
    <x v="0"/>
    <n v="19"/>
    <n v="3"/>
    <n v="2"/>
    <n v="2"/>
    <n v="26"/>
    <n v="2"/>
    <s v="Best"/>
    <n v="20"/>
    <x v="2"/>
    <n v="17"/>
    <n v="5"/>
    <n v="6"/>
  </r>
  <r>
    <n v="47"/>
    <s v="Senior"/>
    <n v="0"/>
    <s v="Travel_Rarely"/>
    <n v="571"/>
    <x v="1"/>
    <n v="14"/>
    <s v="Moderate"/>
    <s v="Bachelor"/>
    <s v="Medical"/>
    <n v="3"/>
    <s v="Female"/>
    <n v="78"/>
    <n v="3"/>
    <n v="2"/>
    <s v="Sales Executive"/>
    <s v="High"/>
    <s v="Married"/>
    <n v="4591"/>
    <s v="Low (&lt;5k)"/>
    <n v="24200"/>
    <n v="3"/>
    <x v="1"/>
    <n v="17"/>
    <n v="3"/>
    <n v="3"/>
    <n v="1"/>
    <n v="11"/>
    <n v="4"/>
    <s v="Good"/>
    <n v="5"/>
    <x v="1"/>
    <n v="4"/>
    <n v="1"/>
    <n v="2"/>
  </r>
  <r>
    <n v="47"/>
    <s v="Senior"/>
    <n v="0"/>
    <s v="Travel_Rarely"/>
    <n v="1176"/>
    <x v="2"/>
    <n v="26"/>
    <s v="Long Commute"/>
    <s v="Master"/>
    <s v="Life Sciences"/>
    <n v="4"/>
    <s v="Female"/>
    <n v="98"/>
    <n v="3"/>
    <n v="5"/>
    <s v="Manager"/>
    <s v="High"/>
    <s v="Married"/>
    <n v="19658"/>
    <s v="High (&gt;10k)"/>
    <n v="5220"/>
    <n v="3"/>
    <x v="0"/>
    <n v="11"/>
    <n v="3"/>
    <n v="3"/>
    <n v="1"/>
    <n v="27"/>
    <n v="2"/>
    <s v="Better"/>
    <n v="5"/>
    <x v="1"/>
    <n v="2"/>
    <n v="1"/>
    <n v="0"/>
  </r>
  <r>
    <n v="47"/>
    <s v="Senior"/>
    <n v="0"/>
    <s v="Travel_Rarely"/>
    <n v="1225"/>
    <x v="1"/>
    <n v="2"/>
    <s v="Near Office"/>
    <s v="Master"/>
    <s v="Life Sciences"/>
    <n v="2"/>
    <s v="Female"/>
    <n v="47"/>
    <n v="4"/>
    <n v="4"/>
    <s v="Manager"/>
    <s v="Medium"/>
    <s v="Divorced"/>
    <n v="15972"/>
    <s v="High (&gt;10k)"/>
    <n v="21086"/>
    <n v="6"/>
    <x v="0"/>
    <n v="14"/>
    <n v="3"/>
    <n v="3"/>
    <n v="3"/>
    <n v="29"/>
    <n v="2"/>
    <s v="Better"/>
    <n v="3"/>
    <x v="1"/>
    <n v="2"/>
    <n v="1"/>
    <n v="2"/>
  </r>
  <r>
    <n v="47"/>
    <s v="Senior"/>
    <n v="1"/>
    <s v="Travel_Frequently"/>
    <n v="1093"/>
    <x v="1"/>
    <n v="9"/>
    <s v="Moderate"/>
    <s v="Bachelor"/>
    <s v="Life Sciences"/>
    <n v="3"/>
    <s v="Male"/>
    <n v="82"/>
    <n v="1"/>
    <n v="4"/>
    <s v="Sales Executive"/>
    <s v="High"/>
    <s v="Married"/>
    <n v="12936"/>
    <s v="High (&gt;10k)"/>
    <n v="24164"/>
    <n v="7"/>
    <x v="0"/>
    <n v="11"/>
    <n v="3"/>
    <n v="3"/>
    <n v="0"/>
    <n v="25"/>
    <n v="3"/>
    <s v="Bad"/>
    <n v="23"/>
    <x v="2"/>
    <n v="5"/>
    <n v="14"/>
    <n v="10"/>
  </r>
  <r>
    <n v="47"/>
    <s v="Senior"/>
    <n v="0"/>
    <s v="Non-Travel"/>
    <n v="543"/>
    <x v="1"/>
    <n v="2"/>
    <s v="Near Office"/>
    <s v="Master"/>
    <s v="Marketing"/>
    <n v="3"/>
    <s v="Male"/>
    <n v="87"/>
    <n v="3"/>
    <n v="2"/>
    <s v="Sales Executive"/>
    <s v="Medium"/>
    <s v="Married"/>
    <n v="4978"/>
    <s v="Low (&lt;5k)"/>
    <n v="3536"/>
    <n v="7"/>
    <x v="0"/>
    <n v="11"/>
    <n v="3"/>
    <n v="4"/>
    <n v="1"/>
    <n v="4"/>
    <n v="3"/>
    <s v="Bad"/>
    <n v="1"/>
    <x v="0"/>
    <n v="0"/>
    <n v="0"/>
    <n v="0"/>
  </r>
  <r>
    <n v="47"/>
    <s v="Senior"/>
    <n v="0"/>
    <s v="Travel_Rarely"/>
    <n v="1001"/>
    <x v="0"/>
    <n v="4"/>
    <s v="Near Office"/>
    <s v="Bachelor"/>
    <s v="Life Sciences"/>
    <n v="3"/>
    <s v="Female"/>
    <n v="92"/>
    <n v="2"/>
    <n v="3"/>
    <s v="Manufacturing Director"/>
    <s v="Medium"/>
    <s v="Divorced"/>
    <n v="10333"/>
    <s v="High (&gt;10k)"/>
    <n v="19271"/>
    <n v="8"/>
    <x v="1"/>
    <n v="12"/>
    <n v="3"/>
    <n v="3"/>
    <n v="1"/>
    <n v="28"/>
    <n v="4"/>
    <s v="Better"/>
    <n v="22"/>
    <x v="2"/>
    <n v="11"/>
    <n v="14"/>
    <n v="10"/>
  </r>
  <r>
    <n v="47"/>
    <s v="Senior"/>
    <n v="0"/>
    <s v="Travel_Rarely"/>
    <n v="207"/>
    <x v="0"/>
    <n v="9"/>
    <s v="Moderate"/>
    <s v="Master"/>
    <s v="Life Sciences"/>
    <n v="2"/>
    <s v="Female"/>
    <n v="64"/>
    <n v="3"/>
    <n v="1"/>
    <s v="Laboratory Technician"/>
    <s v="High"/>
    <s v="Single"/>
    <n v="2105"/>
    <s v="Low (&lt;5k)"/>
    <n v="5411"/>
    <n v="4"/>
    <x v="0"/>
    <n v="12"/>
    <n v="3"/>
    <n v="3"/>
    <n v="0"/>
    <n v="7"/>
    <n v="2"/>
    <s v="Better"/>
    <n v="2"/>
    <x v="0"/>
    <n v="2"/>
    <n v="2"/>
    <n v="0"/>
  </r>
  <r>
    <n v="47"/>
    <s v="Senior"/>
    <n v="0"/>
    <s v="Non-Travel"/>
    <n v="1169"/>
    <x v="0"/>
    <n v="14"/>
    <s v="Moderate"/>
    <s v="Master"/>
    <s v="Technical Degree"/>
    <n v="3"/>
    <s v="Male"/>
    <n v="64"/>
    <n v="3"/>
    <n v="2"/>
    <s v="Research Scientist"/>
    <s v="Medium"/>
    <s v="Married"/>
    <n v="5467"/>
    <s v="Medium (5k-10k)"/>
    <n v="2125"/>
    <n v="8"/>
    <x v="0"/>
    <n v="18"/>
    <n v="3"/>
    <n v="3"/>
    <n v="1"/>
    <n v="16"/>
    <n v="4"/>
    <s v="Best"/>
    <n v="8"/>
    <x v="1"/>
    <n v="7"/>
    <n v="1"/>
    <n v="7"/>
  </r>
  <r>
    <n v="47"/>
    <s v="Senior"/>
    <n v="0"/>
    <s v="Travel_Rarely"/>
    <n v="1180"/>
    <x v="0"/>
    <n v="25"/>
    <s v="Long Commute"/>
    <s v="Bachelor"/>
    <s v="Medical"/>
    <n v="1"/>
    <s v="Male"/>
    <n v="84"/>
    <n v="3"/>
    <n v="3"/>
    <s v="Healthcare Representative"/>
    <s v="High"/>
    <s v="Single"/>
    <n v="8633"/>
    <s v="Medium (5k-10k)"/>
    <n v="13084"/>
    <n v="2"/>
    <x v="0"/>
    <n v="23"/>
    <n v="4"/>
    <n v="2"/>
    <n v="0"/>
    <n v="25"/>
    <n v="3"/>
    <s v="Better"/>
    <n v="17"/>
    <x v="2"/>
    <n v="14"/>
    <n v="12"/>
    <n v="11"/>
  </r>
  <r>
    <n v="47"/>
    <s v="Senior"/>
    <n v="0"/>
    <s v="Non-Travel"/>
    <n v="1162"/>
    <x v="0"/>
    <n v="1"/>
    <s v="Near Office"/>
    <s v="Below College"/>
    <s v="Medical"/>
    <n v="3"/>
    <s v="Female"/>
    <n v="98"/>
    <n v="3"/>
    <n v="3"/>
    <s v="Research Director"/>
    <s v="Medium"/>
    <s v="Married"/>
    <n v="11957"/>
    <s v="High (&gt;10k)"/>
    <n v="17231"/>
    <n v="0"/>
    <x v="0"/>
    <n v="18"/>
    <n v="3"/>
    <n v="1"/>
    <n v="2"/>
    <n v="14"/>
    <n v="3"/>
    <s v="Bad"/>
    <n v="13"/>
    <x v="2"/>
    <n v="8"/>
    <n v="5"/>
    <n v="12"/>
  </r>
  <r>
    <n v="48"/>
    <s v="Senior"/>
    <n v="1"/>
    <s v="Travel_Rarely"/>
    <n v="626"/>
    <x v="0"/>
    <n v="1"/>
    <s v="Near Office"/>
    <s v="College"/>
    <s v="Life Sciences"/>
    <n v="1"/>
    <s v="Male"/>
    <n v="98"/>
    <n v="2"/>
    <n v="3"/>
    <s v="Laboratory Technician"/>
    <s v="High"/>
    <s v="Single"/>
    <n v="5381"/>
    <s v="Medium (5k-10k)"/>
    <n v="19294"/>
    <n v="9"/>
    <x v="1"/>
    <n v="13"/>
    <n v="3"/>
    <n v="4"/>
    <n v="0"/>
    <n v="23"/>
    <n v="2"/>
    <s v="Better"/>
    <n v="1"/>
    <x v="0"/>
    <n v="0"/>
    <n v="0"/>
    <n v="0"/>
  </r>
  <r>
    <n v="48"/>
    <s v="Senior"/>
    <n v="0"/>
    <s v="Travel_Rarely"/>
    <n v="530"/>
    <x v="1"/>
    <n v="29"/>
    <s v="Long Commute"/>
    <s v="Below College"/>
    <s v="Medical"/>
    <n v="1"/>
    <s v="Female"/>
    <n v="91"/>
    <n v="3"/>
    <n v="3"/>
    <s v="Manager"/>
    <s v="High"/>
    <s v="Married"/>
    <n v="12504"/>
    <s v="High (&gt;10k)"/>
    <n v="23978"/>
    <n v="3"/>
    <x v="0"/>
    <n v="21"/>
    <n v="4"/>
    <n v="2"/>
    <n v="1"/>
    <n v="15"/>
    <n v="3"/>
    <s v="Bad"/>
    <n v="0"/>
    <x v="0"/>
    <n v="0"/>
    <n v="0"/>
    <n v="0"/>
  </r>
  <r>
    <n v="48"/>
    <s v="Senior"/>
    <n v="0"/>
    <s v="Travel_Rarely"/>
    <n v="163"/>
    <x v="1"/>
    <n v="2"/>
    <s v="Near Office"/>
    <s v="Doctor"/>
    <s v="Marketing"/>
    <n v="2"/>
    <s v="Female"/>
    <n v="37"/>
    <n v="3"/>
    <n v="2"/>
    <s v="Sales Executive"/>
    <s v="Very High"/>
    <s v="Married"/>
    <n v="4051"/>
    <s v="Low (&lt;5k)"/>
    <n v="19658"/>
    <n v="2"/>
    <x v="0"/>
    <n v="14"/>
    <n v="3"/>
    <n v="1"/>
    <n v="1"/>
    <n v="14"/>
    <n v="2"/>
    <s v="Better"/>
    <n v="9"/>
    <x v="1"/>
    <n v="7"/>
    <n v="6"/>
    <n v="7"/>
  </r>
  <r>
    <n v="48"/>
    <s v="Senior"/>
    <n v="0"/>
    <s v="Travel_Rarely"/>
    <n v="1236"/>
    <x v="0"/>
    <n v="1"/>
    <s v="Near Office"/>
    <s v="Master"/>
    <s v="Life Sciences"/>
    <n v="4"/>
    <s v="Female"/>
    <n v="40"/>
    <n v="2"/>
    <n v="4"/>
    <s v="Manager"/>
    <s v="Low"/>
    <s v="Married"/>
    <n v="15402"/>
    <s v="High (&gt;10k)"/>
    <n v="17997"/>
    <n v="7"/>
    <x v="0"/>
    <n v="11"/>
    <n v="3"/>
    <n v="1"/>
    <n v="1"/>
    <n v="21"/>
    <n v="3"/>
    <s v="Bad"/>
    <n v="3"/>
    <x v="1"/>
    <n v="2"/>
    <n v="0"/>
    <n v="2"/>
  </r>
  <r>
    <n v="48"/>
    <s v="Senior"/>
    <n v="0"/>
    <s v="Travel_Rarely"/>
    <n v="817"/>
    <x v="1"/>
    <n v="2"/>
    <s v="Near Office"/>
    <s v="Below College"/>
    <s v="Marketing"/>
    <n v="2"/>
    <s v="Male"/>
    <n v="56"/>
    <n v="4"/>
    <n v="2"/>
    <s v="Sales Executive"/>
    <s v="Medium"/>
    <s v="Married"/>
    <n v="8120"/>
    <s v="Medium (5k-10k)"/>
    <n v="18597"/>
    <n v="3"/>
    <x v="0"/>
    <n v="12"/>
    <n v="3"/>
    <n v="4"/>
    <n v="0"/>
    <n v="12"/>
    <n v="3"/>
    <s v="Better"/>
    <n v="2"/>
    <x v="0"/>
    <n v="2"/>
    <n v="2"/>
    <n v="2"/>
  </r>
  <r>
    <n v="48"/>
    <s v="Senior"/>
    <n v="0"/>
    <s v="Travel_Rarely"/>
    <n v="1469"/>
    <x v="0"/>
    <n v="20"/>
    <s v="Long Commute"/>
    <s v="Master"/>
    <s v="Medical"/>
    <n v="4"/>
    <s v="Male"/>
    <n v="51"/>
    <n v="3"/>
    <n v="1"/>
    <s v="Research Scientist"/>
    <s v="High"/>
    <s v="Married"/>
    <n v="2259"/>
    <s v="Low (&lt;5k)"/>
    <n v="5543"/>
    <n v="4"/>
    <x v="0"/>
    <n v="17"/>
    <n v="3"/>
    <n v="1"/>
    <n v="2"/>
    <n v="13"/>
    <n v="2"/>
    <s v="Good"/>
    <n v="0"/>
    <x v="0"/>
    <n v="0"/>
    <n v="0"/>
    <n v="0"/>
  </r>
  <r>
    <n v="48"/>
    <s v="Senior"/>
    <n v="0"/>
    <s v="Travel_Rarely"/>
    <n v="277"/>
    <x v="0"/>
    <n v="6"/>
    <s v="Moderate"/>
    <s v="Bachelor"/>
    <s v="Life Sciences"/>
    <n v="1"/>
    <s v="Male"/>
    <n v="97"/>
    <n v="2"/>
    <n v="2"/>
    <s v="Healthcare Representative"/>
    <s v="High"/>
    <s v="Single"/>
    <n v="4240"/>
    <s v="Low (&lt;5k)"/>
    <n v="13119"/>
    <n v="2"/>
    <x v="0"/>
    <n v="13"/>
    <n v="3"/>
    <n v="4"/>
    <n v="0"/>
    <n v="19"/>
    <n v="0"/>
    <s v="Better"/>
    <n v="2"/>
    <x v="0"/>
    <n v="2"/>
    <n v="2"/>
    <n v="2"/>
  </r>
  <r>
    <n v="48"/>
    <s v="Senior"/>
    <n v="0"/>
    <s v="Travel_Rarely"/>
    <n v="1355"/>
    <x v="0"/>
    <n v="4"/>
    <s v="Near Office"/>
    <s v="Master"/>
    <s v="Life Sciences"/>
    <n v="3"/>
    <s v="Male"/>
    <n v="78"/>
    <n v="2"/>
    <n v="3"/>
    <s v="Healthcare Representative"/>
    <s v="High"/>
    <s v="Single"/>
    <n v="10999"/>
    <s v="High (&gt;10k)"/>
    <n v="22245"/>
    <n v="7"/>
    <x v="0"/>
    <n v="14"/>
    <n v="3"/>
    <n v="2"/>
    <n v="0"/>
    <n v="27"/>
    <n v="3"/>
    <s v="Better"/>
    <n v="15"/>
    <x v="2"/>
    <n v="11"/>
    <n v="4"/>
    <n v="8"/>
  </r>
  <r>
    <n v="48"/>
    <s v="Senior"/>
    <n v="0"/>
    <s v="Non-Travel"/>
    <n v="1262"/>
    <x v="0"/>
    <n v="1"/>
    <s v="Near Office"/>
    <s v="Master"/>
    <s v="Medical"/>
    <n v="1"/>
    <s v="Male"/>
    <n v="35"/>
    <n v="4"/>
    <n v="4"/>
    <s v="Manager"/>
    <s v="Very High"/>
    <s v="Single"/>
    <n v="16885"/>
    <s v="High (&gt;10k)"/>
    <n v="16154"/>
    <n v="2"/>
    <x v="0"/>
    <n v="22"/>
    <n v="4"/>
    <n v="3"/>
    <n v="0"/>
    <n v="27"/>
    <n v="3"/>
    <s v="Good"/>
    <n v="5"/>
    <x v="1"/>
    <n v="4"/>
    <n v="2"/>
    <n v="1"/>
  </r>
  <r>
    <n v="48"/>
    <s v="Senior"/>
    <n v="0"/>
    <s v="Travel_Rarely"/>
    <n v="969"/>
    <x v="0"/>
    <n v="2"/>
    <s v="Near Office"/>
    <s v="College"/>
    <s v="Technical Degree"/>
    <n v="4"/>
    <s v="Male"/>
    <n v="76"/>
    <n v="4"/>
    <n v="1"/>
    <s v="Laboratory Technician"/>
    <s v="Medium"/>
    <s v="Single"/>
    <n v="2559"/>
    <s v="Low (&lt;5k)"/>
    <n v="16620"/>
    <n v="5"/>
    <x v="0"/>
    <n v="11"/>
    <n v="3"/>
    <n v="3"/>
    <n v="0"/>
    <n v="7"/>
    <n v="4"/>
    <s v="Good"/>
    <n v="1"/>
    <x v="0"/>
    <n v="0"/>
    <n v="0"/>
    <n v="0"/>
  </r>
  <r>
    <n v="48"/>
    <s v="Senior"/>
    <n v="0"/>
    <s v="Travel_Rarely"/>
    <n v="715"/>
    <x v="0"/>
    <n v="1"/>
    <s v="Near Office"/>
    <s v="Bachelor"/>
    <s v="Life Sciences"/>
    <n v="4"/>
    <s v="Male"/>
    <n v="76"/>
    <n v="2"/>
    <n v="5"/>
    <s v="Research Director"/>
    <s v="Very High"/>
    <s v="Single"/>
    <n v="18265"/>
    <s v="High (&gt;10k)"/>
    <n v="8733"/>
    <n v="6"/>
    <x v="0"/>
    <n v="12"/>
    <n v="3"/>
    <n v="3"/>
    <n v="0"/>
    <n v="25"/>
    <n v="3"/>
    <s v="Best"/>
    <n v="1"/>
    <x v="0"/>
    <n v="0"/>
    <n v="0"/>
    <n v="0"/>
  </r>
  <r>
    <n v="48"/>
    <s v="Senior"/>
    <n v="0"/>
    <s v="Travel_Rarely"/>
    <n v="855"/>
    <x v="0"/>
    <n v="4"/>
    <s v="Near Office"/>
    <s v="Bachelor"/>
    <s v="Life Sciences"/>
    <n v="4"/>
    <s v="Male"/>
    <n v="54"/>
    <n v="3"/>
    <n v="3"/>
    <s v="Manufacturing Director"/>
    <s v="Very High"/>
    <s v="Single"/>
    <n v="7898"/>
    <s v="Medium (5k-10k)"/>
    <n v="18706"/>
    <n v="1"/>
    <x v="0"/>
    <n v="11"/>
    <n v="3"/>
    <n v="3"/>
    <n v="0"/>
    <n v="11"/>
    <n v="2"/>
    <s v="Better"/>
    <n v="10"/>
    <x v="2"/>
    <n v="9"/>
    <n v="0"/>
    <n v="8"/>
  </r>
  <r>
    <n v="48"/>
    <s v="Senior"/>
    <n v="0"/>
    <s v="Travel_Rarely"/>
    <n v="1221"/>
    <x v="1"/>
    <n v="7"/>
    <s v="Moderate"/>
    <s v="Bachelor"/>
    <s v="Marketing"/>
    <n v="3"/>
    <s v="Male"/>
    <n v="96"/>
    <n v="3"/>
    <n v="2"/>
    <s v="Sales Executive"/>
    <s v="Low"/>
    <s v="Divorced"/>
    <n v="5486"/>
    <s v="Medium (5k-10k)"/>
    <n v="24795"/>
    <n v="4"/>
    <x v="0"/>
    <n v="11"/>
    <n v="3"/>
    <n v="1"/>
    <n v="3"/>
    <n v="15"/>
    <n v="3"/>
    <s v="Better"/>
    <n v="2"/>
    <x v="0"/>
    <n v="2"/>
    <n v="2"/>
    <n v="2"/>
  </r>
  <r>
    <n v="48"/>
    <s v="Senior"/>
    <n v="0"/>
    <s v="Travel_Rarely"/>
    <n v="492"/>
    <x v="1"/>
    <n v="16"/>
    <s v="Long Commute"/>
    <s v="Master"/>
    <s v="Life Sciences"/>
    <n v="3"/>
    <s v="Female"/>
    <n v="96"/>
    <n v="3"/>
    <n v="2"/>
    <s v="Sales Executive"/>
    <s v="High"/>
    <s v="Divorced"/>
    <n v="6439"/>
    <s v="Medium (5k-10k)"/>
    <n v="13693"/>
    <n v="8"/>
    <x v="0"/>
    <n v="14"/>
    <n v="3"/>
    <n v="3"/>
    <n v="1"/>
    <n v="18"/>
    <n v="2"/>
    <s v="Better"/>
    <n v="8"/>
    <x v="1"/>
    <n v="7"/>
    <n v="7"/>
    <n v="7"/>
  </r>
  <r>
    <n v="48"/>
    <s v="Senior"/>
    <n v="0"/>
    <s v="Travel_Rarely"/>
    <n v="1108"/>
    <x v="0"/>
    <n v="15"/>
    <s v="Moderate"/>
    <s v="Master"/>
    <s v="Other"/>
    <n v="3"/>
    <s v="Female"/>
    <n v="65"/>
    <n v="3"/>
    <n v="1"/>
    <s v="Research Scientist"/>
    <s v="Low"/>
    <s v="Married"/>
    <n v="2367"/>
    <s v="Low (&lt;5k)"/>
    <n v="16530"/>
    <n v="8"/>
    <x v="0"/>
    <n v="12"/>
    <n v="3"/>
    <n v="4"/>
    <n v="1"/>
    <n v="10"/>
    <n v="3"/>
    <s v="Good"/>
    <n v="8"/>
    <x v="1"/>
    <n v="2"/>
    <n v="7"/>
    <n v="6"/>
  </r>
  <r>
    <n v="48"/>
    <s v="Senior"/>
    <n v="0"/>
    <s v="Travel_Frequently"/>
    <n v="365"/>
    <x v="0"/>
    <n v="4"/>
    <s v="Near Office"/>
    <s v="Doctor"/>
    <s v="Medical"/>
    <n v="3"/>
    <s v="Male"/>
    <n v="89"/>
    <n v="2"/>
    <n v="4"/>
    <s v="Manager"/>
    <s v="Very High"/>
    <s v="Married"/>
    <n v="15202"/>
    <s v="High (&gt;10k)"/>
    <n v="5602"/>
    <n v="2"/>
    <x v="0"/>
    <n v="25"/>
    <n v="4"/>
    <n v="2"/>
    <n v="1"/>
    <n v="23"/>
    <n v="3"/>
    <s v="Better"/>
    <n v="2"/>
    <x v="0"/>
    <n v="2"/>
    <n v="2"/>
    <n v="2"/>
  </r>
  <r>
    <n v="48"/>
    <s v="Senior"/>
    <n v="1"/>
    <s v="Travel_Frequently"/>
    <n v="708"/>
    <x v="1"/>
    <n v="7"/>
    <s v="Moderate"/>
    <s v="College"/>
    <s v="Medical"/>
    <n v="4"/>
    <s v="Female"/>
    <n v="95"/>
    <n v="3"/>
    <n v="1"/>
    <s v="Sales Representative"/>
    <s v="High"/>
    <s v="Married"/>
    <n v="2655"/>
    <s v="Low (&lt;5k)"/>
    <n v="11740"/>
    <n v="2"/>
    <x v="1"/>
    <n v="11"/>
    <n v="3"/>
    <n v="3"/>
    <n v="2"/>
    <n v="19"/>
    <n v="3"/>
    <s v="Better"/>
    <n v="9"/>
    <x v="1"/>
    <n v="7"/>
    <n v="7"/>
    <n v="7"/>
  </r>
  <r>
    <n v="48"/>
    <s v="Senior"/>
    <n v="0"/>
    <s v="Travel_Rarely"/>
    <n v="1224"/>
    <x v="0"/>
    <n v="10"/>
    <s v="Moderate"/>
    <s v="Bachelor"/>
    <s v="Life Sciences"/>
    <n v="4"/>
    <s v="Male"/>
    <n v="91"/>
    <n v="2"/>
    <n v="5"/>
    <s v="Research Director"/>
    <s v="Medium"/>
    <s v="Married"/>
    <n v="19665"/>
    <s v="High (&gt;10k)"/>
    <n v="13583"/>
    <n v="4"/>
    <x v="0"/>
    <n v="12"/>
    <n v="3"/>
    <n v="4"/>
    <n v="0"/>
    <n v="29"/>
    <n v="3"/>
    <s v="Better"/>
    <n v="22"/>
    <x v="2"/>
    <n v="10"/>
    <n v="12"/>
    <n v="9"/>
  </r>
  <r>
    <n v="48"/>
    <s v="Senior"/>
    <n v="0"/>
    <s v="Travel_Frequently"/>
    <n v="117"/>
    <x v="0"/>
    <n v="22"/>
    <s v="Long Commute"/>
    <s v="Bachelor"/>
    <s v="Medical"/>
    <n v="4"/>
    <s v="Female"/>
    <n v="58"/>
    <n v="3"/>
    <n v="4"/>
    <s v="Manager"/>
    <s v="Very High"/>
    <s v="Divorced"/>
    <n v="17174"/>
    <s v="High (&gt;10k)"/>
    <n v="2437"/>
    <n v="3"/>
    <x v="0"/>
    <n v="11"/>
    <n v="3"/>
    <n v="2"/>
    <n v="1"/>
    <n v="24"/>
    <n v="3"/>
    <s v="Better"/>
    <n v="22"/>
    <x v="2"/>
    <n v="17"/>
    <n v="4"/>
    <n v="7"/>
  </r>
  <r>
    <n v="49"/>
    <s v="Senior"/>
    <n v="0"/>
    <s v="Travel_Frequently"/>
    <n v="279"/>
    <x v="0"/>
    <n v="8"/>
    <s v="Moderate"/>
    <s v="Below College"/>
    <s v="Life Sciences"/>
    <n v="3"/>
    <s v="Male"/>
    <n v="61"/>
    <n v="2"/>
    <n v="2"/>
    <s v="Research Scientist"/>
    <s v="Medium"/>
    <s v="Married"/>
    <n v="5130"/>
    <s v="Medium (5k-10k)"/>
    <n v="24907"/>
    <n v="1"/>
    <x v="0"/>
    <n v="23"/>
    <n v="4"/>
    <n v="4"/>
    <n v="1"/>
    <n v="10"/>
    <n v="3"/>
    <s v="Better"/>
    <n v="10"/>
    <x v="2"/>
    <n v="7"/>
    <n v="1"/>
    <n v="7"/>
  </r>
  <r>
    <n v="49"/>
    <s v="Senior"/>
    <n v="0"/>
    <s v="Travel_Rarely"/>
    <n v="470"/>
    <x v="0"/>
    <n v="20"/>
    <s v="Long Commute"/>
    <s v="Master"/>
    <s v="Medical"/>
    <n v="3"/>
    <s v="Female"/>
    <n v="96"/>
    <n v="3"/>
    <n v="2"/>
    <s v="Manufacturing Director"/>
    <s v="Low"/>
    <s v="Married"/>
    <n v="6567"/>
    <s v="Medium (5k-10k)"/>
    <n v="5549"/>
    <n v="1"/>
    <x v="0"/>
    <n v="14"/>
    <n v="3"/>
    <n v="3"/>
    <n v="0"/>
    <n v="16"/>
    <n v="2"/>
    <s v="Good"/>
    <n v="15"/>
    <x v="2"/>
    <n v="11"/>
    <n v="5"/>
    <n v="11"/>
  </r>
  <r>
    <n v="49"/>
    <s v="Senior"/>
    <n v="0"/>
    <s v="Non-Travel"/>
    <n v="1002"/>
    <x v="0"/>
    <n v="18"/>
    <s v="Long Commute"/>
    <s v="Master"/>
    <s v="Life Sciences"/>
    <n v="4"/>
    <s v="Male"/>
    <n v="92"/>
    <n v="3"/>
    <n v="2"/>
    <s v="Manufacturing Director"/>
    <s v="Very High"/>
    <s v="Divorced"/>
    <n v="6804"/>
    <s v="Medium (5k-10k)"/>
    <n v="23793"/>
    <n v="1"/>
    <x v="1"/>
    <n v="15"/>
    <n v="3"/>
    <n v="1"/>
    <n v="2"/>
    <n v="7"/>
    <n v="0"/>
    <s v="Better"/>
    <n v="7"/>
    <x v="1"/>
    <n v="7"/>
    <n v="1"/>
    <n v="7"/>
  </r>
  <r>
    <n v="49"/>
    <s v="Senior"/>
    <n v="0"/>
    <s v="Travel_Frequently"/>
    <n v="636"/>
    <x v="0"/>
    <n v="10"/>
    <s v="Moderate"/>
    <s v="Master"/>
    <s v="Life Sciences"/>
    <n v="3"/>
    <s v="Female"/>
    <n v="35"/>
    <n v="3"/>
    <n v="5"/>
    <s v="Research Director"/>
    <s v="Low"/>
    <s v="Single"/>
    <n v="18665"/>
    <s v="High (&gt;10k)"/>
    <n v="25594"/>
    <n v="9"/>
    <x v="1"/>
    <n v="11"/>
    <n v="3"/>
    <n v="4"/>
    <n v="0"/>
    <n v="22"/>
    <n v="4"/>
    <s v="Better"/>
    <n v="3"/>
    <x v="1"/>
    <n v="2"/>
    <n v="1"/>
    <n v="2"/>
  </r>
  <r>
    <n v="49"/>
    <s v="Senior"/>
    <n v="0"/>
    <s v="Travel_Rarely"/>
    <n v="1091"/>
    <x v="0"/>
    <n v="1"/>
    <s v="Near Office"/>
    <s v="College"/>
    <s v="Technical Degree"/>
    <n v="3"/>
    <s v="Female"/>
    <n v="90"/>
    <n v="2"/>
    <n v="4"/>
    <s v="Healthcare Representative"/>
    <s v="High"/>
    <s v="Single"/>
    <n v="13964"/>
    <s v="High (&gt;10k)"/>
    <n v="17810"/>
    <n v="7"/>
    <x v="1"/>
    <n v="12"/>
    <n v="3"/>
    <n v="4"/>
    <n v="0"/>
    <n v="25"/>
    <n v="2"/>
    <s v="Better"/>
    <n v="7"/>
    <x v="1"/>
    <n v="1"/>
    <n v="0"/>
    <n v="7"/>
  </r>
  <r>
    <n v="49"/>
    <s v="Senior"/>
    <n v="0"/>
    <s v="Travel_Rarely"/>
    <n v="1261"/>
    <x v="0"/>
    <n v="7"/>
    <s v="Moderate"/>
    <s v="Bachelor"/>
    <s v="Other"/>
    <n v="2"/>
    <s v="Male"/>
    <n v="31"/>
    <n v="2"/>
    <n v="3"/>
    <s v="Healthcare Representative"/>
    <s v="High"/>
    <s v="Single"/>
    <n v="10965"/>
    <s v="High (&gt;10k)"/>
    <n v="12066"/>
    <n v="8"/>
    <x v="0"/>
    <n v="24"/>
    <n v="4"/>
    <n v="3"/>
    <n v="0"/>
    <n v="26"/>
    <n v="2"/>
    <s v="Better"/>
    <n v="5"/>
    <x v="1"/>
    <n v="2"/>
    <n v="0"/>
    <n v="0"/>
  </r>
  <r>
    <n v="49"/>
    <s v="Senior"/>
    <n v="0"/>
    <s v="Travel_Rarely"/>
    <n v="1245"/>
    <x v="0"/>
    <n v="18"/>
    <s v="Long Commute"/>
    <s v="Master"/>
    <s v="Life Sciences"/>
    <n v="4"/>
    <s v="Male"/>
    <n v="58"/>
    <n v="2"/>
    <n v="5"/>
    <s v="Research Director"/>
    <s v="High"/>
    <s v="Divorced"/>
    <n v="19502"/>
    <s v="High (&gt;10k)"/>
    <n v="2125"/>
    <n v="1"/>
    <x v="1"/>
    <n v="17"/>
    <n v="3"/>
    <n v="3"/>
    <n v="1"/>
    <n v="31"/>
    <n v="5"/>
    <s v="Better"/>
    <n v="31"/>
    <x v="2"/>
    <n v="9"/>
    <n v="0"/>
    <n v="9"/>
  </r>
  <r>
    <n v="49"/>
    <s v="Senior"/>
    <n v="1"/>
    <s v="Travel_Rarely"/>
    <n v="1184"/>
    <x v="1"/>
    <n v="11"/>
    <s v="Moderate"/>
    <s v="Bachelor"/>
    <s v="Marketing"/>
    <n v="3"/>
    <s v="Female"/>
    <n v="43"/>
    <n v="3"/>
    <n v="3"/>
    <s v="Sales Executive"/>
    <s v="Very High"/>
    <s v="Married"/>
    <n v="7654"/>
    <s v="Medium (5k-10k)"/>
    <n v="5860"/>
    <n v="1"/>
    <x v="0"/>
    <n v="18"/>
    <n v="3"/>
    <n v="1"/>
    <n v="2"/>
    <n v="9"/>
    <n v="3"/>
    <s v="Best"/>
    <n v="9"/>
    <x v="1"/>
    <n v="8"/>
    <n v="7"/>
    <n v="7"/>
  </r>
  <r>
    <n v="49"/>
    <s v="Senior"/>
    <n v="0"/>
    <s v="Travel_Rarely"/>
    <n v="1418"/>
    <x v="0"/>
    <n v="1"/>
    <s v="Near Office"/>
    <s v="Bachelor"/>
    <s v="Technical Degree"/>
    <n v="3"/>
    <s v="Female"/>
    <n v="36"/>
    <n v="3"/>
    <n v="1"/>
    <s v="Research Scientist"/>
    <s v="Low"/>
    <s v="Married"/>
    <n v="3580"/>
    <s v="Low (&lt;5k)"/>
    <n v="10554"/>
    <n v="2"/>
    <x v="0"/>
    <n v="16"/>
    <n v="3"/>
    <n v="2"/>
    <n v="1"/>
    <n v="7"/>
    <n v="2"/>
    <s v="Better"/>
    <n v="4"/>
    <x v="1"/>
    <n v="2"/>
    <n v="0"/>
    <n v="2"/>
  </r>
  <r>
    <n v="49"/>
    <s v="Senior"/>
    <n v="0"/>
    <s v="Travel_Rarely"/>
    <n v="527"/>
    <x v="0"/>
    <n v="8"/>
    <s v="Moderate"/>
    <s v="College"/>
    <s v="Other"/>
    <n v="1"/>
    <s v="Female"/>
    <n v="51"/>
    <n v="3"/>
    <n v="3"/>
    <s v="Laboratory Technician"/>
    <s v="Medium"/>
    <s v="Married"/>
    <n v="7403"/>
    <s v="Medium (5k-10k)"/>
    <n v="22477"/>
    <n v="4"/>
    <x v="0"/>
    <n v="11"/>
    <n v="3"/>
    <n v="3"/>
    <n v="1"/>
    <n v="29"/>
    <n v="3"/>
    <s v="Good"/>
    <n v="26"/>
    <x v="2"/>
    <n v="9"/>
    <n v="1"/>
    <n v="7"/>
  </r>
  <r>
    <n v="49"/>
    <s v="Senior"/>
    <n v="0"/>
    <s v="Travel_Rarely"/>
    <n v="174"/>
    <x v="1"/>
    <n v="8"/>
    <s v="Moderate"/>
    <s v="Master"/>
    <s v="Technical Degree"/>
    <n v="4"/>
    <s v="Male"/>
    <n v="56"/>
    <n v="2"/>
    <n v="4"/>
    <s v="Sales Executive"/>
    <s v="Medium"/>
    <s v="Married"/>
    <n v="13120"/>
    <s v="High (&gt;10k)"/>
    <n v="11879"/>
    <n v="6"/>
    <x v="0"/>
    <n v="17"/>
    <n v="3"/>
    <n v="2"/>
    <n v="1"/>
    <n v="22"/>
    <n v="3"/>
    <s v="Better"/>
    <n v="9"/>
    <x v="1"/>
    <n v="8"/>
    <n v="2"/>
    <n v="3"/>
  </r>
  <r>
    <n v="49"/>
    <s v="Senior"/>
    <n v="0"/>
    <s v="Travel_Rarely"/>
    <n v="1098"/>
    <x v="0"/>
    <n v="4"/>
    <s v="Near Office"/>
    <s v="College"/>
    <s v="Medical"/>
    <n v="1"/>
    <s v="Male"/>
    <n v="85"/>
    <n v="2"/>
    <n v="5"/>
    <s v="Manager"/>
    <s v="High"/>
    <s v="Married"/>
    <n v="18711"/>
    <s v="High (&gt;10k)"/>
    <n v="12124"/>
    <n v="2"/>
    <x v="0"/>
    <n v="13"/>
    <n v="3"/>
    <n v="3"/>
    <n v="1"/>
    <n v="23"/>
    <n v="2"/>
    <s v="Best"/>
    <n v="1"/>
    <x v="0"/>
    <n v="0"/>
    <n v="0"/>
    <n v="0"/>
  </r>
  <r>
    <n v="49"/>
    <s v="Senior"/>
    <n v="1"/>
    <s v="Travel_Frequently"/>
    <n v="1475"/>
    <x v="0"/>
    <n v="28"/>
    <s v="Long Commute"/>
    <s v="College"/>
    <s v="Life Sciences"/>
    <n v="1"/>
    <s v="Male"/>
    <n v="97"/>
    <n v="2"/>
    <n v="2"/>
    <s v="Laboratory Technician"/>
    <s v="Low"/>
    <s v="Single"/>
    <n v="4284"/>
    <s v="Low (&lt;5k)"/>
    <n v="22710"/>
    <n v="3"/>
    <x v="0"/>
    <n v="20"/>
    <n v="4"/>
    <n v="1"/>
    <n v="0"/>
    <n v="20"/>
    <n v="2"/>
    <s v="Better"/>
    <n v="4"/>
    <x v="1"/>
    <n v="3"/>
    <n v="1"/>
    <n v="3"/>
  </r>
  <r>
    <n v="49"/>
    <s v="Senior"/>
    <n v="0"/>
    <s v="Travel_Rarely"/>
    <n v="1495"/>
    <x v="0"/>
    <n v="5"/>
    <s v="Near Office"/>
    <s v="Master"/>
    <s v="Technical Degree"/>
    <n v="1"/>
    <s v="Male"/>
    <n v="96"/>
    <n v="3"/>
    <n v="2"/>
    <s v="Healthcare Representative"/>
    <s v="High"/>
    <s v="Married"/>
    <n v="6651"/>
    <s v="Medium (5k-10k)"/>
    <n v="21534"/>
    <n v="2"/>
    <x v="0"/>
    <n v="14"/>
    <n v="3"/>
    <n v="2"/>
    <n v="1"/>
    <n v="20"/>
    <n v="0"/>
    <s v="Good"/>
    <n v="3"/>
    <x v="1"/>
    <n v="2"/>
    <n v="1"/>
    <n v="2"/>
  </r>
  <r>
    <n v="49"/>
    <s v="Senior"/>
    <n v="0"/>
    <s v="Travel_Rarely"/>
    <n v="1490"/>
    <x v="0"/>
    <n v="7"/>
    <s v="Moderate"/>
    <s v="Master"/>
    <s v="Life Sciences"/>
    <n v="3"/>
    <s v="Male"/>
    <n v="35"/>
    <n v="3"/>
    <n v="3"/>
    <s v="Healthcare Representative"/>
    <s v="Medium"/>
    <s v="Divorced"/>
    <n v="10466"/>
    <s v="High (&gt;10k)"/>
    <n v="20948"/>
    <n v="3"/>
    <x v="0"/>
    <n v="14"/>
    <n v="3"/>
    <n v="2"/>
    <n v="2"/>
    <n v="29"/>
    <n v="3"/>
    <s v="Better"/>
    <n v="8"/>
    <x v="1"/>
    <n v="7"/>
    <n v="0"/>
    <n v="7"/>
  </r>
  <r>
    <n v="49"/>
    <s v="Senior"/>
    <n v="0"/>
    <s v="Travel_Rarely"/>
    <n v="271"/>
    <x v="0"/>
    <n v="3"/>
    <s v="Near Office"/>
    <s v="College"/>
    <s v="Medical"/>
    <n v="3"/>
    <s v="Female"/>
    <n v="43"/>
    <n v="2"/>
    <n v="2"/>
    <s v="Laboratory Technician"/>
    <s v="Low"/>
    <s v="Married"/>
    <n v="4789"/>
    <s v="Low (&lt;5k)"/>
    <n v="23070"/>
    <n v="4"/>
    <x v="0"/>
    <n v="25"/>
    <n v="4"/>
    <n v="1"/>
    <n v="1"/>
    <n v="10"/>
    <n v="3"/>
    <s v="Better"/>
    <n v="3"/>
    <x v="1"/>
    <n v="2"/>
    <n v="1"/>
    <n v="2"/>
  </r>
  <r>
    <n v="49"/>
    <s v="Senior"/>
    <n v="0"/>
    <s v="Travel_Rarely"/>
    <n v="722"/>
    <x v="0"/>
    <n v="25"/>
    <s v="Long Commute"/>
    <s v="Master"/>
    <s v="Life Sciences"/>
    <n v="3"/>
    <s v="Female"/>
    <n v="84"/>
    <n v="3"/>
    <n v="1"/>
    <s v="Laboratory Technician"/>
    <s v="Low"/>
    <s v="Married"/>
    <n v="3211"/>
    <s v="Low (&lt;5k)"/>
    <n v="22102"/>
    <n v="1"/>
    <x v="0"/>
    <n v="14"/>
    <n v="3"/>
    <n v="4"/>
    <n v="1"/>
    <n v="10"/>
    <n v="3"/>
    <s v="Good"/>
    <n v="9"/>
    <x v="1"/>
    <n v="6"/>
    <n v="1"/>
    <n v="4"/>
  </r>
  <r>
    <n v="49"/>
    <s v="Senior"/>
    <n v="0"/>
    <s v="Travel_Rarely"/>
    <n v="301"/>
    <x v="0"/>
    <n v="22"/>
    <s v="Long Commute"/>
    <s v="Master"/>
    <s v="Other"/>
    <n v="1"/>
    <s v="Female"/>
    <n v="72"/>
    <n v="3"/>
    <n v="4"/>
    <s v="Research Director"/>
    <s v="Medium"/>
    <s v="Married"/>
    <n v="16413"/>
    <s v="High (&gt;10k)"/>
    <n v="3498"/>
    <n v="3"/>
    <x v="0"/>
    <n v="16"/>
    <n v="3"/>
    <n v="2"/>
    <n v="2"/>
    <n v="27"/>
    <n v="2"/>
    <s v="Better"/>
    <n v="4"/>
    <x v="1"/>
    <n v="2"/>
    <n v="1"/>
    <n v="2"/>
  </r>
  <r>
    <n v="49"/>
    <s v="Senior"/>
    <n v="0"/>
    <s v="Travel_Rarely"/>
    <n v="465"/>
    <x v="0"/>
    <n v="6"/>
    <s v="Moderate"/>
    <s v="Below College"/>
    <s v="Life Sciences"/>
    <n v="3"/>
    <s v="Female"/>
    <n v="41"/>
    <n v="2"/>
    <n v="4"/>
    <s v="Healthcare Representative"/>
    <s v="High"/>
    <s v="Married"/>
    <n v="13966"/>
    <s v="High (&gt;10k)"/>
    <n v="11652"/>
    <n v="2"/>
    <x v="1"/>
    <n v="19"/>
    <n v="3"/>
    <n v="2"/>
    <n v="1"/>
    <n v="30"/>
    <n v="3"/>
    <s v="Better"/>
    <n v="15"/>
    <x v="2"/>
    <n v="11"/>
    <n v="2"/>
    <n v="12"/>
  </r>
  <r>
    <n v="49"/>
    <s v="Senior"/>
    <n v="0"/>
    <s v="Travel_Rarely"/>
    <n v="464"/>
    <x v="0"/>
    <n v="16"/>
    <s v="Long Commute"/>
    <s v="Bachelor"/>
    <s v="Medical"/>
    <n v="4"/>
    <s v="Female"/>
    <n v="74"/>
    <n v="3"/>
    <n v="1"/>
    <s v="Laboratory Technician"/>
    <s v="Low"/>
    <s v="Divorced"/>
    <n v="2587"/>
    <s v="Low (&lt;5k)"/>
    <n v="24941"/>
    <n v="4"/>
    <x v="1"/>
    <n v="16"/>
    <n v="3"/>
    <n v="2"/>
    <n v="1"/>
    <n v="17"/>
    <n v="2"/>
    <s v="Good"/>
    <n v="2"/>
    <x v="0"/>
    <n v="2"/>
    <n v="2"/>
    <n v="2"/>
  </r>
  <r>
    <n v="49"/>
    <s v="Senior"/>
    <n v="0"/>
    <s v="Travel_Rarely"/>
    <n v="809"/>
    <x v="0"/>
    <n v="1"/>
    <s v="Near Office"/>
    <s v="Bachelor"/>
    <s v="Life Sciences"/>
    <n v="3"/>
    <s v="Male"/>
    <n v="36"/>
    <n v="3"/>
    <n v="4"/>
    <s v="Manager"/>
    <s v="High"/>
    <s v="Single"/>
    <n v="15379"/>
    <s v="High (&gt;10k)"/>
    <n v="22384"/>
    <n v="4"/>
    <x v="0"/>
    <n v="14"/>
    <n v="3"/>
    <n v="1"/>
    <n v="0"/>
    <n v="23"/>
    <n v="2"/>
    <s v="Better"/>
    <n v="8"/>
    <x v="1"/>
    <n v="7"/>
    <n v="0"/>
    <n v="0"/>
  </r>
  <r>
    <n v="49"/>
    <s v="Senior"/>
    <n v="0"/>
    <s v="Travel_Rarely"/>
    <n v="1313"/>
    <x v="1"/>
    <n v="11"/>
    <s v="Moderate"/>
    <s v="Master"/>
    <s v="Marketing"/>
    <n v="4"/>
    <s v="Female"/>
    <n v="80"/>
    <n v="3"/>
    <n v="2"/>
    <s v="Sales Executive"/>
    <s v="Very High"/>
    <s v="Single"/>
    <n v="4507"/>
    <s v="Low (&lt;5k)"/>
    <n v="8191"/>
    <n v="3"/>
    <x v="0"/>
    <n v="12"/>
    <n v="3"/>
    <n v="3"/>
    <n v="0"/>
    <n v="8"/>
    <n v="1"/>
    <s v="Best"/>
    <n v="5"/>
    <x v="1"/>
    <n v="1"/>
    <n v="0"/>
    <n v="4"/>
  </r>
  <r>
    <n v="49"/>
    <s v="Senior"/>
    <n v="0"/>
    <s v="Travel_Frequently"/>
    <n v="1064"/>
    <x v="0"/>
    <n v="2"/>
    <s v="Near Office"/>
    <s v="Below College"/>
    <s v="Life Sciences"/>
    <n v="2"/>
    <s v="Male"/>
    <n v="42"/>
    <n v="3"/>
    <n v="5"/>
    <s v="Research Director"/>
    <s v="Very High"/>
    <s v="Married"/>
    <n v="19161"/>
    <s v="High (&gt;10k)"/>
    <n v="13738"/>
    <n v="3"/>
    <x v="0"/>
    <n v="15"/>
    <n v="3"/>
    <n v="4"/>
    <n v="0"/>
    <n v="28"/>
    <n v="3"/>
    <s v="Better"/>
    <n v="5"/>
    <x v="1"/>
    <n v="4"/>
    <n v="4"/>
    <n v="3"/>
  </r>
  <r>
    <n v="49"/>
    <s v="Senior"/>
    <n v="0"/>
    <s v="Travel_Frequently"/>
    <n v="1023"/>
    <x v="1"/>
    <n v="2"/>
    <s v="Near Office"/>
    <s v="Bachelor"/>
    <s v="Medical"/>
    <n v="4"/>
    <s v="Male"/>
    <n v="63"/>
    <n v="2"/>
    <n v="2"/>
    <s v="Sales Executive"/>
    <s v="Medium"/>
    <s v="Married"/>
    <n v="5390"/>
    <s v="Medium (5k-10k)"/>
    <n v="13243"/>
    <n v="2"/>
    <x v="0"/>
    <n v="14"/>
    <n v="3"/>
    <n v="4"/>
    <n v="0"/>
    <n v="17"/>
    <n v="3"/>
    <s v="Good"/>
    <n v="9"/>
    <x v="1"/>
    <n v="6"/>
    <n v="0"/>
    <n v="8"/>
  </r>
  <r>
    <n v="50"/>
    <s v="Senior"/>
    <n v="1"/>
    <s v="Travel_Rarely"/>
    <n v="869"/>
    <x v="1"/>
    <n v="3"/>
    <s v="Near Office"/>
    <s v="College"/>
    <s v="Marketing"/>
    <n v="1"/>
    <s v="Male"/>
    <n v="86"/>
    <n v="2"/>
    <n v="1"/>
    <s v="Sales Representative"/>
    <s v="High"/>
    <s v="Married"/>
    <n v="2683"/>
    <s v="Low (&lt;5k)"/>
    <n v="3810"/>
    <n v="1"/>
    <x v="1"/>
    <n v="14"/>
    <n v="3"/>
    <n v="3"/>
    <n v="0"/>
    <n v="3"/>
    <n v="2"/>
    <s v="Better"/>
    <n v="3"/>
    <x v="1"/>
    <n v="2"/>
    <n v="0"/>
    <n v="2"/>
  </r>
  <r>
    <n v="50"/>
    <s v="Senior"/>
    <n v="0"/>
    <s v="Travel_Rarely"/>
    <n v="989"/>
    <x v="0"/>
    <n v="7"/>
    <s v="Moderate"/>
    <s v="College"/>
    <s v="Medical"/>
    <n v="2"/>
    <s v="Female"/>
    <n v="43"/>
    <n v="2"/>
    <n v="5"/>
    <s v="Research Director"/>
    <s v="High"/>
    <s v="Divorced"/>
    <n v="18740"/>
    <s v="High (&gt;10k)"/>
    <n v="16701"/>
    <n v="5"/>
    <x v="1"/>
    <n v="12"/>
    <n v="3"/>
    <n v="4"/>
    <n v="1"/>
    <n v="29"/>
    <n v="2"/>
    <s v="Good"/>
    <n v="27"/>
    <x v="2"/>
    <n v="3"/>
    <n v="13"/>
    <n v="8"/>
  </r>
  <r>
    <n v="50"/>
    <s v="Senior"/>
    <n v="0"/>
    <s v="Travel_Frequently"/>
    <n v="1115"/>
    <x v="0"/>
    <n v="1"/>
    <s v="Near Office"/>
    <s v="Bachelor"/>
    <s v="Life Sciences"/>
    <n v="1"/>
    <s v="Female"/>
    <n v="73"/>
    <n v="3"/>
    <n v="5"/>
    <s v="Research Director"/>
    <s v="Medium"/>
    <s v="Married"/>
    <n v="18172"/>
    <s v="High (&gt;10k)"/>
    <n v="9755"/>
    <n v="3"/>
    <x v="1"/>
    <n v="19"/>
    <n v="3"/>
    <n v="1"/>
    <n v="0"/>
    <n v="28"/>
    <n v="1"/>
    <s v="Good"/>
    <n v="8"/>
    <x v="1"/>
    <n v="3"/>
    <n v="0"/>
    <n v="7"/>
  </r>
  <r>
    <n v="50"/>
    <s v="Senior"/>
    <n v="0"/>
    <s v="Travel_Frequently"/>
    <n v="809"/>
    <x v="1"/>
    <n v="12"/>
    <s v="Moderate"/>
    <s v="Bachelor"/>
    <s v="Marketing"/>
    <n v="3"/>
    <s v="Female"/>
    <n v="77"/>
    <n v="3"/>
    <n v="3"/>
    <s v="Sales Executive"/>
    <s v="Very High"/>
    <s v="Single"/>
    <n v="9208"/>
    <s v="Medium (5k-10k)"/>
    <n v="6645"/>
    <n v="4"/>
    <x v="0"/>
    <n v="11"/>
    <n v="3"/>
    <n v="4"/>
    <n v="0"/>
    <n v="16"/>
    <n v="3"/>
    <s v="Better"/>
    <n v="2"/>
    <x v="0"/>
    <n v="2"/>
    <n v="2"/>
    <n v="1"/>
  </r>
  <r>
    <n v="50"/>
    <s v="Senior"/>
    <n v="0"/>
    <s v="Travel_Rarely"/>
    <n v="1452"/>
    <x v="0"/>
    <n v="11"/>
    <s v="Moderate"/>
    <s v="Bachelor"/>
    <s v="Life Sciences"/>
    <n v="3"/>
    <s v="Female"/>
    <n v="53"/>
    <n v="3"/>
    <n v="5"/>
    <s v="Manager"/>
    <s v="Medium"/>
    <s v="Single"/>
    <n v="19926"/>
    <s v="High (&gt;10k)"/>
    <n v="17053"/>
    <n v="3"/>
    <x v="0"/>
    <n v="15"/>
    <n v="3"/>
    <n v="2"/>
    <n v="0"/>
    <n v="21"/>
    <n v="5"/>
    <s v="Better"/>
    <n v="5"/>
    <x v="1"/>
    <n v="4"/>
    <n v="4"/>
    <n v="4"/>
  </r>
  <r>
    <n v="50"/>
    <s v="Senior"/>
    <n v="0"/>
    <s v="Travel_Rarely"/>
    <n v="328"/>
    <x v="0"/>
    <n v="1"/>
    <s v="Near Office"/>
    <s v="Bachelor"/>
    <s v="Medical"/>
    <n v="3"/>
    <s v="Male"/>
    <n v="86"/>
    <n v="2"/>
    <n v="1"/>
    <s v="Laboratory Technician"/>
    <s v="High"/>
    <s v="Married"/>
    <n v="3690"/>
    <s v="Low (&lt;5k)"/>
    <n v="3425"/>
    <n v="2"/>
    <x v="0"/>
    <n v="15"/>
    <n v="3"/>
    <n v="4"/>
    <n v="1"/>
    <n v="5"/>
    <n v="2"/>
    <s v="Good"/>
    <n v="3"/>
    <x v="1"/>
    <n v="2"/>
    <n v="0"/>
    <n v="2"/>
  </r>
  <r>
    <n v="50"/>
    <s v="Senior"/>
    <n v="0"/>
    <s v="Travel_Rarely"/>
    <n v="854"/>
    <x v="1"/>
    <n v="1"/>
    <s v="Near Office"/>
    <s v="Master"/>
    <s v="Medical"/>
    <n v="4"/>
    <s v="Female"/>
    <n v="68"/>
    <n v="3"/>
    <n v="5"/>
    <s v="Manager"/>
    <s v="Very High"/>
    <s v="Divorced"/>
    <n v="19517"/>
    <s v="High (&gt;10k)"/>
    <n v="24118"/>
    <n v="3"/>
    <x v="0"/>
    <n v="11"/>
    <n v="3"/>
    <n v="3"/>
    <n v="1"/>
    <n v="32"/>
    <n v="3"/>
    <s v="Good"/>
    <n v="7"/>
    <x v="1"/>
    <n v="0"/>
    <n v="0"/>
    <n v="6"/>
  </r>
  <r>
    <n v="50"/>
    <s v="Senior"/>
    <n v="0"/>
    <s v="Travel_Rarely"/>
    <n v="797"/>
    <x v="0"/>
    <n v="4"/>
    <s v="Near Office"/>
    <s v="Below College"/>
    <s v="Life Sciences"/>
    <n v="1"/>
    <s v="Male"/>
    <n v="96"/>
    <n v="3"/>
    <n v="5"/>
    <s v="Research Director"/>
    <s v="Medium"/>
    <s v="Divorced"/>
    <n v="19144"/>
    <s v="High (&gt;10k)"/>
    <n v="15815"/>
    <n v="3"/>
    <x v="0"/>
    <n v="14"/>
    <n v="3"/>
    <n v="1"/>
    <n v="2"/>
    <n v="28"/>
    <n v="4"/>
    <s v="Good"/>
    <n v="10"/>
    <x v="2"/>
    <n v="4"/>
    <n v="1"/>
    <n v="6"/>
  </r>
  <r>
    <n v="50"/>
    <s v="Senior"/>
    <n v="0"/>
    <s v="Travel_Rarely"/>
    <n v="1046"/>
    <x v="0"/>
    <n v="10"/>
    <s v="Moderate"/>
    <s v="Bachelor"/>
    <s v="Technical Degree"/>
    <n v="4"/>
    <s v="Male"/>
    <n v="100"/>
    <n v="2"/>
    <n v="3"/>
    <s v="Healthcare Representative"/>
    <s v="Very High"/>
    <s v="Single"/>
    <n v="10496"/>
    <s v="High (&gt;10k)"/>
    <n v="2755"/>
    <n v="6"/>
    <x v="0"/>
    <n v="15"/>
    <n v="3"/>
    <n v="4"/>
    <n v="0"/>
    <n v="20"/>
    <n v="2"/>
    <s v="Better"/>
    <n v="4"/>
    <x v="1"/>
    <n v="3"/>
    <n v="1"/>
    <n v="3"/>
  </r>
  <r>
    <n v="50"/>
    <s v="Senior"/>
    <n v="0"/>
    <s v="Travel_Rarely"/>
    <n v="1099"/>
    <x v="0"/>
    <n v="29"/>
    <s v="Long Commute"/>
    <s v="Master"/>
    <s v="Life Sciences"/>
    <n v="2"/>
    <s v="Male"/>
    <n v="88"/>
    <n v="2"/>
    <n v="4"/>
    <s v="Manager"/>
    <s v="High"/>
    <s v="Married"/>
    <n v="17046"/>
    <s v="High (&gt;10k)"/>
    <n v="9314"/>
    <n v="0"/>
    <x v="0"/>
    <n v="15"/>
    <n v="3"/>
    <n v="2"/>
    <n v="1"/>
    <n v="28"/>
    <n v="2"/>
    <s v="Better"/>
    <n v="27"/>
    <x v="2"/>
    <n v="10"/>
    <n v="15"/>
    <n v="7"/>
  </r>
  <r>
    <n v="50"/>
    <s v="Senior"/>
    <n v="0"/>
    <s v="Travel_Frequently"/>
    <n v="1246"/>
    <x v="2"/>
    <n v="3"/>
    <s v="Near Office"/>
    <s v="Bachelor"/>
    <s v="Medical"/>
    <n v="1"/>
    <s v="Male"/>
    <n v="99"/>
    <n v="3"/>
    <n v="5"/>
    <s v="Manager"/>
    <s v="Medium"/>
    <s v="Married"/>
    <n v="18200"/>
    <s v="High (&gt;10k)"/>
    <n v="7999"/>
    <n v="1"/>
    <x v="0"/>
    <n v="11"/>
    <n v="3"/>
    <n v="3"/>
    <n v="1"/>
    <n v="32"/>
    <n v="2"/>
    <s v="Better"/>
    <n v="32"/>
    <x v="2"/>
    <n v="5"/>
    <n v="10"/>
    <n v="7"/>
  </r>
  <r>
    <n v="50"/>
    <s v="Senior"/>
    <n v="0"/>
    <s v="Travel_Rarely"/>
    <n v="1207"/>
    <x v="0"/>
    <n v="28"/>
    <s v="Long Commute"/>
    <s v="Below College"/>
    <s v="Medical"/>
    <n v="4"/>
    <s v="Male"/>
    <n v="74"/>
    <n v="4"/>
    <n v="1"/>
    <s v="Laboratory Technician"/>
    <s v="High"/>
    <s v="Married"/>
    <n v="3221"/>
    <s v="Low (&lt;5k)"/>
    <n v="3297"/>
    <n v="1"/>
    <x v="1"/>
    <n v="11"/>
    <n v="3"/>
    <n v="3"/>
    <n v="3"/>
    <n v="20"/>
    <n v="3"/>
    <s v="Better"/>
    <n v="20"/>
    <x v="2"/>
    <n v="8"/>
    <n v="3"/>
    <n v="8"/>
  </r>
  <r>
    <n v="50"/>
    <s v="Senior"/>
    <n v="1"/>
    <s v="Travel_Frequently"/>
    <n v="562"/>
    <x v="1"/>
    <n v="8"/>
    <s v="Moderate"/>
    <s v="College"/>
    <s v="Technical Degree"/>
    <n v="2"/>
    <s v="Male"/>
    <n v="50"/>
    <n v="3"/>
    <n v="2"/>
    <s v="Sales Executive"/>
    <s v="High"/>
    <s v="Married"/>
    <n v="6796"/>
    <s v="Medium (5k-10k)"/>
    <n v="23452"/>
    <n v="3"/>
    <x v="1"/>
    <n v="14"/>
    <n v="3"/>
    <n v="1"/>
    <n v="1"/>
    <n v="18"/>
    <n v="4"/>
    <s v="Better"/>
    <n v="4"/>
    <x v="1"/>
    <n v="3"/>
    <n v="1"/>
    <n v="3"/>
  </r>
  <r>
    <n v="50"/>
    <s v="Senior"/>
    <n v="0"/>
    <s v="Travel_Rarely"/>
    <n v="316"/>
    <x v="1"/>
    <n v="8"/>
    <s v="Moderate"/>
    <s v="Master"/>
    <s v="Marketing"/>
    <n v="4"/>
    <s v="Male"/>
    <n v="54"/>
    <n v="3"/>
    <n v="1"/>
    <s v="Sales Representative"/>
    <s v="Medium"/>
    <s v="Married"/>
    <n v="3875"/>
    <s v="Low (&lt;5k)"/>
    <n v="9983"/>
    <n v="7"/>
    <x v="0"/>
    <n v="15"/>
    <n v="3"/>
    <n v="4"/>
    <n v="1"/>
    <n v="4"/>
    <n v="2"/>
    <s v="Better"/>
    <n v="2"/>
    <x v="0"/>
    <n v="2"/>
    <n v="2"/>
    <n v="2"/>
  </r>
  <r>
    <n v="50"/>
    <s v="Senior"/>
    <n v="0"/>
    <s v="Travel_Rarely"/>
    <n v="691"/>
    <x v="0"/>
    <n v="2"/>
    <s v="Near Office"/>
    <s v="Bachelor"/>
    <s v="Medical"/>
    <n v="3"/>
    <s v="Male"/>
    <n v="64"/>
    <n v="3"/>
    <n v="4"/>
    <s v="Research Director"/>
    <s v="High"/>
    <s v="Married"/>
    <n v="17639"/>
    <s v="High (&gt;10k)"/>
    <n v="6881"/>
    <n v="5"/>
    <x v="0"/>
    <n v="16"/>
    <n v="3"/>
    <n v="4"/>
    <n v="0"/>
    <n v="30"/>
    <n v="3"/>
    <s v="Better"/>
    <n v="4"/>
    <x v="1"/>
    <n v="3"/>
    <n v="0"/>
    <n v="3"/>
  </r>
  <r>
    <n v="50"/>
    <s v="Senior"/>
    <n v="0"/>
    <s v="Non-Travel"/>
    <n v="881"/>
    <x v="0"/>
    <n v="2"/>
    <s v="Near Office"/>
    <s v="Master"/>
    <s v="Life Sciences"/>
    <n v="1"/>
    <s v="Male"/>
    <n v="98"/>
    <n v="3"/>
    <n v="4"/>
    <s v="Manager"/>
    <s v="Low"/>
    <s v="Divorced"/>
    <n v="17924"/>
    <s v="High (&gt;10k)"/>
    <n v="4544"/>
    <n v="1"/>
    <x v="0"/>
    <n v="11"/>
    <n v="3"/>
    <n v="4"/>
    <n v="1"/>
    <n v="31"/>
    <n v="3"/>
    <s v="Better"/>
    <n v="31"/>
    <x v="2"/>
    <n v="6"/>
    <n v="14"/>
    <n v="7"/>
  </r>
  <r>
    <n v="50"/>
    <s v="Senior"/>
    <n v="0"/>
    <s v="Travel_Rarely"/>
    <n v="1126"/>
    <x v="0"/>
    <n v="1"/>
    <s v="Near Office"/>
    <s v="College"/>
    <s v="Medical"/>
    <n v="4"/>
    <s v="Male"/>
    <n v="66"/>
    <n v="3"/>
    <n v="4"/>
    <s v="Research Director"/>
    <s v="Very High"/>
    <s v="Divorced"/>
    <n v="17399"/>
    <s v="High (&gt;10k)"/>
    <n v="6615"/>
    <n v="9"/>
    <x v="0"/>
    <n v="22"/>
    <n v="4"/>
    <n v="3"/>
    <n v="1"/>
    <n v="32"/>
    <n v="1"/>
    <s v="Good"/>
    <n v="5"/>
    <x v="1"/>
    <n v="4"/>
    <n v="1"/>
    <n v="3"/>
  </r>
  <r>
    <n v="50"/>
    <s v="Senior"/>
    <n v="0"/>
    <s v="Travel_Rarely"/>
    <n v="939"/>
    <x v="0"/>
    <n v="24"/>
    <s v="Long Commute"/>
    <s v="Bachelor"/>
    <s v="Life Sciences"/>
    <n v="4"/>
    <s v="Male"/>
    <n v="95"/>
    <n v="3"/>
    <n v="4"/>
    <s v="Manufacturing Director"/>
    <s v="High"/>
    <s v="Married"/>
    <n v="13973"/>
    <s v="High (&gt;10k)"/>
    <n v="4161"/>
    <n v="3"/>
    <x v="1"/>
    <n v="18"/>
    <n v="3"/>
    <n v="4"/>
    <n v="1"/>
    <n v="22"/>
    <n v="2"/>
    <s v="Better"/>
    <n v="12"/>
    <x v="2"/>
    <n v="11"/>
    <n v="1"/>
    <n v="5"/>
  </r>
  <r>
    <n v="50"/>
    <s v="Senior"/>
    <n v="0"/>
    <s v="Travel_Rarely"/>
    <n v="804"/>
    <x v="0"/>
    <n v="9"/>
    <s v="Moderate"/>
    <s v="Bachelor"/>
    <s v="Life Sciences"/>
    <n v="1"/>
    <s v="Male"/>
    <n v="64"/>
    <n v="3"/>
    <n v="1"/>
    <s v="Laboratory Technician"/>
    <s v="Very High"/>
    <s v="Married"/>
    <n v="2380"/>
    <s v="Low (&lt;5k)"/>
    <n v="20165"/>
    <n v="4"/>
    <x v="0"/>
    <n v="18"/>
    <n v="3"/>
    <n v="2"/>
    <n v="0"/>
    <n v="8"/>
    <n v="5"/>
    <s v="Better"/>
    <n v="1"/>
    <x v="0"/>
    <n v="0"/>
    <n v="0"/>
    <n v="0"/>
  </r>
  <r>
    <n v="50"/>
    <s v="Senior"/>
    <n v="0"/>
    <s v="Non-Travel"/>
    <n v="145"/>
    <x v="1"/>
    <n v="1"/>
    <s v="Near Office"/>
    <s v="Bachelor"/>
    <s v="Life Sciences"/>
    <n v="4"/>
    <s v="Female"/>
    <n v="95"/>
    <n v="3"/>
    <n v="2"/>
    <s v="Sales Executive"/>
    <s v="High"/>
    <s v="Married"/>
    <n v="6347"/>
    <s v="Medium (5k-10k)"/>
    <n v="24920"/>
    <n v="0"/>
    <x v="0"/>
    <n v="12"/>
    <n v="3"/>
    <n v="1"/>
    <n v="1"/>
    <n v="19"/>
    <n v="3"/>
    <s v="Better"/>
    <n v="18"/>
    <x v="2"/>
    <n v="7"/>
    <n v="0"/>
    <n v="13"/>
  </r>
  <r>
    <n v="50"/>
    <s v="Senior"/>
    <n v="0"/>
    <s v="Travel_Rarely"/>
    <n v="1464"/>
    <x v="0"/>
    <n v="2"/>
    <s v="Near Office"/>
    <s v="Master"/>
    <s v="Medical"/>
    <n v="2"/>
    <s v="Male"/>
    <n v="62"/>
    <n v="3"/>
    <n v="5"/>
    <s v="Research Director"/>
    <s v="High"/>
    <s v="Married"/>
    <n v="19237"/>
    <s v="High (&gt;10k)"/>
    <n v="12853"/>
    <n v="2"/>
    <x v="1"/>
    <n v="11"/>
    <n v="3"/>
    <n v="4"/>
    <n v="1"/>
    <n v="29"/>
    <n v="2"/>
    <s v="Good"/>
    <n v="8"/>
    <x v="1"/>
    <n v="1"/>
    <n v="7"/>
    <n v="7"/>
  </r>
  <r>
    <n v="50"/>
    <s v="Senior"/>
    <n v="1"/>
    <s v="Travel_Frequently"/>
    <n v="959"/>
    <x v="1"/>
    <n v="1"/>
    <s v="Near Office"/>
    <s v="Master"/>
    <s v="Other"/>
    <n v="4"/>
    <s v="Male"/>
    <n v="81"/>
    <n v="3"/>
    <n v="2"/>
    <s v="Sales Executive"/>
    <s v="High"/>
    <s v="Single"/>
    <n v="4728"/>
    <s v="Low (&lt;5k)"/>
    <n v="17251"/>
    <n v="3"/>
    <x v="1"/>
    <n v="14"/>
    <n v="3"/>
    <n v="4"/>
    <n v="0"/>
    <n v="5"/>
    <n v="4"/>
    <s v="Better"/>
    <n v="0"/>
    <x v="0"/>
    <n v="0"/>
    <n v="0"/>
    <n v="0"/>
  </r>
  <r>
    <n v="50"/>
    <s v="Senior"/>
    <n v="0"/>
    <s v="Travel_Frequently"/>
    <n v="1421"/>
    <x v="0"/>
    <n v="2"/>
    <s v="Near Office"/>
    <s v="Bachelor"/>
    <s v="Medical"/>
    <n v="4"/>
    <s v="Female"/>
    <n v="30"/>
    <n v="3"/>
    <n v="4"/>
    <s v="Manager"/>
    <s v="Low"/>
    <s v="Married"/>
    <n v="17856"/>
    <s v="High (&gt;10k)"/>
    <n v="9490"/>
    <n v="2"/>
    <x v="0"/>
    <n v="22"/>
    <n v="4"/>
    <n v="3"/>
    <n v="1"/>
    <n v="32"/>
    <n v="3"/>
    <s v="Better"/>
    <n v="2"/>
    <x v="0"/>
    <n v="2"/>
    <n v="2"/>
    <n v="2"/>
  </r>
  <r>
    <n v="50"/>
    <s v="Senior"/>
    <n v="0"/>
    <s v="Travel_Rarely"/>
    <n v="1322"/>
    <x v="0"/>
    <n v="28"/>
    <s v="Long Commute"/>
    <s v="Bachelor"/>
    <s v="Life Sciences"/>
    <n v="4"/>
    <s v="Female"/>
    <n v="43"/>
    <n v="3"/>
    <n v="4"/>
    <s v="Research Director"/>
    <s v="Low"/>
    <s v="Married"/>
    <n v="16880"/>
    <s v="High (&gt;10k)"/>
    <n v="22422"/>
    <n v="4"/>
    <x v="1"/>
    <n v="11"/>
    <n v="3"/>
    <n v="2"/>
    <n v="0"/>
    <n v="25"/>
    <n v="2"/>
    <s v="Better"/>
    <n v="3"/>
    <x v="1"/>
    <n v="2"/>
    <n v="1"/>
    <n v="2"/>
  </r>
  <r>
    <n v="50"/>
    <s v="Senior"/>
    <n v="0"/>
    <s v="Travel_Frequently"/>
    <n v="333"/>
    <x v="0"/>
    <n v="22"/>
    <s v="Long Commute"/>
    <s v="Doctor"/>
    <s v="Medical"/>
    <n v="3"/>
    <s v="Male"/>
    <n v="88"/>
    <n v="1"/>
    <n v="4"/>
    <s v="Research Director"/>
    <s v="Very High"/>
    <s v="Single"/>
    <n v="14411"/>
    <s v="High (&gt;10k)"/>
    <n v="24450"/>
    <n v="1"/>
    <x v="1"/>
    <n v="13"/>
    <n v="3"/>
    <n v="4"/>
    <n v="0"/>
    <n v="32"/>
    <n v="2"/>
    <s v="Better"/>
    <n v="32"/>
    <x v="2"/>
    <n v="6"/>
    <n v="13"/>
    <n v="9"/>
  </r>
  <r>
    <n v="50"/>
    <s v="Senior"/>
    <n v="0"/>
    <s v="Travel_Rarely"/>
    <n v="264"/>
    <x v="1"/>
    <n v="9"/>
    <s v="Moderate"/>
    <s v="Bachelor"/>
    <s v="Marketing"/>
    <n v="3"/>
    <s v="Male"/>
    <n v="59"/>
    <n v="3"/>
    <n v="5"/>
    <s v="Manager"/>
    <s v="High"/>
    <s v="Married"/>
    <n v="19331"/>
    <s v="High (&gt;10k)"/>
    <n v="19519"/>
    <n v="4"/>
    <x v="1"/>
    <n v="16"/>
    <n v="3"/>
    <n v="3"/>
    <n v="1"/>
    <n v="27"/>
    <n v="2"/>
    <s v="Better"/>
    <n v="1"/>
    <x v="0"/>
    <n v="0"/>
    <n v="0"/>
    <n v="0"/>
  </r>
  <r>
    <n v="50"/>
    <s v="Senior"/>
    <n v="0"/>
    <s v="Travel_Frequently"/>
    <n v="1234"/>
    <x v="0"/>
    <n v="20"/>
    <s v="Long Commute"/>
    <s v="Doctor"/>
    <s v="Medical"/>
    <n v="2"/>
    <s v="Male"/>
    <n v="41"/>
    <n v="3"/>
    <n v="4"/>
    <s v="Healthcare Representative"/>
    <s v="High"/>
    <s v="Married"/>
    <n v="11245"/>
    <s v="High (&gt;10k)"/>
    <n v="20689"/>
    <n v="2"/>
    <x v="1"/>
    <n v="15"/>
    <n v="3"/>
    <n v="3"/>
    <n v="1"/>
    <n v="32"/>
    <n v="3"/>
    <s v="Better"/>
    <n v="30"/>
    <x v="2"/>
    <n v="8"/>
    <n v="12"/>
    <n v="13"/>
  </r>
  <r>
    <n v="50"/>
    <s v="Senior"/>
    <n v="0"/>
    <s v="Travel_Rarely"/>
    <n v="813"/>
    <x v="0"/>
    <n v="17"/>
    <s v="Long Commute"/>
    <s v="Doctor"/>
    <s v="Life Sciences"/>
    <n v="4"/>
    <s v="Female"/>
    <n v="50"/>
    <n v="2"/>
    <n v="3"/>
    <s v="Research Director"/>
    <s v="Low"/>
    <s v="Divorced"/>
    <n v="13269"/>
    <s v="High (&gt;10k)"/>
    <n v="21981"/>
    <n v="5"/>
    <x v="0"/>
    <n v="15"/>
    <n v="3"/>
    <n v="3"/>
    <n v="3"/>
    <n v="19"/>
    <n v="3"/>
    <s v="Better"/>
    <n v="14"/>
    <x v="2"/>
    <n v="11"/>
    <n v="1"/>
    <n v="11"/>
  </r>
  <r>
    <n v="50"/>
    <s v="Senior"/>
    <n v="1"/>
    <s v="Travel_Frequently"/>
    <n v="878"/>
    <x v="1"/>
    <n v="1"/>
    <s v="Near Office"/>
    <s v="Master"/>
    <s v="Life Sciences"/>
    <n v="2"/>
    <s v="Male"/>
    <n v="94"/>
    <n v="3"/>
    <n v="2"/>
    <s v="Sales Executive"/>
    <s v="High"/>
    <s v="Divorced"/>
    <n v="6728"/>
    <s v="Medium (5k-10k)"/>
    <n v="14255"/>
    <n v="7"/>
    <x v="0"/>
    <n v="12"/>
    <n v="3"/>
    <n v="4"/>
    <n v="2"/>
    <n v="12"/>
    <n v="3"/>
    <s v="Better"/>
    <n v="6"/>
    <x v="1"/>
    <n v="3"/>
    <n v="0"/>
    <n v="1"/>
  </r>
  <r>
    <n v="50"/>
    <s v="Senior"/>
    <n v="1"/>
    <s v="Travel_Rarely"/>
    <n v="410"/>
    <x v="1"/>
    <n v="28"/>
    <s v="Long Commute"/>
    <s v="Bachelor"/>
    <s v="Marketing"/>
    <n v="4"/>
    <s v="Male"/>
    <n v="39"/>
    <n v="2"/>
    <n v="3"/>
    <s v="Sales Executive"/>
    <s v="Low"/>
    <s v="Divorced"/>
    <n v="10854"/>
    <s v="High (&gt;10k)"/>
    <n v="16586"/>
    <n v="4"/>
    <x v="1"/>
    <n v="13"/>
    <n v="3"/>
    <n v="2"/>
    <n v="1"/>
    <n v="20"/>
    <n v="3"/>
    <s v="Better"/>
    <n v="3"/>
    <x v="1"/>
    <n v="2"/>
    <n v="2"/>
    <n v="0"/>
  </r>
  <r>
    <n v="51"/>
    <s v="Senior"/>
    <n v="0"/>
    <s v="Travel_Rarely"/>
    <n v="432"/>
    <x v="0"/>
    <n v="9"/>
    <s v="Moderate"/>
    <s v="Master"/>
    <s v="Life Sciences"/>
    <n v="4"/>
    <s v="Male"/>
    <n v="96"/>
    <n v="3"/>
    <n v="1"/>
    <s v="Laboratory Technician"/>
    <s v="Very High"/>
    <s v="Married"/>
    <n v="2075"/>
    <s v="Low (&lt;5k)"/>
    <n v="18725"/>
    <n v="3"/>
    <x v="0"/>
    <n v="23"/>
    <n v="4"/>
    <n v="2"/>
    <n v="2"/>
    <n v="10"/>
    <n v="4"/>
    <s v="Better"/>
    <n v="4"/>
    <x v="1"/>
    <n v="2"/>
    <n v="0"/>
    <n v="3"/>
  </r>
  <r>
    <n v="51"/>
    <s v="Senior"/>
    <n v="0"/>
    <s v="Travel_Rarely"/>
    <n v="632"/>
    <x v="1"/>
    <n v="21"/>
    <s v="Long Commute"/>
    <s v="Master"/>
    <s v="Marketing"/>
    <n v="3"/>
    <s v="Male"/>
    <n v="71"/>
    <n v="3"/>
    <n v="2"/>
    <s v="Sales Executive"/>
    <s v="Very High"/>
    <s v="Single"/>
    <n v="5441"/>
    <s v="Medium (5k-10k)"/>
    <n v="8423"/>
    <n v="0"/>
    <x v="1"/>
    <n v="22"/>
    <n v="4"/>
    <n v="4"/>
    <n v="0"/>
    <n v="11"/>
    <n v="2"/>
    <s v="Bad"/>
    <n v="10"/>
    <x v="2"/>
    <n v="7"/>
    <n v="1"/>
    <n v="0"/>
  </r>
  <r>
    <n v="51"/>
    <s v="Senior"/>
    <n v="0"/>
    <s v="Travel_Frequently"/>
    <n v="1456"/>
    <x v="0"/>
    <n v="1"/>
    <s v="Near Office"/>
    <s v="Master"/>
    <s v="Medical"/>
    <n v="1"/>
    <s v="Female"/>
    <n v="30"/>
    <n v="2"/>
    <n v="3"/>
    <s v="Healthcare Representative"/>
    <s v="Low"/>
    <s v="Single"/>
    <n v="7484"/>
    <s v="Medium (5k-10k)"/>
    <n v="25796"/>
    <n v="3"/>
    <x v="0"/>
    <n v="20"/>
    <n v="4"/>
    <n v="3"/>
    <n v="0"/>
    <n v="23"/>
    <n v="1"/>
    <s v="Good"/>
    <n v="13"/>
    <x v="2"/>
    <n v="12"/>
    <n v="12"/>
    <n v="8"/>
  </r>
  <r>
    <n v="51"/>
    <s v="Senior"/>
    <n v="0"/>
    <s v="Travel_Rarely"/>
    <n v="684"/>
    <x v="0"/>
    <n v="6"/>
    <s v="Moderate"/>
    <s v="Bachelor"/>
    <s v="Life Sciences"/>
    <n v="1"/>
    <s v="Male"/>
    <n v="51"/>
    <n v="3"/>
    <n v="5"/>
    <s v="Research Director"/>
    <s v="High"/>
    <s v="Single"/>
    <n v="19537"/>
    <s v="High (&gt;10k)"/>
    <n v="6462"/>
    <n v="7"/>
    <x v="0"/>
    <n v="13"/>
    <n v="3"/>
    <n v="3"/>
    <n v="0"/>
    <n v="23"/>
    <n v="5"/>
    <s v="Better"/>
    <n v="20"/>
    <x v="2"/>
    <n v="18"/>
    <n v="15"/>
    <n v="15"/>
  </r>
  <r>
    <n v="51"/>
    <s v="Senior"/>
    <n v="1"/>
    <s v="Travel_Frequently"/>
    <n v="1150"/>
    <x v="0"/>
    <n v="8"/>
    <s v="Moderate"/>
    <s v="Master"/>
    <s v="Life Sciences"/>
    <n v="1"/>
    <s v="Male"/>
    <n v="53"/>
    <n v="1"/>
    <n v="3"/>
    <s v="Manufacturing Director"/>
    <s v="Very High"/>
    <s v="Single"/>
    <n v="10650"/>
    <s v="High (&gt;10k)"/>
    <n v="25150"/>
    <n v="2"/>
    <x v="0"/>
    <n v="15"/>
    <n v="3"/>
    <n v="4"/>
    <n v="0"/>
    <n v="18"/>
    <n v="2"/>
    <s v="Better"/>
    <n v="4"/>
    <x v="1"/>
    <n v="2"/>
    <n v="0"/>
    <n v="3"/>
  </r>
  <r>
    <n v="51"/>
    <s v="Senior"/>
    <n v="0"/>
    <s v="Travel_Rarely"/>
    <n v="1169"/>
    <x v="0"/>
    <n v="7"/>
    <s v="Moderate"/>
    <s v="Master"/>
    <s v="Medical"/>
    <n v="2"/>
    <s v="Male"/>
    <n v="34"/>
    <n v="2"/>
    <n v="2"/>
    <s v="Manufacturing Director"/>
    <s v="High"/>
    <s v="Married"/>
    <n v="6132"/>
    <s v="Medium (5k-10k)"/>
    <n v="13983"/>
    <n v="2"/>
    <x v="0"/>
    <n v="17"/>
    <n v="3"/>
    <n v="3"/>
    <n v="0"/>
    <n v="10"/>
    <n v="2"/>
    <s v="Better"/>
    <n v="1"/>
    <x v="0"/>
    <n v="0"/>
    <n v="0"/>
    <n v="0"/>
  </r>
  <r>
    <n v="51"/>
    <s v="Senior"/>
    <n v="0"/>
    <s v="Travel_Rarely"/>
    <n v="313"/>
    <x v="0"/>
    <n v="3"/>
    <s v="Near Office"/>
    <s v="Bachelor"/>
    <s v="Medical"/>
    <n v="4"/>
    <s v="Female"/>
    <n v="98"/>
    <n v="3"/>
    <n v="4"/>
    <s v="Healthcare Representative"/>
    <s v="Medium"/>
    <s v="Single"/>
    <n v="13734"/>
    <s v="High (&gt;10k)"/>
    <n v="7192"/>
    <n v="3"/>
    <x v="0"/>
    <n v="18"/>
    <n v="3"/>
    <n v="3"/>
    <n v="0"/>
    <n v="21"/>
    <n v="6"/>
    <s v="Better"/>
    <n v="7"/>
    <x v="1"/>
    <n v="7"/>
    <n v="1"/>
    <n v="0"/>
  </r>
  <r>
    <n v="51"/>
    <s v="Senior"/>
    <n v="0"/>
    <s v="Travel_Rarely"/>
    <n v="1469"/>
    <x v="0"/>
    <n v="8"/>
    <s v="Moderate"/>
    <s v="Master"/>
    <s v="Life Sciences"/>
    <n v="2"/>
    <s v="Male"/>
    <n v="81"/>
    <n v="2"/>
    <n v="3"/>
    <s v="Research Director"/>
    <s v="Medium"/>
    <s v="Married"/>
    <n v="12490"/>
    <s v="High (&gt;10k)"/>
    <n v="15736"/>
    <n v="5"/>
    <x v="0"/>
    <n v="16"/>
    <n v="3"/>
    <n v="4"/>
    <n v="2"/>
    <n v="16"/>
    <n v="5"/>
    <s v="Bad"/>
    <n v="10"/>
    <x v="2"/>
    <n v="9"/>
    <n v="4"/>
    <n v="7"/>
  </r>
  <r>
    <n v="51"/>
    <s v="Senior"/>
    <n v="0"/>
    <s v="Travel_Rarely"/>
    <n v="833"/>
    <x v="0"/>
    <n v="1"/>
    <s v="Near Office"/>
    <s v="Bachelor"/>
    <s v="Life Sciences"/>
    <n v="3"/>
    <s v="Male"/>
    <n v="96"/>
    <n v="3"/>
    <n v="1"/>
    <s v="Research Scientist"/>
    <s v="Very High"/>
    <s v="Married"/>
    <n v="2723"/>
    <s v="Low (&lt;5k)"/>
    <n v="23231"/>
    <n v="1"/>
    <x v="0"/>
    <n v="11"/>
    <n v="3"/>
    <n v="2"/>
    <n v="0"/>
    <n v="1"/>
    <n v="0"/>
    <s v="Good"/>
    <n v="1"/>
    <x v="0"/>
    <n v="0"/>
    <n v="0"/>
    <n v="0"/>
  </r>
  <r>
    <n v="51"/>
    <s v="Senior"/>
    <n v="0"/>
    <s v="Travel_Rarely"/>
    <n v="1302"/>
    <x v="0"/>
    <n v="2"/>
    <s v="Near Office"/>
    <s v="Bachelor"/>
    <s v="Medical"/>
    <n v="4"/>
    <s v="Male"/>
    <n v="84"/>
    <n v="1"/>
    <n v="2"/>
    <s v="Manufacturing Director"/>
    <s v="Medium"/>
    <s v="Divorced"/>
    <n v="5482"/>
    <s v="Medium (5k-10k)"/>
    <n v="16321"/>
    <n v="5"/>
    <x v="0"/>
    <n v="18"/>
    <n v="3"/>
    <n v="4"/>
    <n v="1"/>
    <n v="13"/>
    <n v="3"/>
    <s v="Better"/>
    <n v="4"/>
    <x v="1"/>
    <n v="1"/>
    <n v="1"/>
    <n v="2"/>
  </r>
  <r>
    <n v="51"/>
    <s v="Senior"/>
    <n v="0"/>
    <s v="Travel_Rarely"/>
    <n v="1178"/>
    <x v="1"/>
    <n v="14"/>
    <s v="Moderate"/>
    <s v="College"/>
    <s v="Life Sciences"/>
    <n v="3"/>
    <s v="Female"/>
    <n v="87"/>
    <n v="3"/>
    <n v="2"/>
    <s v="Sales Executive"/>
    <s v="Very High"/>
    <s v="Married"/>
    <n v="4936"/>
    <s v="Low (&lt;5k)"/>
    <n v="14862"/>
    <n v="4"/>
    <x v="0"/>
    <n v="11"/>
    <n v="3"/>
    <n v="3"/>
    <n v="1"/>
    <n v="18"/>
    <n v="2"/>
    <s v="Good"/>
    <n v="7"/>
    <x v="1"/>
    <n v="7"/>
    <n v="0"/>
    <n v="7"/>
  </r>
  <r>
    <n v="51"/>
    <s v="Senior"/>
    <n v="0"/>
    <s v="Travel_Rarely"/>
    <n v="1318"/>
    <x v="1"/>
    <n v="26"/>
    <s v="Long Commute"/>
    <s v="Master"/>
    <s v="Marketing"/>
    <n v="1"/>
    <s v="Female"/>
    <n v="66"/>
    <n v="3"/>
    <n v="4"/>
    <s v="Manager"/>
    <s v="High"/>
    <s v="Married"/>
    <n v="16307"/>
    <s v="High (&gt;10k)"/>
    <n v="5594"/>
    <n v="2"/>
    <x v="0"/>
    <n v="14"/>
    <n v="3"/>
    <n v="3"/>
    <n v="1"/>
    <n v="29"/>
    <n v="2"/>
    <s v="Good"/>
    <n v="20"/>
    <x v="2"/>
    <n v="6"/>
    <n v="4"/>
    <n v="17"/>
  </r>
  <r>
    <n v="51"/>
    <s v="Senior"/>
    <n v="1"/>
    <s v="Travel_Rarely"/>
    <n v="1323"/>
    <x v="0"/>
    <n v="4"/>
    <s v="Near Office"/>
    <s v="Master"/>
    <s v="Life Sciences"/>
    <n v="1"/>
    <s v="Male"/>
    <n v="34"/>
    <n v="3"/>
    <n v="1"/>
    <s v="Research Scientist"/>
    <s v="High"/>
    <s v="Married"/>
    <n v="2461"/>
    <s v="Low (&lt;5k)"/>
    <n v="10332"/>
    <n v="9"/>
    <x v="1"/>
    <n v="12"/>
    <n v="3"/>
    <n v="3"/>
    <n v="3"/>
    <n v="18"/>
    <n v="2"/>
    <s v="Best"/>
    <n v="10"/>
    <x v="2"/>
    <n v="0"/>
    <n v="2"/>
    <n v="7"/>
  </r>
  <r>
    <n v="51"/>
    <s v="Senior"/>
    <n v="0"/>
    <s v="Travel_Frequently"/>
    <n v="237"/>
    <x v="1"/>
    <n v="9"/>
    <s v="Moderate"/>
    <s v="Bachelor"/>
    <s v="Life Sciences"/>
    <n v="4"/>
    <s v="Male"/>
    <n v="83"/>
    <n v="3"/>
    <n v="5"/>
    <s v="Manager"/>
    <s v="Medium"/>
    <s v="Divorced"/>
    <n v="19847"/>
    <s v="High (&gt;10k)"/>
    <n v="19196"/>
    <n v="4"/>
    <x v="1"/>
    <n v="24"/>
    <n v="4"/>
    <n v="1"/>
    <n v="1"/>
    <n v="31"/>
    <n v="5"/>
    <s v="Good"/>
    <n v="29"/>
    <x v="2"/>
    <n v="10"/>
    <n v="11"/>
    <n v="10"/>
  </r>
  <r>
    <n v="51"/>
    <s v="Senior"/>
    <n v="0"/>
    <s v="Travel_Frequently"/>
    <n v="968"/>
    <x v="0"/>
    <n v="6"/>
    <s v="Moderate"/>
    <s v="College"/>
    <s v="Medical"/>
    <n v="2"/>
    <s v="Female"/>
    <n v="40"/>
    <n v="2"/>
    <n v="1"/>
    <s v="Laboratory Technician"/>
    <s v="High"/>
    <s v="Single"/>
    <n v="2838"/>
    <s v="Low (&lt;5k)"/>
    <n v="4257"/>
    <n v="0"/>
    <x v="0"/>
    <n v="14"/>
    <n v="3"/>
    <n v="2"/>
    <n v="0"/>
    <n v="8"/>
    <n v="6"/>
    <s v="Good"/>
    <n v="7"/>
    <x v="1"/>
    <n v="0"/>
    <n v="7"/>
    <n v="7"/>
  </r>
  <r>
    <n v="51"/>
    <s v="Senior"/>
    <n v="0"/>
    <s v="Travel_Rarely"/>
    <n v="770"/>
    <x v="2"/>
    <n v="5"/>
    <s v="Near Office"/>
    <s v="Bachelor"/>
    <s v="Life Sciences"/>
    <n v="3"/>
    <s v="Male"/>
    <n v="84"/>
    <n v="3"/>
    <n v="4"/>
    <s v="Manager"/>
    <s v="Medium"/>
    <s v="Divorced"/>
    <n v="14026"/>
    <s v="High (&gt;10k)"/>
    <n v="17588"/>
    <n v="1"/>
    <x v="1"/>
    <n v="11"/>
    <n v="3"/>
    <n v="2"/>
    <n v="1"/>
    <n v="33"/>
    <n v="2"/>
    <s v="Better"/>
    <n v="33"/>
    <x v="2"/>
    <n v="9"/>
    <n v="0"/>
    <n v="10"/>
  </r>
  <r>
    <n v="51"/>
    <s v="Senior"/>
    <n v="0"/>
    <s v="Travel_Rarely"/>
    <n v="1405"/>
    <x v="0"/>
    <n v="11"/>
    <s v="Moderate"/>
    <s v="College"/>
    <s v="Technical Degree"/>
    <n v="4"/>
    <s v="Female"/>
    <n v="82"/>
    <n v="2"/>
    <n v="4"/>
    <s v="Manufacturing Director"/>
    <s v="Medium"/>
    <s v="Single"/>
    <n v="13142"/>
    <s v="High (&gt;10k)"/>
    <n v="24439"/>
    <n v="3"/>
    <x v="0"/>
    <n v="16"/>
    <n v="3"/>
    <n v="2"/>
    <n v="0"/>
    <n v="29"/>
    <n v="1"/>
    <s v="Good"/>
    <n v="5"/>
    <x v="1"/>
    <n v="2"/>
    <n v="0"/>
    <n v="3"/>
  </r>
  <r>
    <n v="51"/>
    <s v="Senior"/>
    <n v="0"/>
    <s v="Travel_Frequently"/>
    <n v="541"/>
    <x v="1"/>
    <n v="2"/>
    <s v="Near Office"/>
    <s v="Bachelor"/>
    <s v="Marketing"/>
    <n v="2"/>
    <s v="Male"/>
    <n v="52"/>
    <n v="3"/>
    <n v="3"/>
    <s v="Sales Executive"/>
    <s v="Medium"/>
    <s v="Married"/>
    <n v="10596"/>
    <s v="High (&gt;10k)"/>
    <n v="15395"/>
    <n v="2"/>
    <x v="0"/>
    <n v="11"/>
    <n v="3"/>
    <n v="2"/>
    <n v="0"/>
    <n v="14"/>
    <n v="5"/>
    <s v="Better"/>
    <n v="4"/>
    <x v="1"/>
    <n v="2"/>
    <n v="3"/>
    <n v="2"/>
  </r>
  <r>
    <n v="51"/>
    <s v="Senior"/>
    <n v="0"/>
    <s v="Travel_Rarely"/>
    <n v="942"/>
    <x v="0"/>
    <n v="3"/>
    <s v="Near Office"/>
    <s v="Bachelor"/>
    <s v="Technical Degree"/>
    <n v="1"/>
    <s v="Female"/>
    <n v="53"/>
    <n v="3"/>
    <n v="3"/>
    <s v="Manager"/>
    <s v="High"/>
    <s v="Married"/>
    <n v="13116"/>
    <s v="High (&gt;10k)"/>
    <n v="22984"/>
    <n v="2"/>
    <x v="0"/>
    <n v="11"/>
    <n v="3"/>
    <n v="4"/>
    <n v="0"/>
    <n v="15"/>
    <n v="2"/>
    <s v="Better"/>
    <n v="2"/>
    <x v="0"/>
    <n v="2"/>
    <n v="2"/>
    <n v="2"/>
  </r>
  <r>
    <n v="52"/>
    <s v="Senior"/>
    <n v="0"/>
    <s v="Travel_Rarely"/>
    <n v="699"/>
    <x v="0"/>
    <n v="1"/>
    <s v="Near Office"/>
    <s v="Master"/>
    <s v="Life Sciences"/>
    <n v="3"/>
    <s v="Male"/>
    <n v="65"/>
    <n v="2"/>
    <n v="5"/>
    <s v="Manager"/>
    <s v="High"/>
    <s v="Married"/>
    <n v="19999"/>
    <s v="High (&gt;10k)"/>
    <n v="5678"/>
    <n v="0"/>
    <x v="0"/>
    <n v="14"/>
    <n v="3"/>
    <n v="1"/>
    <n v="1"/>
    <n v="34"/>
    <n v="5"/>
    <s v="Better"/>
    <n v="33"/>
    <x v="2"/>
    <n v="18"/>
    <n v="11"/>
    <n v="9"/>
  </r>
  <r>
    <n v="52"/>
    <s v="Senior"/>
    <n v="0"/>
    <s v="Travel_Rarely"/>
    <n v="1323"/>
    <x v="0"/>
    <n v="2"/>
    <s v="Near Office"/>
    <s v="Bachelor"/>
    <s v="Life Sciences"/>
    <n v="3"/>
    <s v="Female"/>
    <n v="89"/>
    <n v="2"/>
    <n v="1"/>
    <s v="Laboratory Technician"/>
    <s v="Very High"/>
    <s v="Single"/>
    <n v="3212"/>
    <s v="Low (&lt;5k)"/>
    <n v="3300"/>
    <n v="7"/>
    <x v="0"/>
    <n v="15"/>
    <n v="3"/>
    <n v="2"/>
    <n v="0"/>
    <n v="6"/>
    <n v="3"/>
    <s v="Good"/>
    <n v="2"/>
    <x v="0"/>
    <n v="2"/>
    <n v="2"/>
    <n v="2"/>
  </r>
  <r>
    <n v="52"/>
    <s v="Senior"/>
    <n v="0"/>
    <s v="Non-Travel"/>
    <n v="771"/>
    <x v="1"/>
    <n v="2"/>
    <s v="Near Office"/>
    <s v="Master"/>
    <s v="Life Sciences"/>
    <n v="1"/>
    <s v="Male"/>
    <n v="79"/>
    <n v="2"/>
    <n v="5"/>
    <s v="Manager"/>
    <s v="High"/>
    <s v="Single"/>
    <n v="19068"/>
    <s v="High (&gt;10k)"/>
    <n v="21030"/>
    <n v="1"/>
    <x v="1"/>
    <n v="18"/>
    <n v="3"/>
    <n v="4"/>
    <n v="0"/>
    <n v="33"/>
    <n v="2"/>
    <s v="Best"/>
    <n v="33"/>
    <x v="2"/>
    <n v="7"/>
    <n v="15"/>
    <n v="12"/>
  </r>
  <r>
    <n v="52"/>
    <s v="Senior"/>
    <n v="1"/>
    <s v="Travel_Rarely"/>
    <n v="723"/>
    <x v="0"/>
    <n v="8"/>
    <s v="Moderate"/>
    <s v="Master"/>
    <s v="Medical"/>
    <n v="3"/>
    <s v="Male"/>
    <n v="85"/>
    <n v="2"/>
    <n v="2"/>
    <s v="Research Scientist"/>
    <s v="Medium"/>
    <s v="Married"/>
    <n v="4941"/>
    <s v="Low (&lt;5k)"/>
    <n v="17747"/>
    <n v="2"/>
    <x v="0"/>
    <n v="15"/>
    <n v="3"/>
    <n v="1"/>
    <n v="0"/>
    <n v="11"/>
    <n v="3"/>
    <s v="Good"/>
    <n v="8"/>
    <x v="1"/>
    <n v="2"/>
    <n v="7"/>
    <n v="7"/>
  </r>
  <r>
    <n v="52"/>
    <s v="Senior"/>
    <n v="0"/>
    <s v="Travel_Rarely"/>
    <n v="319"/>
    <x v="0"/>
    <n v="3"/>
    <s v="Near Office"/>
    <s v="Bachelor"/>
    <s v="Medical"/>
    <n v="4"/>
    <s v="Male"/>
    <n v="39"/>
    <n v="2"/>
    <n v="3"/>
    <s v="Manufacturing Director"/>
    <s v="High"/>
    <s v="Married"/>
    <n v="7969"/>
    <s v="Medium (5k-10k)"/>
    <n v="19609"/>
    <n v="2"/>
    <x v="1"/>
    <n v="14"/>
    <n v="3"/>
    <n v="3"/>
    <n v="0"/>
    <n v="28"/>
    <n v="4"/>
    <s v="Better"/>
    <n v="5"/>
    <x v="1"/>
    <n v="4"/>
    <n v="0"/>
    <n v="4"/>
  </r>
  <r>
    <n v="52"/>
    <s v="Senior"/>
    <n v="0"/>
    <s v="Travel_Rarely"/>
    <n v="1490"/>
    <x v="0"/>
    <n v="4"/>
    <s v="Near Office"/>
    <s v="College"/>
    <s v="Life Sciences"/>
    <n v="4"/>
    <s v="Female"/>
    <n v="30"/>
    <n v="3"/>
    <n v="4"/>
    <s v="Manager"/>
    <s v="Very High"/>
    <s v="Married"/>
    <n v="16555"/>
    <s v="High (&gt;10k)"/>
    <n v="10310"/>
    <n v="2"/>
    <x v="0"/>
    <n v="13"/>
    <n v="3"/>
    <n v="4"/>
    <n v="0"/>
    <n v="31"/>
    <n v="2"/>
    <s v="Bad"/>
    <n v="5"/>
    <x v="1"/>
    <n v="2"/>
    <n v="1"/>
    <n v="4"/>
  </r>
  <r>
    <n v="52"/>
    <s v="Senior"/>
    <n v="0"/>
    <s v="Travel_Rarely"/>
    <n v="956"/>
    <x v="0"/>
    <n v="6"/>
    <s v="Moderate"/>
    <s v="College"/>
    <s v="Technical Degree"/>
    <n v="4"/>
    <s v="Male"/>
    <n v="78"/>
    <n v="3"/>
    <n v="2"/>
    <s v="Research Scientist"/>
    <s v="Low"/>
    <s v="Divorced"/>
    <n v="5577"/>
    <s v="Medium (5k-10k)"/>
    <n v="22087"/>
    <n v="3"/>
    <x v="1"/>
    <n v="12"/>
    <n v="3"/>
    <n v="2"/>
    <n v="2"/>
    <n v="18"/>
    <n v="3"/>
    <s v="Better"/>
    <n v="10"/>
    <x v="2"/>
    <n v="9"/>
    <n v="6"/>
    <n v="9"/>
  </r>
  <r>
    <n v="52"/>
    <s v="Senior"/>
    <n v="0"/>
    <s v="Travel_Rarely"/>
    <n v="621"/>
    <x v="1"/>
    <n v="3"/>
    <s v="Near Office"/>
    <s v="Master"/>
    <s v="Marketing"/>
    <n v="3"/>
    <s v="Male"/>
    <n v="31"/>
    <n v="2"/>
    <n v="4"/>
    <s v="Manager"/>
    <s v="Low"/>
    <s v="Married"/>
    <n v="16856"/>
    <s v="High (&gt;10k)"/>
    <n v="10084"/>
    <n v="1"/>
    <x v="0"/>
    <n v="11"/>
    <n v="3"/>
    <n v="1"/>
    <n v="0"/>
    <n v="34"/>
    <n v="3"/>
    <s v="Best"/>
    <n v="34"/>
    <x v="2"/>
    <n v="6"/>
    <n v="1"/>
    <n v="16"/>
  </r>
  <r>
    <n v="52"/>
    <s v="Senior"/>
    <n v="0"/>
    <s v="Non-Travel"/>
    <n v="715"/>
    <x v="0"/>
    <n v="19"/>
    <s v="Long Commute"/>
    <s v="Master"/>
    <s v="Medical"/>
    <n v="4"/>
    <s v="Male"/>
    <n v="41"/>
    <n v="3"/>
    <n v="1"/>
    <s v="Research Scientist"/>
    <s v="Very High"/>
    <s v="Married"/>
    <n v="4258"/>
    <s v="Low (&lt;5k)"/>
    <n v="26589"/>
    <n v="0"/>
    <x v="0"/>
    <n v="18"/>
    <n v="3"/>
    <n v="1"/>
    <n v="1"/>
    <n v="5"/>
    <n v="3"/>
    <s v="Better"/>
    <n v="4"/>
    <x v="1"/>
    <n v="3"/>
    <n v="1"/>
    <n v="2"/>
  </r>
  <r>
    <n v="52"/>
    <s v="Senior"/>
    <n v="0"/>
    <s v="Travel_Rarely"/>
    <n v="1325"/>
    <x v="0"/>
    <n v="11"/>
    <s v="Moderate"/>
    <s v="Master"/>
    <s v="Life Sciences"/>
    <n v="4"/>
    <s v="Female"/>
    <n v="82"/>
    <n v="3"/>
    <n v="2"/>
    <s v="Laboratory Technician"/>
    <s v="High"/>
    <s v="Married"/>
    <n v="3149"/>
    <s v="Low (&lt;5k)"/>
    <n v="21821"/>
    <n v="8"/>
    <x v="0"/>
    <n v="20"/>
    <n v="4"/>
    <n v="2"/>
    <n v="1"/>
    <n v="9"/>
    <n v="3"/>
    <s v="Better"/>
    <n v="5"/>
    <x v="1"/>
    <n v="2"/>
    <n v="1"/>
    <n v="4"/>
  </r>
  <r>
    <n v="52"/>
    <s v="Senior"/>
    <n v="0"/>
    <s v="Travel_Frequently"/>
    <n v="890"/>
    <x v="0"/>
    <n v="25"/>
    <s v="Long Commute"/>
    <s v="Master"/>
    <s v="Medical"/>
    <n v="3"/>
    <s v="Female"/>
    <n v="81"/>
    <n v="2"/>
    <n v="4"/>
    <s v="Manufacturing Director"/>
    <s v="Very High"/>
    <s v="Married"/>
    <n v="13826"/>
    <s v="High (&gt;10k)"/>
    <n v="19028"/>
    <n v="3"/>
    <x v="0"/>
    <n v="22"/>
    <n v="4"/>
    <n v="3"/>
    <n v="0"/>
    <n v="31"/>
    <n v="3"/>
    <s v="Better"/>
    <n v="9"/>
    <x v="1"/>
    <n v="8"/>
    <n v="0"/>
    <n v="0"/>
  </r>
  <r>
    <n v="52"/>
    <s v="Senior"/>
    <n v="0"/>
    <s v="Travel_Rarely"/>
    <n v="1053"/>
    <x v="0"/>
    <n v="1"/>
    <s v="Near Office"/>
    <s v="College"/>
    <s v="Life Sciences"/>
    <n v="4"/>
    <s v="Male"/>
    <n v="70"/>
    <n v="3"/>
    <n v="4"/>
    <s v="Manager"/>
    <s v="Very High"/>
    <s v="Married"/>
    <n v="17099"/>
    <s v="High (&gt;10k)"/>
    <n v="13829"/>
    <n v="2"/>
    <x v="0"/>
    <n v="15"/>
    <n v="3"/>
    <n v="2"/>
    <n v="1"/>
    <n v="26"/>
    <n v="2"/>
    <s v="Good"/>
    <n v="9"/>
    <x v="1"/>
    <n v="8"/>
    <n v="7"/>
    <n v="8"/>
  </r>
  <r>
    <n v="52"/>
    <s v="Senior"/>
    <n v="1"/>
    <s v="Travel_Rarely"/>
    <n v="266"/>
    <x v="1"/>
    <n v="2"/>
    <s v="Near Office"/>
    <s v="Below College"/>
    <s v="Marketing"/>
    <n v="1"/>
    <s v="Female"/>
    <n v="57"/>
    <n v="1"/>
    <n v="5"/>
    <s v="Manager"/>
    <s v="Very High"/>
    <s v="Married"/>
    <n v="19845"/>
    <s v="High (&gt;10k)"/>
    <n v="25846"/>
    <n v="1"/>
    <x v="0"/>
    <n v="15"/>
    <n v="3"/>
    <n v="4"/>
    <n v="1"/>
    <n v="33"/>
    <n v="3"/>
    <s v="Better"/>
    <n v="32"/>
    <x v="2"/>
    <n v="14"/>
    <n v="6"/>
    <n v="9"/>
  </r>
  <r>
    <n v="52"/>
    <s v="Senior"/>
    <n v="0"/>
    <s v="Travel_Rarely"/>
    <n v="994"/>
    <x v="0"/>
    <n v="7"/>
    <s v="Moderate"/>
    <s v="Master"/>
    <s v="Life Sciences"/>
    <n v="2"/>
    <s v="Male"/>
    <n v="87"/>
    <n v="3"/>
    <n v="3"/>
    <s v="Healthcare Representative"/>
    <s v="Medium"/>
    <s v="Single"/>
    <n v="10445"/>
    <s v="High (&gt;10k)"/>
    <n v="15322"/>
    <n v="7"/>
    <x v="0"/>
    <n v="19"/>
    <n v="3"/>
    <n v="4"/>
    <n v="0"/>
    <n v="18"/>
    <n v="4"/>
    <s v="Better"/>
    <n v="8"/>
    <x v="1"/>
    <n v="6"/>
    <n v="4"/>
    <n v="0"/>
  </r>
  <r>
    <n v="52"/>
    <s v="Senior"/>
    <n v="1"/>
    <s v="Travel_Rarely"/>
    <n v="1030"/>
    <x v="1"/>
    <n v="5"/>
    <s v="Near Office"/>
    <s v="Bachelor"/>
    <s v="Life Sciences"/>
    <n v="2"/>
    <s v="Male"/>
    <n v="64"/>
    <n v="3"/>
    <n v="3"/>
    <s v="Sales Executive"/>
    <s v="Medium"/>
    <s v="Single"/>
    <n v="8446"/>
    <s v="Medium (5k-10k)"/>
    <n v="21534"/>
    <n v="9"/>
    <x v="1"/>
    <n v="19"/>
    <n v="3"/>
    <n v="3"/>
    <n v="0"/>
    <n v="10"/>
    <n v="2"/>
    <s v="Good"/>
    <n v="8"/>
    <x v="1"/>
    <n v="7"/>
    <n v="7"/>
    <n v="7"/>
  </r>
  <r>
    <n v="52"/>
    <s v="Senior"/>
    <n v="0"/>
    <s v="Travel_Frequently"/>
    <n v="322"/>
    <x v="0"/>
    <n v="28"/>
    <s v="Long Commute"/>
    <s v="College"/>
    <s v="Medical"/>
    <n v="4"/>
    <s v="Female"/>
    <n v="59"/>
    <n v="4"/>
    <n v="4"/>
    <s v="Manufacturing Director"/>
    <s v="High"/>
    <s v="Married"/>
    <n v="13247"/>
    <s v="High (&gt;10k)"/>
    <n v="9731"/>
    <n v="2"/>
    <x v="1"/>
    <n v="11"/>
    <n v="3"/>
    <n v="2"/>
    <n v="1"/>
    <n v="24"/>
    <n v="3"/>
    <s v="Good"/>
    <n v="5"/>
    <x v="1"/>
    <n v="3"/>
    <n v="0"/>
    <n v="2"/>
  </r>
  <r>
    <n v="52"/>
    <s v="Senior"/>
    <n v="0"/>
    <s v="Travel_Rarely"/>
    <n v="258"/>
    <x v="0"/>
    <n v="8"/>
    <s v="Moderate"/>
    <s v="Master"/>
    <s v="Other"/>
    <n v="3"/>
    <s v="Female"/>
    <n v="54"/>
    <n v="3"/>
    <n v="1"/>
    <s v="Laboratory Technician"/>
    <s v="Low"/>
    <s v="Married"/>
    <n v="2950"/>
    <s v="Low (&lt;5k)"/>
    <n v="17363"/>
    <n v="9"/>
    <x v="0"/>
    <n v="13"/>
    <n v="3"/>
    <n v="3"/>
    <n v="0"/>
    <n v="12"/>
    <n v="2"/>
    <s v="Bad"/>
    <n v="5"/>
    <x v="1"/>
    <n v="4"/>
    <n v="0"/>
    <n v="4"/>
  </r>
  <r>
    <n v="52"/>
    <s v="Senior"/>
    <n v="0"/>
    <s v="Non-Travel"/>
    <n v="585"/>
    <x v="1"/>
    <n v="29"/>
    <s v="Long Commute"/>
    <s v="Master"/>
    <s v="Life Sciences"/>
    <n v="1"/>
    <s v="Male"/>
    <n v="40"/>
    <n v="3"/>
    <n v="1"/>
    <s v="Sales Representative"/>
    <s v="Very High"/>
    <s v="Divorced"/>
    <n v="3482"/>
    <s v="Low (&lt;5k)"/>
    <n v="19788"/>
    <n v="2"/>
    <x v="0"/>
    <n v="15"/>
    <n v="3"/>
    <n v="2"/>
    <n v="2"/>
    <n v="16"/>
    <n v="3"/>
    <s v="Good"/>
    <n v="9"/>
    <x v="1"/>
    <n v="8"/>
    <n v="0"/>
    <n v="0"/>
  </r>
  <r>
    <n v="53"/>
    <s v="Senior"/>
    <n v="0"/>
    <s v="Travel_Rarely"/>
    <n v="1219"/>
    <x v="1"/>
    <n v="2"/>
    <s v="Near Office"/>
    <s v="Master"/>
    <s v="Life Sciences"/>
    <n v="1"/>
    <s v="Female"/>
    <n v="78"/>
    <n v="2"/>
    <n v="4"/>
    <s v="Manager"/>
    <s v="Very High"/>
    <s v="Married"/>
    <n v="15427"/>
    <s v="High (&gt;10k)"/>
    <n v="22021"/>
    <n v="2"/>
    <x v="0"/>
    <n v="16"/>
    <n v="3"/>
    <n v="3"/>
    <n v="0"/>
    <n v="31"/>
    <n v="3"/>
    <s v="Better"/>
    <n v="25"/>
    <x v="2"/>
    <n v="8"/>
    <n v="3"/>
    <n v="7"/>
  </r>
  <r>
    <n v="53"/>
    <s v="Senior"/>
    <n v="0"/>
    <s v="Travel_Rarely"/>
    <n v="1282"/>
    <x v="0"/>
    <n v="5"/>
    <s v="Near Office"/>
    <s v="Bachelor"/>
    <s v="Other"/>
    <n v="3"/>
    <s v="Female"/>
    <n v="58"/>
    <n v="3"/>
    <n v="5"/>
    <s v="Manager"/>
    <s v="High"/>
    <s v="Divorced"/>
    <n v="19094"/>
    <s v="High (&gt;10k)"/>
    <n v="10735"/>
    <n v="4"/>
    <x v="0"/>
    <n v="11"/>
    <n v="3"/>
    <n v="4"/>
    <n v="1"/>
    <n v="26"/>
    <n v="3"/>
    <s v="Good"/>
    <n v="14"/>
    <x v="2"/>
    <n v="13"/>
    <n v="4"/>
    <n v="8"/>
  </r>
  <r>
    <n v="53"/>
    <s v="Senior"/>
    <n v="0"/>
    <s v="Travel_Rarely"/>
    <n v="1436"/>
    <x v="1"/>
    <n v="6"/>
    <s v="Moderate"/>
    <s v="College"/>
    <s v="Marketing"/>
    <n v="2"/>
    <s v="Male"/>
    <n v="34"/>
    <n v="3"/>
    <n v="2"/>
    <s v="Sales Representative"/>
    <s v="High"/>
    <s v="Married"/>
    <n v="2306"/>
    <s v="Low (&lt;5k)"/>
    <n v="16047"/>
    <n v="2"/>
    <x v="1"/>
    <n v="20"/>
    <n v="4"/>
    <n v="4"/>
    <n v="1"/>
    <n v="13"/>
    <n v="3"/>
    <s v="Bad"/>
    <n v="7"/>
    <x v="1"/>
    <n v="7"/>
    <n v="4"/>
    <n v="5"/>
  </r>
  <r>
    <n v="53"/>
    <s v="Senior"/>
    <n v="0"/>
    <s v="Travel_Rarely"/>
    <n v="1084"/>
    <x v="0"/>
    <n v="13"/>
    <s v="Moderate"/>
    <s v="College"/>
    <s v="Medical"/>
    <n v="4"/>
    <s v="Female"/>
    <n v="57"/>
    <n v="4"/>
    <n v="2"/>
    <s v="Manufacturing Director"/>
    <s v="Low"/>
    <s v="Divorced"/>
    <n v="4450"/>
    <s v="Low (&lt;5k)"/>
    <n v="26250"/>
    <n v="1"/>
    <x v="0"/>
    <n v="11"/>
    <n v="3"/>
    <n v="3"/>
    <n v="2"/>
    <n v="5"/>
    <n v="3"/>
    <s v="Better"/>
    <n v="4"/>
    <x v="1"/>
    <n v="2"/>
    <n v="1"/>
    <n v="3"/>
  </r>
  <r>
    <n v="53"/>
    <s v="Senior"/>
    <n v="0"/>
    <s v="Travel_Rarely"/>
    <n v="1070"/>
    <x v="0"/>
    <n v="3"/>
    <s v="Near Office"/>
    <s v="Master"/>
    <s v="Medical"/>
    <n v="3"/>
    <s v="Male"/>
    <n v="45"/>
    <n v="3"/>
    <n v="4"/>
    <s v="Research Director"/>
    <s v="High"/>
    <s v="Married"/>
    <n v="17584"/>
    <s v="High (&gt;10k)"/>
    <n v="21016"/>
    <n v="3"/>
    <x v="1"/>
    <n v="16"/>
    <n v="3"/>
    <n v="4"/>
    <n v="3"/>
    <n v="21"/>
    <n v="5"/>
    <s v="Good"/>
    <n v="5"/>
    <x v="1"/>
    <n v="3"/>
    <n v="1"/>
    <n v="3"/>
  </r>
  <r>
    <n v="53"/>
    <s v="Senior"/>
    <n v="0"/>
    <s v="Travel_Rarely"/>
    <n v="238"/>
    <x v="1"/>
    <n v="1"/>
    <s v="Near Office"/>
    <s v="Below College"/>
    <s v="Medical"/>
    <n v="4"/>
    <s v="Female"/>
    <n v="34"/>
    <n v="3"/>
    <n v="2"/>
    <s v="Sales Executive"/>
    <s v="Low"/>
    <s v="Single"/>
    <n v="8381"/>
    <s v="Medium (5k-10k)"/>
    <n v="7507"/>
    <n v="7"/>
    <x v="0"/>
    <n v="20"/>
    <n v="4"/>
    <n v="4"/>
    <n v="0"/>
    <n v="18"/>
    <n v="2"/>
    <s v="Best"/>
    <n v="14"/>
    <x v="2"/>
    <n v="7"/>
    <n v="8"/>
    <n v="10"/>
  </r>
  <r>
    <n v="53"/>
    <s v="Senior"/>
    <n v="0"/>
    <s v="Travel_Rarely"/>
    <n v="970"/>
    <x v="0"/>
    <n v="7"/>
    <s v="Moderate"/>
    <s v="Bachelor"/>
    <s v="Life Sciences"/>
    <n v="3"/>
    <s v="Male"/>
    <n v="59"/>
    <n v="4"/>
    <n v="4"/>
    <s v="Research Director"/>
    <s v="High"/>
    <s v="Married"/>
    <n v="14814"/>
    <s v="High (&gt;10k)"/>
    <n v="13514"/>
    <n v="3"/>
    <x v="0"/>
    <n v="19"/>
    <n v="3"/>
    <n v="3"/>
    <n v="0"/>
    <n v="32"/>
    <n v="3"/>
    <s v="Better"/>
    <n v="5"/>
    <x v="1"/>
    <n v="1"/>
    <n v="1"/>
    <n v="3"/>
  </r>
  <r>
    <n v="53"/>
    <s v="Senior"/>
    <n v="0"/>
    <s v="Travel_Rarely"/>
    <n v="346"/>
    <x v="0"/>
    <n v="6"/>
    <s v="Moderate"/>
    <s v="Bachelor"/>
    <s v="Life Sciences"/>
    <n v="4"/>
    <s v="Male"/>
    <n v="86"/>
    <n v="3"/>
    <n v="2"/>
    <s v="Laboratory Technician"/>
    <s v="Very High"/>
    <s v="Single"/>
    <n v="2450"/>
    <s v="Low (&lt;5k)"/>
    <n v="10919"/>
    <n v="2"/>
    <x v="0"/>
    <n v="17"/>
    <n v="3"/>
    <n v="4"/>
    <n v="0"/>
    <n v="19"/>
    <n v="4"/>
    <s v="Better"/>
    <n v="2"/>
    <x v="0"/>
    <n v="2"/>
    <n v="2"/>
    <n v="2"/>
  </r>
  <r>
    <n v="53"/>
    <s v="Senior"/>
    <n v="0"/>
    <s v="Travel_Rarely"/>
    <n v="661"/>
    <x v="1"/>
    <n v="7"/>
    <s v="Moderate"/>
    <s v="College"/>
    <s v="Marketing"/>
    <n v="1"/>
    <s v="Female"/>
    <n v="78"/>
    <n v="2"/>
    <n v="3"/>
    <s v="Sales Executive"/>
    <s v="Very High"/>
    <s v="Married"/>
    <n v="10934"/>
    <s v="High (&gt;10k)"/>
    <n v="20715"/>
    <n v="7"/>
    <x v="1"/>
    <n v="18"/>
    <n v="3"/>
    <n v="4"/>
    <n v="1"/>
    <n v="35"/>
    <n v="3"/>
    <s v="Better"/>
    <n v="5"/>
    <x v="1"/>
    <n v="2"/>
    <n v="0"/>
    <n v="4"/>
  </r>
  <r>
    <n v="53"/>
    <s v="Senior"/>
    <n v="0"/>
    <s v="Travel_Rarely"/>
    <n v="868"/>
    <x v="1"/>
    <n v="8"/>
    <s v="Moderate"/>
    <s v="Bachelor"/>
    <s v="Marketing"/>
    <n v="1"/>
    <s v="Male"/>
    <n v="73"/>
    <n v="3"/>
    <n v="4"/>
    <s v="Sales Executive"/>
    <s v="Very High"/>
    <s v="Married"/>
    <n v="11836"/>
    <s v="High (&gt;10k)"/>
    <n v="22789"/>
    <n v="5"/>
    <x v="0"/>
    <n v="14"/>
    <n v="3"/>
    <n v="3"/>
    <n v="1"/>
    <n v="28"/>
    <n v="3"/>
    <s v="Better"/>
    <n v="2"/>
    <x v="0"/>
    <n v="0"/>
    <n v="2"/>
    <n v="2"/>
  </r>
  <r>
    <n v="53"/>
    <s v="Senior"/>
    <n v="0"/>
    <s v="Travel_Rarely"/>
    <n v="102"/>
    <x v="0"/>
    <n v="23"/>
    <s v="Long Commute"/>
    <s v="Master"/>
    <s v="Life Sciences"/>
    <n v="4"/>
    <s v="Female"/>
    <n v="72"/>
    <n v="3"/>
    <n v="4"/>
    <s v="Research Director"/>
    <s v="Very High"/>
    <s v="Single"/>
    <n v="14275"/>
    <s v="High (&gt;10k)"/>
    <n v="20206"/>
    <n v="6"/>
    <x v="0"/>
    <n v="18"/>
    <n v="3"/>
    <n v="3"/>
    <n v="0"/>
    <n v="33"/>
    <n v="0"/>
    <s v="Better"/>
    <n v="12"/>
    <x v="2"/>
    <n v="9"/>
    <n v="3"/>
    <n v="8"/>
  </r>
  <r>
    <n v="53"/>
    <s v="Senior"/>
    <n v="0"/>
    <s v="Travel_Rarely"/>
    <n v="1376"/>
    <x v="1"/>
    <n v="2"/>
    <s v="Near Office"/>
    <s v="College"/>
    <s v="Medical"/>
    <n v="3"/>
    <s v="Male"/>
    <n v="45"/>
    <n v="3"/>
    <n v="4"/>
    <s v="Manager"/>
    <s v="High"/>
    <s v="Divorced"/>
    <n v="14852"/>
    <s v="High (&gt;10k)"/>
    <n v="13938"/>
    <n v="6"/>
    <x v="0"/>
    <n v="13"/>
    <n v="3"/>
    <n v="3"/>
    <n v="1"/>
    <n v="22"/>
    <n v="3"/>
    <s v="Best"/>
    <n v="17"/>
    <x v="2"/>
    <n v="13"/>
    <n v="15"/>
    <n v="2"/>
  </r>
  <r>
    <n v="53"/>
    <s v="Senior"/>
    <n v="0"/>
    <s v="Travel_Frequently"/>
    <n v="124"/>
    <x v="1"/>
    <n v="2"/>
    <s v="Near Office"/>
    <s v="Bachelor"/>
    <s v="Marketing"/>
    <n v="3"/>
    <s v="Female"/>
    <n v="38"/>
    <n v="2"/>
    <n v="3"/>
    <s v="Sales Executive"/>
    <s v="Medium"/>
    <s v="Married"/>
    <n v="7525"/>
    <s v="Medium (5k-10k)"/>
    <n v="23537"/>
    <n v="2"/>
    <x v="0"/>
    <n v="12"/>
    <n v="3"/>
    <n v="1"/>
    <n v="1"/>
    <n v="30"/>
    <n v="2"/>
    <s v="Better"/>
    <n v="15"/>
    <x v="2"/>
    <n v="7"/>
    <n v="6"/>
    <n v="12"/>
  </r>
  <r>
    <n v="53"/>
    <s v="Senior"/>
    <n v="0"/>
    <s v="Travel_Rarely"/>
    <n v="1223"/>
    <x v="0"/>
    <n v="7"/>
    <s v="Moderate"/>
    <s v="College"/>
    <s v="Medical"/>
    <n v="4"/>
    <s v="Female"/>
    <n v="50"/>
    <n v="3"/>
    <n v="5"/>
    <s v="Manager"/>
    <s v="High"/>
    <s v="Divorced"/>
    <n v="18606"/>
    <s v="High (&gt;10k)"/>
    <n v="18640"/>
    <n v="3"/>
    <x v="0"/>
    <n v="18"/>
    <n v="3"/>
    <n v="2"/>
    <n v="1"/>
    <n v="26"/>
    <n v="6"/>
    <s v="Better"/>
    <n v="7"/>
    <x v="1"/>
    <n v="7"/>
    <n v="4"/>
    <n v="7"/>
  </r>
  <r>
    <n v="53"/>
    <s v="Senior"/>
    <n v="0"/>
    <s v="Travel_Rarely"/>
    <n v="447"/>
    <x v="0"/>
    <n v="2"/>
    <s v="Near Office"/>
    <s v="Bachelor"/>
    <s v="Medical"/>
    <n v="4"/>
    <s v="Male"/>
    <n v="39"/>
    <n v="4"/>
    <n v="4"/>
    <s v="Research Director"/>
    <s v="Medium"/>
    <s v="Single"/>
    <n v="16598"/>
    <s v="High (&gt;10k)"/>
    <n v="19764"/>
    <n v="4"/>
    <x v="0"/>
    <n v="12"/>
    <n v="3"/>
    <n v="2"/>
    <n v="0"/>
    <n v="35"/>
    <n v="2"/>
    <s v="Good"/>
    <n v="9"/>
    <x v="1"/>
    <n v="8"/>
    <n v="8"/>
    <n v="8"/>
  </r>
  <r>
    <n v="53"/>
    <s v="Senior"/>
    <n v="1"/>
    <s v="Travel_Rarely"/>
    <n v="607"/>
    <x v="0"/>
    <n v="2"/>
    <s v="Near Office"/>
    <s v="Doctor"/>
    <s v="Technical Degree"/>
    <n v="3"/>
    <s v="Female"/>
    <n v="78"/>
    <n v="2"/>
    <n v="3"/>
    <s v="Manufacturing Director"/>
    <s v="Very High"/>
    <s v="Married"/>
    <n v="10169"/>
    <s v="High (&gt;10k)"/>
    <n v="14618"/>
    <n v="0"/>
    <x v="0"/>
    <n v="16"/>
    <n v="3"/>
    <n v="2"/>
    <n v="1"/>
    <n v="34"/>
    <n v="4"/>
    <s v="Better"/>
    <n v="33"/>
    <x v="2"/>
    <n v="7"/>
    <n v="1"/>
    <n v="9"/>
  </r>
  <r>
    <n v="53"/>
    <s v="Senior"/>
    <n v="0"/>
    <s v="Travel_Rarely"/>
    <n v="1395"/>
    <x v="0"/>
    <n v="24"/>
    <s v="Long Commute"/>
    <s v="Master"/>
    <s v="Medical"/>
    <n v="2"/>
    <s v="Male"/>
    <n v="48"/>
    <n v="4"/>
    <n v="3"/>
    <s v="Healthcare Representative"/>
    <s v="Very High"/>
    <s v="Married"/>
    <n v="7005"/>
    <s v="Medium (5k-10k)"/>
    <n v="3458"/>
    <n v="3"/>
    <x v="0"/>
    <n v="15"/>
    <n v="3"/>
    <n v="3"/>
    <n v="0"/>
    <n v="11"/>
    <n v="2"/>
    <s v="Better"/>
    <n v="4"/>
    <x v="1"/>
    <n v="3"/>
    <n v="1"/>
    <n v="2"/>
  </r>
  <r>
    <n v="53"/>
    <s v="Senior"/>
    <n v="0"/>
    <s v="Non-Travel"/>
    <n v="661"/>
    <x v="0"/>
    <n v="1"/>
    <s v="Near Office"/>
    <s v="Master"/>
    <s v="Medical"/>
    <n v="1"/>
    <s v="Female"/>
    <n v="60"/>
    <n v="2"/>
    <n v="4"/>
    <s v="Manufacturing Director"/>
    <s v="High"/>
    <s v="Married"/>
    <n v="12965"/>
    <s v="High (&gt;10k)"/>
    <n v="22308"/>
    <n v="4"/>
    <x v="1"/>
    <n v="20"/>
    <n v="4"/>
    <n v="4"/>
    <n v="3"/>
    <n v="27"/>
    <n v="2"/>
    <s v="Good"/>
    <n v="3"/>
    <x v="1"/>
    <n v="2"/>
    <n v="0"/>
    <n v="2"/>
  </r>
  <r>
    <n v="53"/>
    <s v="Senior"/>
    <n v="1"/>
    <s v="Travel_Rarely"/>
    <n v="1168"/>
    <x v="1"/>
    <n v="24"/>
    <s v="Long Commute"/>
    <s v="Master"/>
    <s v="Life Sciences"/>
    <n v="1"/>
    <s v="Male"/>
    <n v="66"/>
    <n v="3"/>
    <n v="3"/>
    <s v="Sales Executive"/>
    <s v="Low"/>
    <s v="Single"/>
    <n v="10448"/>
    <s v="High (&gt;10k)"/>
    <n v="5843"/>
    <n v="6"/>
    <x v="1"/>
    <n v="13"/>
    <n v="3"/>
    <n v="2"/>
    <n v="0"/>
    <n v="15"/>
    <n v="2"/>
    <s v="Good"/>
    <n v="2"/>
    <x v="0"/>
    <n v="2"/>
    <n v="2"/>
    <n v="2"/>
  </r>
  <r>
    <n v="54"/>
    <s v="Senior"/>
    <n v="0"/>
    <s v="Travel_Rarely"/>
    <n v="1217"/>
    <x v="0"/>
    <n v="2"/>
    <s v="Near Office"/>
    <s v="Master"/>
    <s v="Technical Degree"/>
    <n v="1"/>
    <s v="Female"/>
    <n v="60"/>
    <n v="3"/>
    <n v="3"/>
    <s v="Research Director"/>
    <s v="High"/>
    <s v="Married"/>
    <n v="13549"/>
    <s v="High (&gt;10k)"/>
    <n v="24001"/>
    <n v="9"/>
    <x v="0"/>
    <n v="12"/>
    <n v="3"/>
    <n v="1"/>
    <n v="1"/>
    <n v="16"/>
    <n v="5"/>
    <s v="Bad"/>
    <n v="4"/>
    <x v="1"/>
    <n v="3"/>
    <n v="0"/>
    <n v="3"/>
  </r>
  <r>
    <n v="54"/>
    <s v="Senior"/>
    <n v="0"/>
    <s v="Non-Travel"/>
    <n v="142"/>
    <x v="2"/>
    <n v="26"/>
    <s v="Long Commute"/>
    <s v="Bachelor"/>
    <s v="Human Resources"/>
    <n v="4"/>
    <s v="Female"/>
    <n v="30"/>
    <n v="4"/>
    <n v="4"/>
    <s v="Manager"/>
    <s v="Very High"/>
    <s v="Single"/>
    <n v="17328"/>
    <s v="High (&gt;10k)"/>
    <n v="13871"/>
    <n v="2"/>
    <x v="1"/>
    <n v="12"/>
    <n v="3"/>
    <n v="3"/>
    <n v="0"/>
    <n v="23"/>
    <n v="3"/>
    <s v="Better"/>
    <n v="5"/>
    <x v="1"/>
    <n v="3"/>
    <n v="4"/>
    <n v="4"/>
  </r>
  <r>
    <n v="54"/>
    <s v="Senior"/>
    <n v="0"/>
    <s v="Travel_Rarely"/>
    <n v="1147"/>
    <x v="1"/>
    <n v="3"/>
    <s v="Near Office"/>
    <s v="Bachelor"/>
    <s v="Marketing"/>
    <n v="4"/>
    <s v="Female"/>
    <n v="52"/>
    <n v="3"/>
    <n v="2"/>
    <s v="Sales Executive"/>
    <s v="Low"/>
    <s v="Married"/>
    <n v="5940"/>
    <s v="Medium (5k-10k)"/>
    <n v="17011"/>
    <n v="2"/>
    <x v="0"/>
    <n v="14"/>
    <n v="3"/>
    <n v="4"/>
    <n v="1"/>
    <n v="16"/>
    <n v="4"/>
    <s v="Better"/>
    <n v="6"/>
    <x v="1"/>
    <n v="2"/>
    <n v="0"/>
    <n v="5"/>
  </r>
  <r>
    <n v="54"/>
    <s v="Senior"/>
    <n v="0"/>
    <s v="Travel_Frequently"/>
    <n v="928"/>
    <x v="0"/>
    <n v="20"/>
    <s v="Long Commute"/>
    <s v="Master"/>
    <s v="Life Sciences"/>
    <n v="4"/>
    <s v="Female"/>
    <n v="31"/>
    <n v="3"/>
    <n v="2"/>
    <s v="Research Scientist"/>
    <s v="High"/>
    <s v="Single"/>
    <n v="4869"/>
    <s v="Low (&lt;5k)"/>
    <n v="16885"/>
    <n v="3"/>
    <x v="0"/>
    <n v="12"/>
    <n v="3"/>
    <n v="4"/>
    <n v="0"/>
    <n v="20"/>
    <n v="4"/>
    <s v="Good"/>
    <n v="4"/>
    <x v="1"/>
    <n v="3"/>
    <n v="0"/>
    <n v="3"/>
  </r>
  <r>
    <n v="54"/>
    <s v="Senior"/>
    <n v="0"/>
    <s v="Travel_Rarely"/>
    <n v="821"/>
    <x v="0"/>
    <n v="5"/>
    <s v="Near Office"/>
    <s v="College"/>
    <s v="Medical"/>
    <n v="1"/>
    <s v="Male"/>
    <n v="86"/>
    <n v="3"/>
    <n v="5"/>
    <s v="Research Director"/>
    <s v="Low"/>
    <s v="Married"/>
    <n v="19406"/>
    <s v="High (&gt;10k)"/>
    <n v="8509"/>
    <n v="4"/>
    <x v="0"/>
    <n v="11"/>
    <n v="3"/>
    <n v="3"/>
    <n v="1"/>
    <n v="24"/>
    <n v="4"/>
    <s v="Good"/>
    <n v="4"/>
    <x v="1"/>
    <n v="2"/>
    <n v="1"/>
    <n v="2"/>
  </r>
  <r>
    <n v="54"/>
    <s v="Senior"/>
    <n v="0"/>
    <s v="Travel_Rarely"/>
    <n v="548"/>
    <x v="0"/>
    <n v="8"/>
    <s v="Moderate"/>
    <s v="Master"/>
    <s v="Life Sciences"/>
    <n v="3"/>
    <s v="Female"/>
    <n v="42"/>
    <n v="3"/>
    <n v="2"/>
    <s v="Laboratory Technician"/>
    <s v="High"/>
    <s v="Single"/>
    <n v="3780"/>
    <s v="Low (&lt;5k)"/>
    <n v="23428"/>
    <n v="7"/>
    <x v="0"/>
    <n v="11"/>
    <n v="3"/>
    <n v="3"/>
    <n v="0"/>
    <n v="19"/>
    <n v="3"/>
    <s v="Better"/>
    <n v="1"/>
    <x v="0"/>
    <n v="0"/>
    <n v="0"/>
    <n v="0"/>
  </r>
  <r>
    <n v="54"/>
    <s v="Senior"/>
    <n v="0"/>
    <s v="Travel_Rarely"/>
    <n v="397"/>
    <x v="2"/>
    <n v="19"/>
    <s v="Long Commute"/>
    <s v="Master"/>
    <s v="Medical"/>
    <n v="3"/>
    <s v="Male"/>
    <n v="88"/>
    <n v="3"/>
    <n v="3"/>
    <s v="Human Resources"/>
    <s v="Medium"/>
    <s v="Married"/>
    <n v="10725"/>
    <s v="High (&gt;10k)"/>
    <n v="6729"/>
    <n v="2"/>
    <x v="0"/>
    <n v="15"/>
    <n v="3"/>
    <n v="3"/>
    <n v="1"/>
    <n v="16"/>
    <n v="1"/>
    <s v="Best"/>
    <n v="9"/>
    <x v="1"/>
    <n v="7"/>
    <n v="7"/>
    <n v="1"/>
  </r>
  <r>
    <n v="54"/>
    <s v="Senior"/>
    <n v="0"/>
    <s v="Travel_Rarely"/>
    <n v="376"/>
    <x v="0"/>
    <n v="19"/>
    <s v="Long Commute"/>
    <s v="Master"/>
    <s v="Medical"/>
    <n v="4"/>
    <s v="Female"/>
    <n v="95"/>
    <n v="3"/>
    <n v="2"/>
    <s v="Manufacturing Director"/>
    <s v="Low"/>
    <s v="Divorced"/>
    <n v="5485"/>
    <s v="Medium (5k-10k)"/>
    <n v="22670"/>
    <n v="9"/>
    <x v="1"/>
    <n v="11"/>
    <n v="3"/>
    <n v="2"/>
    <n v="2"/>
    <n v="9"/>
    <n v="4"/>
    <s v="Better"/>
    <n v="5"/>
    <x v="1"/>
    <n v="3"/>
    <n v="1"/>
    <n v="4"/>
  </r>
  <r>
    <n v="54"/>
    <s v="Senior"/>
    <n v="0"/>
    <s v="Travel_Rarely"/>
    <n v="1441"/>
    <x v="0"/>
    <n v="17"/>
    <s v="Long Commute"/>
    <s v="Bachelor"/>
    <s v="Technical Degree"/>
    <n v="3"/>
    <s v="Female"/>
    <n v="56"/>
    <n v="3"/>
    <n v="3"/>
    <s v="Manufacturing Director"/>
    <s v="High"/>
    <s v="Married"/>
    <n v="10739"/>
    <s v="High (&gt;10k)"/>
    <n v="13943"/>
    <n v="8"/>
    <x v="0"/>
    <n v="11"/>
    <n v="3"/>
    <n v="3"/>
    <n v="1"/>
    <n v="22"/>
    <n v="2"/>
    <s v="Better"/>
    <n v="10"/>
    <x v="2"/>
    <n v="7"/>
    <n v="0"/>
    <n v="8"/>
  </r>
  <r>
    <n v="54"/>
    <s v="Senior"/>
    <n v="0"/>
    <s v="Travel_Rarely"/>
    <n v="1082"/>
    <x v="1"/>
    <n v="2"/>
    <s v="Near Office"/>
    <s v="Master"/>
    <s v="Life Sciences"/>
    <n v="3"/>
    <s v="Female"/>
    <n v="41"/>
    <n v="2"/>
    <n v="3"/>
    <s v="Sales Executive"/>
    <s v="High"/>
    <s v="Married"/>
    <n v="10686"/>
    <s v="High (&gt;10k)"/>
    <n v="8392"/>
    <n v="6"/>
    <x v="0"/>
    <n v="11"/>
    <n v="3"/>
    <n v="2"/>
    <n v="1"/>
    <n v="13"/>
    <n v="4"/>
    <s v="Better"/>
    <n v="9"/>
    <x v="1"/>
    <n v="4"/>
    <n v="7"/>
    <n v="0"/>
  </r>
  <r>
    <n v="54"/>
    <s v="Senior"/>
    <n v="0"/>
    <s v="Travel_Frequently"/>
    <n v="966"/>
    <x v="0"/>
    <n v="1"/>
    <s v="Near Office"/>
    <s v="Master"/>
    <s v="Life Sciences"/>
    <n v="4"/>
    <s v="Female"/>
    <n v="53"/>
    <n v="3"/>
    <n v="3"/>
    <s v="Manufacturing Director"/>
    <s v="High"/>
    <s v="Divorced"/>
    <n v="10502"/>
    <s v="High (&gt;10k)"/>
    <n v="9659"/>
    <n v="7"/>
    <x v="0"/>
    <n v="17"/>
    <n v="3"/>
    <n v="1"/>
    <n v="1"/>
    <n v="33"/>
    <n v="2"/>
    <s v="Bad"/>
    <n v="5"/>
    <x v="1"/>
    <n v="4"/>
    <n v="1"/>
    <n v="4"/>
  </r>
  <r>
    <n v="54"/>
    <s v="Senior"/>
    <n v="0"/>
    <s v="Travel_Rarely"/>
    <n v="685"/>
    <x v="0"/>
    <n v="3"/>
    <s v="Near Office"/>
    <s v="Bachelor"/>
    <s v="Life Sciences"/>
    <n v="4"/>
    <s v="Male"/>
    <n v="85"/>
    <n v="3"/>
    <n v="4"/>
    <s v="Research Director"/>
    <s v="Very High"/>
    <s v="Married"/>
    <n v="17779"/>
    <s v="High (&gt;10k)"/>
    <n v="23474"/>
    <n v="3"/>
    <x v="0"/>
    <n v="14"/>
    <n v="3"/>
    <n v="1"/>
    <n v="0"/>
    <n v="36"/>
    <n v="2"/>
    <s v="Better"/>
    <n v="10"/>
    <x v="2"/>
    <n v="9"/>
    <n v="0"/>
    <n v="9"/>
  </r>
  <r>
    <n v="54"/>
    <s v="Senior"/>
    <n v="0"/>
    <s v="Travel_Rarely"/>
    <n v="971"/>
    <x v="0"/>
    <n v="1"/>
    <s v="Near Office"/>
    <s v="Bachelor"/>
    <s v="Medical"/>
    <n v="4"/>
    <s v="Female"/>
    <n v="54"/>
    <n v="3"/>
    <n v="4"/>
    <s v="Research Director"/>
    <s v="Very High"/>
    <s v="Single"/>
    <n v="17328"/>
    <s v="High (&gt;10k)"/>
    <n v="5652"/>
    <n v="6"/>
    <x v="0"/>
    <n v="19"/>
    <n v="3"/>
    <n v="4"/>
    <n v="0"/>
    <n v="29"/>
    <n v="3"/>
    <s v="Good"/>
    <n v="20"/>
    <x v="2"/>
    <n v="7"/>
    <n v="12"/>
    <n v="7"/>
  </r>
  <r>
    <n v="54"/>
    <s v="Senior"/>
    <n v="0"/>
    <s v="Travel_Frequently"/>
    <n v="1050"/>
    <x v="0"/>
    <n v="11"/>
    <s v="Moderate"/>
    <s v="Master"/>
    <s v="Medical"/>
    <n v="2"/>
    <s v="Female"/>
    <n v="87"/>
    <n v="3"/>
    <n v="4"/>
    <s v="Manager"/>
    <s v="Very High"/>
    <s v="Divorced"/>
    <n v="16032"/>
    <s v="High (&gt;10k)"/>
    <n v="24456"/>
    <n v="3"/>
    <x v="0"/>
    <n v="20"/>
    <n v="4"/>
    <n v="1"/>
    <n v="1"/>
    <n v="26"/>
    <n v="2"/>
    <s v="Better"/>
    <n v="14"/>
    <x v="2"/>
    <n v="9"/>
    <n v="1"/>
    <n v="12"/>
  </r>
  <r>
    <n v="54"/>
    <s v="Senior"/>
    <n v="0"/>
    <s v="Travel_Rarely"/>
    <n v="584"/>
    <x v="0"/>
    <n v="22"/>
    <s v="Long Commute"/>
    <s v="Doctor"/>
    <s v="Medical"/>
    <n v="2"/>
    <s v="Female"/>
    <n v="91"/>
    <n v="3"/>
    <n v="4"/>
    <s v="Manager"/>
    <s v="High"/>
    <s v="Married"/>
    <n v="17426"/>
    <s v="High (&gt;10k)"/>
    <n v="18685"/>
    <n v="3"/>
    <x v="0"/>
    <n v="25"/>
    <n v="4"/>
    <n v="3"/>
    <n v="1"/>
    <n v="36"/>
    <n v="6"/>
    <s v="Better"/>
    <n v="10"/>
    <x v="2"/>
    <n v="8"/>
    <n v="4"/>
    <n v="7"/>
  </r>
  <r>
    <n v="54"/>
    <s v="Senior"/>
    <n v="0"/>
    <s v="Travel_Rarely"/>
    <n v="431"/>
    <x v="0"/>
    <n v="7"/>
    <s v="Moderate"/>
    <s v="Master"/>
    <s v="Medical"/>
    <n v="4"/>
    <s v="Female"/>
    <n v="68"/>
    <n v="3"/>
    <n v="2"/>
    <s v="Research Scientist"/>
    <s v="Very High"/>
    <s v="Married"/>
    <n v="6854"/>
    <s v="Medium (5k-10k)"/>
    <n v="15696"/>
    <n v="4"/>
    <x v="0"/>
    <n v="15"/>
    <n v="3"/>
    <n v="2"/>
    <n v="1"/>
    <n v="14"/>
    <n v="2"/>
    <s v="Good"/>
    <n v="7"/>
    <x v="1"/>
    <n v="1"/>
    <n v="1"/>
    <n v="7"/>
  </r>
  <r>
    <n v="54"/>
    <s v="Senior"/>
    <n v="0"/>
    <s v="Travel_Rarely"/>
    <n v="155"/>
    <x v="0"/>
    <n v="9"/>
    <s v="Moderate"/>
    <s v="College"/>
    <s v="Life Sciences"/>
    <n v="1"/>
    <s v="Female"/>
    <n v="67"/>
    <n v="3"/>
    <n v="2"/>
    <s v="Research Scientist"/>
    <s v="High"/>
    <s v="Married"/>
    <n v="2897"/>
    <s v="Low (&lt;5k)"/>
    <n v="22474"/>
    <n v="3"/>
    <x v="0"/>
    <n v="11"/>
    <n v="3"/>
    <n v="3"/>
    <n v="2"/>
    <n v="9"/>
    <n v="6"/>
    <s v="Good"/>
    <n v="4"/>
    <x v="1"/>
    <n v="3"/>
    <n v="2"/>
    <n v="3"/>
  </r>
  <r>
    <n v="54"/>
    <s v="Senior"/>
    <n v="0"/>
    <s v="Travel_Rarely"/>
    <n v="157"/>
    <x v="0"/>
    <n v="10"/>
    <s v="Moderate"/>
    <s v="Bachelor"/>
    <s v="Medical"/>
    <n v="3"/>
    <s v="Female"/>
    <n v="77"/>
    <n v="3"/>
    <n v="2"/>
    <s v="Manufacturing Director"/>
    <s v="Low"/>
    <s v="Single"/>
    <n v="4440"/>
    <s v="Low (&lt;5k)"/>
    <n v="25198"/>
    <n v="6"/>
    <x v="1"/>
    <n v="19"/>
    <n v="3"/>
    <n v="4"/>
    <n v="0"/>
    <n v="9"/>
    <n v="3"/>
    <s v="Better"/>
    <n v="5"/>
    <x v="1"/>
    <n v="2"/>
    <n v="1"/>
    <n v="4"/>
  </r>
  <r>
    <n v="55"/>
    <s v="Senior"/>
    <n v="0"/>
    <s v="Travel_Rarely"/>
    <n v="836"/>
    <x v="0"/>
    <n v="8"/>
    <s v="Moderate"/>
    <s v="Bachelor"/>
    <s v="Medical"/>
    <n v="4"/>
    <s v="Female"/>
    <n v="33"/>
    <n v="3"/>
    <n v="4"/>
    <s v="Manager"/>
    <s v="High"/>
    <s v="Divorced"/>
    <n v="14756"/>
    <s v="High (&gt;10k)"/>
    <n v="19730"/>
    <n v="2"/>
    <x v="1"/>
    <n v="14"/>
    <n v="3"/>
    <n v="3"/>
    <n v="3"/>
    <n v="21"/>
    <n v="2"/>
    <s v="Better"/>
    <n v="5"/>
    <x v="1"/>
    <n v="0"/>
    <n v="0"/>
    <n v="2"/>
  </r>
  <r>
    <n v="55"/>
    <s v="Senior"/>
    <n v="0"/>
    <s v="Travel_Rarely"/>
    <n v="111"/>
    <x v="1"/>
    <n v="1"/>
    <s v="Near Office"/>
    <s v="College"/>
    <s v="Life Sciences"/>
    <n v="1"/>
    <s v="Male"/>
    <n v="70"/>
    <n v="3"/>
    <n v="3"/>
    <s v="Sales Executive"/>
    <s v="Very High"/>
    <s v="Married"/>
    <n v="10239"/>
    <s v="High (&gt;10k)"/>
    <n v="18092"/>
    <n v="3"/>
    <x v="0"/>
    <n v="14"/>
    <n v="3"/>
    <n v="4"/>
    <n v="1"/>
    <n v="24"/>
    <n v="4"/>
    <s v="Better"/>
    <n v="1"/>
    <x v="0"/>
    <n v="0"/>
    <n v="1"/>
    <n v="0"/>
  </r>
  <r>
    <n v="55"/>
    <s v="Senior"/>
    <n v="0"/>
    <s v="Travel_Rarely"/>
    <n v="692"/>
    <x v="0"/>
    <n v="14"/>
    <s v="Moderate"/>
    <s v="Master"/>
    <s v="Medical"/>
    <n v="3"/>
    <s v="Male"/>
    <n v="61"/>
    <n v="4"/>
    <n v="5"/>
    <s v="Research Director"/>
    <s v="Medium"/>
    <s v="Single"/>
    <n v="18722"/>
    <s v="High (&gt;10k)"/>
    <n v="13339"/>
    <n v="8"/>
    <x v="0"/>
    <n v="11"/>
    <n v="3"/>
    <n v="4"/>
    <n v="0"/>
    <n v="36"/>
    <n v="3"/>
    <s v="Better"/>
    <n v="24"/>
    <x v="2"/>
    <n v="15"/>
    <n v="2"/>
    <n v="15"/>
  </r>
  <r>
    <n v="55"/>
    <s v="Senior"/>
    <n v="0"/>
    <s v="Travel_Rarely"/>
    <n v="452"/>
    <x v="0"/>
    <n v="1"/>
    <s v="Near Office"/>
    <s v="Bachelor"/>
    <s v="Medical"/>
    <n v="4"/>
    <s v="Male"/>
    <n v="81"/>
    <n v="3"/>
    <n v="5"/>
    <s v="Manager"/>
    <s v="Low"/>
    <s v="Single"/>
    <n v="19045"/>
    <s v="High (&gt;10k)"/>
    <n v="18938"/>
    <n v="0"/>
    <x v="1"/>
    <n v="14"/>
    <n v="3"/>
    <n v="3"/>
    <n v="0"/>
    <n v="37"/>
    <n v="2"/>
    <s v="Better"/>
    <n v="36"/>
    <x v="2"/>
    <n v="10"/>
    <n v="4"/>
    <n v="13"/>
  </r>
  <r>
    <n v="55"/>
    <s v="Senior"/>
    <n v="0"/>
    <s v="Travel_Rarely"/>
    <n v="147"/>
    <x v="0"/>
    <n v="20"/>
    <s v="Long Commute"/>
    <s v="College"/>
    <s v="Technical Degree"/>
    <n v="2"/>
    <s v="Male"/>
    <n v="37"/>
    <n v="3"/>
    <n v="2"/>
    <s v="Laboratory Technician"/>
    <s v="Very High"/>
    <s v="Married"/>
    <n v="5415"/>
    <s v="Medium (5k-10k)"/>
    <n v="15972"/>
    <n v="3"/>
    <x v="1"/>
    <n v="19"/>
    <n v="3"/>
    <n v="4"/>
    <n v="1"/>
    <n v="12"/>
    <n v="4"/>
    <s v="Better"/>
    <n v="10"/>
    <x v="2"/>
    <n v="7"/>
    <n v="0"/>
    <n v="8"/>
  </r>
  <r>
    <n v="55"/>
    <s v="Senior"/>
    <n v="0"/>
    <s v="Travel_Rarely"/>
    <n v="1311"/>
    <x v="0"/>
    <n v="2"/>
    <s v="Near Office"/>
    <s v="Bachelor"/>
    <s v="Life Sciences"/>
    <n v="3"/>
    <s v="Female"/>
    <n v="97"/>
    <n v="3"/>
    <n v="4"/>
    <s v="Manager"/>
    <s v="Very High"/>
    <s v="Single"/>
    <n v="16659"/>
    <s v="High (&gt;10k)"/>
    <n v="23258"/>
    <n v="2"/>
    <x v="1"/>
    <n v="13"/>
    <n v="3"/>
    <n v="3"/>
    <n v="0"/>
    <n v="30"/>
    <n v="2"/>
    <s v="Better"/>
    <n v="5"/>
    <x v="1"/>
    <n v="4"/>
    <n v="1"/>
    <n v="2"/>
  </r>
  <r>
    <n v="55"/>
    <s v="Senior"/>
    <n v="0"/>
    <s v="Travel_Rarely"/>
    <n v="1117"/>
    <x v="1"/>
    <n v="18"/>
    <s v="Long Commute"/>
    <s v="Doctor"/>
    <s v="Life Sciences"/>
    <n v="1"/>
    <s v="Female"/>
    <n v="83"/>
    <n v="3"/>
    <n v="4"/>
    <s v="Manager"/>
    <s v="Medium"/>
    <s v="Single"/>
    <n v="16835"/>
    <s v="High (&gt;10k)"/>
    <n v="9873"/>
    <n v="3"/>
    <x v="0"/>
    <n v="23"/>
    <n v="4"/>
    <n v="4"/>
    <n v="0"/>
    <n v="37"/>
    <n v="2"/>
    <s v="Better"/>
    <n v="10"/>
    <x v="2"/>
    <n v="9"/>
    <n v="7"/>
    <n v="7"/>
  </r>
  <r>
    <n v="55"/>
    <s v="Senior"/>
    <n v="1"/>
    <s v="Travel_Rarely"/>
    <n v="725"/>
    <x v="0"/>
    <n v="2"/>
    <s v="Near Office"/>
    <s v="Bachelor"/>
    <s v="Medical"/>
    <n v="4"/>
    <s v="Male"/>
    <n v="78"/>
    <n v="3"/>
    <n v="5"/>
    <s v="Manager"/>
    <s v="Low"/>
    <s v="Married"/>
    <n v="19859"/>
    <s v="High (&gt;10k)"/>
    <n v="21199"/>
    <n v="5"/>
    <x v="1"/>
    <n v="13"/>
    <n v="3"/>
    <n v="4"/>
    <n v="1"/>
    <n v="24"/>
    <n v="2"/>
    <s v="Better"/>
    <n v="5"/>
    <x v="1"/>
    <n v="2"/>
    <n v="1"/>
    <n v="4"/>
  </r>
  <r>
    <n v="55"/>
    <s v="Senior"/>
    <n v="1"/>
    <s v="Travel_Rarely"/>
    <n v="436"/>
    <x v="1"/>
    <n v="2"/>
    <s v="Near Office"/>
    <s v="Below College"/>
    <s v="Medical"/>
    <n v="3"/>
    <s v="Male"/>
    <n v="37"/>
    <n v="3"/>
    <n v="2"/>
    <s v="Sales Executive"/>
    <s v="Very High"/>
    <s v="Single"/>
    <n v="5160"/>
    <s v="Medium (5k-10k)"/>
    <n v="21519"/>
    <n v="4"/>
    <x v="0"/>
    <n v="16"/>
    <n v="3"/>
    <n v="3"/>
    <n v="0"/>
    <n v="12"/>
    <n v="3"/>
    <s v="Good"/>
    <n v="9"/>
    <x v="1"/>
    <n v="7"/>
    <n v="7"/>
    <n v="3"/>
  </r>
  <r>
    <n v="55"/>
    <s v="Senior"/>
    <n v="0"/>
    <s v="Travel_Frequently"/>
    <n v="135"/>
    <x v="0"/>
    <n v="18"/>
    <s v="Long Commute"/>
    <s v="Master"/>
    <s v="Medical"/>
    <n v="3"/>
    <s v="Male"/>
    <n v="62"/>
    <n v="3"/>
    <n v="2"/>
    <s v="Healthcare Representative"/>
    <s v="Medium"/>
    <s v="Married"/>
    <n v="6385"/>
    <s v="Medium (5k-10k)"/>
    <n v="12992"/>
    <n v="3"/>
    <x v="1"/>
    <n v="14"/>
    <n v="3"/>
    <n v="4"/>
    <n v="2"/>
    <n v="17"/>
    <n v="3"/>
    <s v="Better"/>
    <n v="8"/>
    <x v="1"/>
    <n v="7"/>
    <n v="6"/>
    <n v="7"/>
  </r>
  <r>
    <n v="55"/>
    <s v="Senior"/>
    <n v="0"/>
    <s v="Non-Travel"/>
    <n v="444"/>
    <x v="0"/>
    <n v="2"/>
    <s v="Near Office"/>
    <s v="Below College"/>
    <s v="Medical"/>
    <n v="3"/>
    <s v="Male"/>
    <n v="40"/>
    <n v="2"/>
    <n v="4"/>
    <s v="Manager"/>
    <s v="Low"/>
    <s v="Single"/>
    <n v="16756"/>
    <s v="High (&gt;10k)"/>
    <n v="17323"/>
    <n v="7"/>
    <x v="0"/>
    <n v="15"/>
    <n v="3"/>
    <n v="2"/>
    <n v="0"/>
    <n v="31"/>
    <n v="3"/>
    <s v="Best"/>
    <n v="9"/>
    <x v="1"/>
    <n v="7"/>
    <n v="6"/>
    <n v="2"/>
  </r>
  <r>
    <n v="55"/>
    <s v="Senior"/>
    <n v="0"/>
    <s v="Travel_Frequently"/>
    <n v="1091"/>
    <x v="0"/>
    <n v="2"/>
    <s v="Near Office"/>
    <s v="Below College"/>
    <s v="Life Sciences"/>
    <n v="4"/>
    <s v="Male"/>
    <n v="65"/>
    <n v="3"/>
    <n v="3"/>
    <s v="Manufacturing Director"/>
    <s v="Medium"/>
    <s v="Married"/>
    <n v="10976"/>
    <s v="High (&gt;10k)"/>
    <n v="15813"/>
    <n v="3"/>
    <x v="0"/>
    <n v="18"/>
    <n v="3"/>
    <n v="2"/>
    <n v="1"/>
    <n v="23"/>
    <n v="4"/>
    <s v="Better"/>
    <n v="3"/>
    <x v="1"/>
    <n v="2"/>
    <n v="1"/>
    <n v="2"/>
  </r>
  <r>
    <n v="55"/>
    <s v="Senior"/>
    <n v="0"/>
    <s v="Non-Travel"/>
    <n v="177"/>
    <x v="0"/>
    <n v="8"/>
    <s v="Moderate"/>
    <s v="Below College"/>
    <s v="Medical"/>
    <n v="4"/>
    <s v="Male"/>
    <n v="37"/>
    <n v="2"/>
    <n v="4"/>
    <s v="Healthcare Representative"/>
    <s v="Medium"/>
    <s v="Divorced"/>
    <n v="13577"/>
    <s v="High (&gt;10k)"/>
    <n v="25592"/>
    <n v="1"/>
    <x v="1"/>
    <n v="15"/>
    <n v="3"/>
    <n v="4"/>
    <n v="1"/>
    <n v="34"/>
    <n v="3"/>
    <s v="Better"/>
    <n v="33"/>
    <x v="2"/>
    <n v="9"/>
    <n v="15"/>
    <n v="0"/>
  </r>
  <r>
    <n v="55"/>
    <s v="Senior"/>
    <n v="0"/>
    <s v="Travel_Rarely"/>
    <n v="282"/>
    <x v="0"/>
    <n v="2"/>
    <s v="Near Office"/>
    <s v="College"/>
    <s v="Medical"/>
    <n v="4"/>
    <s v="Female"/>
    <n v="58"/>
    <n v="1"/>
    <n v="5"/>
    <s v="Manager"/>
    <s v="High"/>
    <s v="Married"/>
    <n v="19187"/>
    <s v="High (&gt;10k)"/>
    <n v="6992"/>
    <n v="4"/>
    <x v="0"/>
    <n v="14"/>
    <n v="3"/>
    <n v="4"/>
    <n v="1"/>
    <n v="23"/>
    <n v="5"/>
    <s v="Better"/>
    <n v="19"/>
    <x v="2"/>
    <n v="9"/>
    <n v="9"/>
    <n v="11"/>
  </r>
  <r>
    <n v="55"/>
    <s v="Senior"/>
    <n v="1"/>
    <s v="Travel_Rarely"/>
    <n v="267"/>
    <x v="1"/>
    <n v="13"/>
    <s v="Moderate"/>
    <s v="Master"/>
    <s v="Marketing"/>
    <n v="1"/>
    <s v="Male"/>
    <n v="85"/>
    <n v="4"/>
    <n v="4"/>
    <s v="Sales Executive"/>
    <s v="High"/>
    <s v="Single"/>
    <n v="13695"/>
    <s v="High (&gt;10k)"/>
    <n v="9277"/>
    <n v="6"/>
    <x v="1"/>
    <n v="17"/>
    <n v="3"/>
    <n v="3"/>
    <n v="0"/>
    <n v="24"/>
    <n v="2"/>
    <s v="Good"/>
    <n v="19"/>
    <x v="2"/>
    <n v="7"/>
    <n v="3"/>
    <n v="8"/>
  </r>
  <r>
    <n v="55"/>
    <s v="Senior"/>
    <n v="0"/>
    <s v="Travel_Rarely"/>
    <n v="1136"/>
    <x v="0"/>
    <n v="1"/>
    <s v="Near Office"/>
    <s v="Master"/>
    <s v="Medical"/>
    <n v="2"/>
    <s v="Male"/>
    <n v="81"/>
    <n v="4"/>
    <n v="4"/>
    <s v="Research Director"/>
    <s v="Very High"/>
    <s v="Divorced"/>
    <n v="14732"/>
    <s v="High (&gt;10k)"/>
    <n v="12414"/>
    <n v="2"/>
    <x v="0"/>
    <n v="13"/>
    <n v="3"/>
    <n v="4"/>
    <n v="2"/>
    <n v="31"/>
    <n v="4"/>
    <s v="Best"/>
    <n v="7"/>
    <x v="1"/>
    <n v="7"/>
    <n v="0"/>
    <n v="0"/>
  </r>
  <r>
    <n v="55"/>
    <s v="Senior"/>
    <n v="0"/>
    <s v="Travel_Rarely"/>
    <n v="1229"/>
    <x v="0"/>
    <n v="4"/>
    <s v="Near Office"/>
    <s v="Master"/>
    <s v="Life Sciences"/>
    <n v="4"/>
    <s v="Male"/>
    <n v="30"/>
    <n v="3"/>
    <n v="2"/>
    <s v="Healthcare Representative"/>
    <s v="High"/>
    <s v="Married"/>
    <n v="4035"/>
    <s v="Low (&lt;5k)"/>
    <n v="16143"/>
    <n v="0"/>
    <x v="1"/>
    <n v="16"/>
    <n v="3"/>
    <n v="2"/>
    <n v="0"/>
    <n v="4"/>
    <n v="2"/>
    <s v="Better"/>
    <n v="3"/>
    <x v="1"/>
    <n v="2"/>
    <n v="1"/>
    <n v="2"/>
  </r>
  <r>
    <n v="55"/>
    <s v="Senior"/>
    <n v="0"/>
    <s v="Travel_Rarely"/>
    <n v="685"/>
    <x v="1"/>
    <n v="26"/>
    <s v="Long Commute"/>
    <s v="Doctor"/>
    <s v="Marketing"/>
    <n v="3"/>
    <s v="Male"/>
    <n v="60"/>
    <n v="2"/>
    <n v="5"/>
    <s v="Manager"/>
    <s v="Very High"/>
    <s v="Married"/>
    <n v="19586"/>
    <s v="High (&gt;10k)"/>
    <n v="23037"/>
    <n v="1"/>
    <x v="0"/>
    <n v="21"/>
    <n v="4"/>
    <n v="3"/>
    <n v="1"/>
    <n v="36"/>
    <n v="3"/>
    <s v="Better"/>
    <n v="36"/>
    <x v="2"/>
    <n v="6"/>
    <n v="2"/>
    <n v="13"/>
  </r>
  <r>
    <n v="55"/>
    <s v="Senior"/>
    <n v="0"/>
    <s v="Travel_Rarely"/>
    <n v="1441"/>
    <x v="0"/>
    <n v="22"/>
    <s v="Long Commute"/>
    <s v="Bachelor"/>
    <s v="Technical Degree"/>
    <n v="1"/>
    <s v="Male"/>
    <n v="94"/>
    <n v="2"/>
    <n v="1"/>
    <s v="Research Scientist"/>
    <s v="Medium"/>
    <s v="Divorced"/>
    <n v="3537"/>
    <s v="Low (&lt;5k)"/>
    <n v="23737"/>
    <n v="5"/>
    <x v="0"/>
    <n v="12"/>
    <n v="3"/>
    <n v="4"/>
    <n v="1"/>
    <n v="8"/>
    <n v="1"/>
    <s v="Better"/>
    <n v="4"/>
    <x v="1"/>
    <n v="2"/>
    <n v="1"/>
    <n v="2"/>
  </r>
  <r>
    <n v="55"/>
    <s v="Senior"/>
    <n v="0"/>
    <s v="Travel_Rarely"/>
    <n v="478"/>
    <x v="0"/>
    <n v="2"/>
    <s v="Near Office"/>
    <s v="Bachelor"/>
    <s v="Medical"/>
    <n v="3"/>
    <s v="Male"/>
    <n v="60"/>
    <n v="2"/>
    <n v="5"/>
    <s v="Research Director"/>
    <s v="Low"/>
    <s v="Married"/>
    <n v="19038"/>
    <s v="High (&gt;10k)"/>
    <n v="19805"/>
    <n v="8"/>
    <x v="0"/>
    <n v="12"/>
    <n v="3"/>
    <n v="2"/>
    <n v="3"/>
    <n v="34"/>
    <n v="2"/>
    <s v="Better"/>
    <n v="1"/>
    <x v="0"/>
    <n v="0"/>
    <n v="0"/>
    <n v="0"/>
  </r>
  <r>
    <n v="55"/>
    <s v="Senior"/>
    <n v="0"/>
    <s v="Travel_Rarely"/>
    <n v="836"/>
    <x v="0"/>
    <n v="2"/>
    <s v="Near Office"/>
    <s v="Master"/>
    <s v="Technical Degree"/>
    <n v="2"/>
    <s v="Male"/>
    <n v="98"/>
    <n v="2"/>
    <n v="1"/>
    <s v="Research Scientist"/>
    <s v="Very High"/>
    <s v="Married"/>
    <n v="2662"/>
    <s v="Low (&lt;5k)"/>
    <n v="7975"/>
    <n v="8"/>
    <x v="0"/>
    <n v="20"/>
    <n v="4"/>
    <n v="2"/>
    <n v="1"/>
    <n v="19"/>
    <n v="2"/>
    <s v="Best"/>
    <n v="5"/>
    <x v="1"/>
    <n v="2"/>
    <n v="0"/>
    <n v="4"/>
  </r>
  <r>
    <n v="55"/>
    <s v="Senior"/>
    <n v="0"/>
    <s v="Travel_Rarely"/>
    <n v="189"/>
    <x v="2"/>
    <n v="26"/>
    <s v="Long Commute"/>
    <s v="Master"/>
    <s v="Human Resources"/>
    <n v="3"/>
    <s v="Male"/>
    <n v="71"/>
    <n v="4"/>
    <n v="5"/>
    <s v="Manager"/>
    <s v="Medium"/>
    <s v="Married"/>
    <n v="19636"/>
    <s v="High (&gt;10k)"/>
    <n v="25811"/>
    <n v="4"/>
    <x v="1"/>
    <n v="18"/>
    <n v="3"/>
    <n v="1"/>
    <n v="1"/>
    <n v="35"/>
    <n v="0"/>
    <s v="Better"/>
    <n v="10"/>
    <x v="2"/>
    <n v="9"/>
    <n v="1"/>
    <n v="4"/>
  </r>
  <r>
    <n v="56"/>
    <s v="Senior"/>
    <n v="0"/>
    <s v="Travel_Rarely"/>
    <n v="1400"/>
    <x v="0"/>
    <n v="7"/>
    <s v="Moderate"/>
    <s v="Bachelor"/>
    <s v="Life Sciences"/>
    <n v="4"/>
    <s v="Male"/>
    <n v="49"/>
    <n v="1"/>
    <n v="3"/>
    <s v="Manufacturing Director"/>
    <s v="Very High"/>
    <s v="Single"/>
    <n v="7260"/>
    <s v="Medium (5k-10k)"/>
    <n v="21698"/>
    <n v="4"/>
    <x v="0"/>
    <n v="11"/>
    <n v="3"/>
    <n v="1"/>
    <n v="0"/>
    <n v="37"/>
    <n v="3"/>
    <s v="Good"/>
    <n v="6"/>
    <x v="1"/>
    <n v="4"/>
    <n v="0"/>
    <n v="2"/>
  </r>
  <r>
    <n v="56"/>
    <s v="Senior"/>
    <n v="1"/>
    <s v="Travel_Rarely"/>
    <n v="441"/>
    <x v="0"/>
    <n v="14"/>
    <s v="Moderate"/>
    <s v="Master"/>
    <s v="Life Sciences"/>
    <n v="2"/>
    <s v="Female"/>
    <n v="72"/>
    <n v="3"/>
    <n v="1"/>
    <s v="Research Scientist"/>
    <s v="Medium"/>
    <s v="Married"/>
    <n v="4963"/>
    <s v="Low (&lt;5k)"/>
    <n v="4510"/>
    <n v="9"/>
    <x v="1"/>
    <n v="18"/>
    <n v="3"/>
    <n v="1"/>
    <n v="3"/>
    <n v="7"/>
    <n v="2"/>
    <s v="Better"/>
    <n v="5"/>
    <x v="1"/>
    <n v="4"/>
    <n v="4"/>
    <n v="3"/>
  </r>
  <r>
    <n v="56"/>
    <s v="Senior"/>
    <n v="0"/>
    <s v="Travel_Rarely"/>
    <n v="713"/>
    <x v="0"/>
    <n v="8"/>
    <s v="Moderate"/>
    <s v="Bachelor"/>
    <s v="Life Sciences"/>
    <n v="3"/>
    <s v="Female"/>
    <n v="67"/>
    <n v="3"/>
    <n v="1"/>
    <s v="Research Scientist"/>
    <s v="Low"/>
    <s v="Divorced"/>
    <n v="4257"/>
    <s v="Low (&lt;5k)"/>
    <n v="13939"/>
    <n v="4"/>
    <x v="1"/>
    <n v="18"/>
    <n v="3"/>
    <n v="3"/>
    <n v="1"/>
    <n v="19"/>
    <n v="3"/>
    <s v="Better"/>
    <n v="2"/>
    <x v="0"/>
    <n v="2"/>
    <n v="2"/>
    <n v="2"/>
  </r>
  <r>
    <n v="56"/>
    <s v="Senior"/>
    <n v="0"/>
    <s v="Travel_Frequently"/>
    <n v="906"/>
    <x v="1"/>
    <n v="6"/>
    <s v="Moderate"/>
    <s v="Bachelor"/>
    <s v="Life Sciences"/>
    <n v="3"/>
    <s v="Female"/>
    <n v="86"/>
    <n v="4"/>
    <n v="4"/>
    <s v="Sales Executive"/>
    <s v="Low"/>
    <s v="Married"/>
    <n v="13212"/>
    <s v="High (&gt;10k)"/>
    <n v="18256"/>
    <n v="9"/>
    <x v="0"/>
    <n v="11"/>
    <n v="3"/>
    <n v="4"/>
    <n v="3"/>
    <n v="36"/>
    <n v="0"/>
    <s v="Good"/>
    <n v="7"/>
    <x v="1"/>
    <n v="7"/>
    <n v="7"/>
    <n v="7"/>
  </r>
  <r>
    <n v="56"/>
    <s v="Senior"/>
    <n v="0"/>
    <s v="Travel_Rarely"/>
    <n v="832"/>
    <x v="0"/>
    <n v="9"/>
    <s v="Moderate"/>
    <s v="Bachelor"/>
    <s v="Medical"/>
    <n v="3"/>
    <s v="Male"/>
    <n v="81"/>
    <n v="3"/>
    <n v="4"/>
    <s v="Healthcare Representative"/>
    <s v="Very High"/>
    <s v="Married"/>
    <n v="11103"/>
    <s v="High (&gt;10k)"/>
    <n v="20420"/>
    <n v="7"/>
    <x v="0"/>
    <n v="11"/>
    <n v="3"/>
    <n v="3"/>
    <n v="0"/>
    <n v="30"/>
    <n v="1"/>
    <s v="Good"/>
    <n v="10"/>
    <x v="2"/>
    <n v="7"/>
    <n v="1"/>
    <n v="1"/>
  </r>
  <r>
    <n v="56"/>
    <s v="Senior"/>
    <n v="0"/>
    <s v="Travel_Frequently"/>
    <n v="1240"/>
    <x v="0"/>
    <n v="9"/>
    <s v="Moderate"/>
    <s v="Bachelor"/>
    <s v="Medical"/>
    <n v="1"/>
    <s v="Female"/>
    <n v="63"/>
    <n v="3"/>
    <n v="1"/>
    <s v="Research Scientist"/>
    <s v="High"/>
    <s v="Married"/>
    <n v="2942"/>
    <s v="Low (&lt;5k)"/>
    <n v="12154"/>
    <n v="2"/>
    <x v="0"/>
    <n v="19"/>
    <n v="3"/>
    <n v="2"/>
    <n v="1"/>
    <n v="18"/>
    <n v="4"/>
    <s v="Better"/>
    <n v="5"/>
    <x v="1"/>
    <n v="4"/>
    <n v="0"/>
    <n v="3"/>
  </r>
  <r>
    <n v="56"/>
    <s v="Senior"/>
    <n v="0"/>
    <s v="Travel_Rarely"/>
    <n v="718"/>
    <x v="0"/>
    <n v="4"/>
    <s v="Near Office"/>
    <s v="Master"/>
    <s v="Technical Degree"/>
    <n v="4"/>
    <s v="Female"/>
    <n v="92"/>
    <n v="3"/>
    <n v="5"/>
    <s v="Manager"/>
    <s v="Low"/>
    <s v="Divorced"/>
    <n v="19943"/>
    <s v="High (&gt;10k)"/>
    <n v="18575"/>
    <n v="4"/>
    <x v="0"/>
    <n v="13"/>
    <n v="3"/>
    <n v="4"/>
    <n v="1"/>
    <n v="28"/>
    <n v="2"/>
    <s v="Better"/>
    <n v="5"/>
    <x v="1"/>
    <n v="2"/>
    <n v="4"/>
    <n v="2"/>
  </r>
  <r>
    <n v="56"/>
    <s v="Senior"/>
    <n v="0"/>
    <s v="Travel_Rarely"/>
    <n v="206"/>
    <x v="2"/>
    <n v="8"/>
    <s v="Moderate"/>
    <s v="Master"/>
    <s v="Life Sciences"/>
    <n v="4"/>
    <s v="Male"/>
    <n v="99"/>
    <n v="3"/>
    <n v="5"/>
    <s v="Manager"/>
    <s v="Medium"/>
    <s v="Single"/>
    <n v="19717"/>
    <s v="High (&gt;10k)"/>
    <n v="4022"/>
    <n v="6"/>
    <x v="0"/>
    <n v="14"/>
    <n v="3"/>
    <n v="1"/>
    <n v="0"/>
    <n v="36"/>
    <n v="4"/>
    <s v="Better"/>
    <n v="7"/>
    <x v="1"/>
    <n v="3"/>
    <n v="7"/>
    <n v="7"/>
  </r>
  <r>
    <n v="56"/>
    <s v="Senior"/>
    <n v="0"/>
    <s v="Travel_Rarely"/>
    <n v="1369"/>
    <x v="0"/>
    <n v="23"/>
    <s v="Long Commute"/>
    <s v="Bachelor"/>
    <s v="Life Sciences"/>
    <n v="4"/>
    <s v="Male"/>
    <n v="68"/>
    <n v="3"/>
    <n v="4"/>
    <s v="Manufacturing Director"/>
    <s v="Medium"/>
    <s v="Married"/>
    <n v="13402"/>
    <s v="High (&gt;10k)"/>
    <n v="18235"/>
    <n v="4"/>
    <x v="1"/>
    <n v="12"/>
    <n v="3"/>
    <n v="1"/>
    <n v="1"/>
    <n v="33"/>
    <n v="0"/>
    <s v="Better"/>
    <n v="19"/>
    <x v="2"/>
    <n v="16"/>
    <n v="15"/>
    <n v="9"/>
  </r>
  <r>
    <n v="56"/>
    <s v="Senior"/>
    <n v="0"/>
    <s v="Travel_Rarely"/>
    <n v="1255"/>
    <x v="0"/>
    <n v="1"/>
    <s v="Near Office"/>
    <s v="College"/>
    <s v="Life Sciences"/>
    <n v="1"/>
    <s v="Female"/>
    <n v="90"/>
    <n v="3"/>
    <n v="1"/>
    <s v="Research Scientist"/>
    <s v="Low"/>
    <s v="Married"/>
    <n v="2066"/>
    <s v="Low (&lt;5k)"/>
    <n v="10494"/>
    <n v="2"/>
    <x v="0"/>
    <n v="22"/>
    <n v="4"/>
    <n v="4"/>
    <n v="1"/>
    <n v="5"/>
    <n v="3"/>
    <s v="Best"/>
    <n v="3"/>
    <x v="1"/>
    <n v="2"/>
    <n v="1"/>
    <n v="0"/>
  </r>
  <r>
    <n v="56"/>
    <s v="Senior"/>
    <n v="1"/>
    <s v="Travel_Rarely"/>
    <n v="1162"/>
    <x v="0"/>
    <n v="24"/>
    <s v="Long Commute"/>
    <s v="College"/>
    <s v="Life Sciences"/>
    <n v="1"/>
    <s v="Male"/>
    <n v="97"/>
    <n v="3"/>
    <n v="1"/>
    <s v="Laboratory Technician"/>
    <s v="Very High"/>
    <s v="Single"/>
    <n v="2587"/>
    <s v="Low (&lt;5k)"/>
    <n v="10261"/>
    <n v="1"/>
    <x v="0"/>
    <n v="16"/>
    <n v="3"/>
    <n v="4"/>
    <n v="0"/>
    <n v="5"/>
    <n v="3"/>
    <s v="Better"/>
    <n v="4"/>
    <x v="1"/>
    <n v="2"/>
    <n v="1"/>
    <n v="0"/>
  </r>
  <r>
    <n v="56"/>
    <s v="Senior"/>
    <n v="0"/>
    <s v="Travel_Rarely"/>
    <n v="1443"/>
    <x v="1"/>
    <n v="11"/>
    <s v="Moderate"/>
    <s v="Doctor"/>
    <s v="Marketing"/>
    <n v="4"/>
    <s v="Female"/>
    <n v="89"/>
    <n v="2"/>
    <n v="2"/>
    <s v="Sales Executive"/>
    <s v="Low"/>
    <s v="Married"/>
    <n v="5380"/>
    <s v="Medium (5k-10k)"/>
    <n v="20328"/>
    <n v="4"/>
    <x v="0"/>
    <n v="16"/>
    <n v="3"/>
    <n v="3"/>
    <n v="1"/>
    <n v="6"/>
    <n v="3"/>
    <s v="Better"/>
    <n v="0"/>
    <x v="0"/>
    <n v="0"/>
    <n v="0"/>
    <n v="0"/>
  </r>
  <r>
    <n v="56"/>
    <s v="Senior"/>
    <n v="0"/>
    <s v="Non-Travel"/>
    <n v="667"/>
    <x v="0"/>
    <n v="1"/>
    <s v="Near Office"/>
    <s v="Master"/>
    <s v="Life Sciences"/>
    <n v="3"/>
    <s v="Male"/>
    <n v="57"/>
    <n v="3"/>
    <n v="2"/>
    <s v="Healthcare Representative"/>
    <s v="High"/>
    <s v="Divorced"/>
    <n v="6306"/>
    <s v="Medium (5k-10k)"/>
    <n v="26236"/>
    <n v="1"/>
    <x v="0"/>
    <n v="21"/>
    <n v="4"/>
    <n v="1"/>
    <n v="1"/>
    <n v="13"/>
    <n v="2"/>
    <s v="Good"/>
    <n v="13"/>
    <x v="2"/>
    <n v="12"/>
    <n v="1"/>
    <n v="9"/>
  </r>
  <r>
    <n v="56"/>
    <s v="Senior"/>
    <n v="1"/>
    <s v="Travel_Rarely"/>
    <n v="310"/>
    <x v="0"/>
    <n v="7"/>
    <s v="Moderate"/>
    <s v="College"/>
    <s v="Technical Degree"/>
    <n v="4"/>
    <s v="Male"/>
    <n v="72"/>
    <n v="3"/>
    <n v="1"/>
    <s v="Laboratory Technician"/>
    <s v="High"/>
    <s v="Married"/>
    <n v="2339"/>
    <s v="Low (&lt;5k)"/>
    <n v="3666"/>
    <n v="8"/>
    <x v="0"/>
    <n v="11"/>
    <n v="3"/>
    <n v="4"/>
    <n v="1"/>
    <n v="14"/>
    <n v="4"/>
    <s v="Bad"/>
    <n v="10"/>
    <x v="2"/>
    <n v="9"/>
    <n v="9"/>
    <n v="8"/>
  </r>
  <r>
    <n v="57"/>
    <s v="Senior"/>
    <n v="0"/>
    <s v="Travel_Rarely"/>
    <n v="334"/>
    <x v="0"/>
    <n v="24"/>
    <s v="Long Commute"/>
    <s v="College"/>
    <s v="Life Sciences"/>
    <n v="3"/>
    <s v="Male"/>
    <n v="83"/>
    <n v="4"/>
    <n v="3"/>
    <s v="Healthcare Representative"/>
    <s v="Very High"/>
    <s v="Divorced"/>
    <n v="9439"/>
    <s v="Medium (5k-10k)"/>
    <n v="23402"/>
    <n v="3"/>
    <x v="1"/>
    <n v="16"/>
    <n v="3"/>
    <n v="2"/>
    <n v="1"/>
    <n v="12"/>
    <n v="2"/>
    <s v="Bad"/>
    <n v="5"/>
    <x v="1"/>
    <n v="3"/>
    <n v="1"/>
    <n v="4"/>
  </r>
  <r>
    <n v="57"/>
    <s v="Senior"/>
    <n v="0"/>
    <s v="Travel_Rarely"/>
    <n v="593"/>
    <x v="0"/>
    <n v="1"/>
    <s v="Near Office"/>
    <s v="Master"/>
    <s v="Medical"/>
    <n v="4"/>
    <s v="Male"/>
    <n v="88"/>
    <n v="3"/>
    <n v="2"/>
    <s v="Healthcare Representative"/>
    <s v="High"/>
    <s v="Married"/>
    <n v="6755"/>
    <s v="Medium (5k-10k)"/>
    <n v="2967"/>
    <n v="2"/>
    <x v="0"/>
    <n v="11"/>
    <n v="3"/>
    <n v="3"/>
    <n v="0"/>
    <n v="15"/>
    <n v="2"/>
    <s v="Better"/>
    <n v="3"/>
    <x v="1"/>
    <n v="2"/>
    <n v="1"/>
    <n v="2"/>
  </r>
  <r>
    <n v="57"/>
    <s v="Senior"/>
    <n v="0"/>
    <s v="Travel_Rarely"/>
    <n v="210"/>
    <x v="1"/>
    <n v="29"/>
    <s v="Long Commute"/>
    <s v="Bachelor"/>
    <s v="Marketing"/>
    <n v="1"/>
    <s v="Male"/>
    <n v="56"/>
    <n v="2"/>
    <n v="4"/>
    <s v="Manager"/>
    <s v="Very High"/>
    <s v="Divorced"/>
    <n v="14118"/>
    <s v="High (&gt;10k)"/>
    <n v="22102"/>
    <n v="3"/>
    <x v="0"/>
    <n v="12"/>
    <n v="3"/>
    <n v="3"/>
    <n v="1"/>
    <n v="32"/>
    <n v="3"/>
    <s v="Good"/>
    <n v="1"/>
    <x v="0"/>
    <n v="0"/>
    <n v="0"/>
    <n v="0"/>
  </r>
  <r>
    <n v="57"/>
    <s v="Senior"/>
    <n v="0"/>
    <s v="Travel_Rarely"/>
    <n v="405"/>
    <x v="0"/>
    <n v="1"/>
    <s v="Near Office"/>
    <s v="College"/>
    <s v="Life Sciences"/>
    <n v="2"/>
    <s v="Male"/>
    <n v="93"/>
    <n v="4"/>
    <n v="2"/>
    <s v="Research Scientist"/>
    <s v="High"/>
    <s v="Married"/>
    <n v="4900"/>
    <s v="Low (&lt;5k)"/>
    <n v="2721"/>
    <n v="0"/>
    <x v="0"/>
    <n v="24"/>
    <n v="4"/>
    <n v="1"/>
    <n v="1"/>
    <n v="13"/>
    <n v="2"/>
    <s v="Good"/>
    <n v="12"/>
    <x v="2"/>
    <n v="9"/>
    <n v="2"/>
    <n v="8"/>
  </r>
  <r>
    <n v="58"/>
    <s v="Senior"/>
    <n v="0"/>
    <s v="Travel_Rarely"/>
    <n v="682"/>
    <x v="1"/>
    <n v="10"/>
    <s v="Moderate"/>
    <s v="Master"/>
    <s v="Medical"/>
    <n v="4"/>
    <s v="Male"/>
    <n v="37"/>
    <n v="3"/>
    <n v="4"/>
    <s v="Sales Executive"/>
    <s v="High"/>
    <s v="Single"/>
    <n v="13872"/>
    <s v="High (&gt;10k)"/>
    <n v="24409"/>
    <n v="0"/>
    <x v="0"/>
    <n v="13"/>
    <n v="3"/>
    <n v="3"/>
    <n v="0"/>
    <n v="38"/>
    <n v="1"/>
    <s v="Good"/>
    <n v="37"/>
    <x v="2"/>
    <n v="10"/>
    <n v="1"/>
    <n v="8"/>
  </r>
  <r>
    <n v="58"/>
    <s v="Senior"/>
    <n v="1"/>
    <s v="Travel_Rarely"/>
    <n v="147"/>
    <x v="0"/>
    <n v="23"/>
    <s v="Long Commute"/>
    <s v="Master"/>
    <s v="Medical"/>
    <n v="4"/>
    <s v="Female"/>
    <n v="94"/>
    <n v="3"/>
    <n v="3"/>
    <s v="Healthcare Representative"/>
    <s v="Very High"/>
    <s v="Married"/>
    <n v="10312"/>
    <s v="High (&gt;10k)"/>
    <n v="3465"/>
    <n v="1"/>
    <x v="0"/>
    <n v="12"/>
    <n v="3"/>
    <n v="4"/>
    <n v="1"/>
    <n v="40"/>
    <n v="3"/>
    <s v="Good"/>
    <n v="40"/>
    <x v="2"/>
    <n v="10"/>
    <n v="15"/>
    <n v="6"/>
  </r>
  <r>
    <n v="58"/>
    <s v="Senior"/>
    <n v="0"/>
    <s v="Travel_Rarely"/>
    <n v="1145"/>
    <x v="0"/>
    <n v="9"/>
    <s v="Moderate"/>
    <s v="Bachelor"/>
    <s v="Medical"/>
    <n v="2"/>
    <s v="Female"/>
    <n v="75"/>
    <n v="2"/>
    <n v="1"/>
    <s v="Research Scientist"/>
    <s v="Medium"/>
    <s v="Married"/>
    <n v="3346"/>
    <s v="Low (&lt;5k)"/>
    <n v="11873"/>
    <n v="4"/>
    <x v="1"/>
    <n v="20"/>
    <n v="4"/>
    <n v="2"/>
    <n v="1"/>
    <n v="9"/>
    <n v="3"/>
    <s v="Good"/>
    <n v="1"/>
    <x v="0"/>
    <n v="0"/>
    <n v="0"/>
    <n v="0"/>
  </r>
  <r>
    <n v="58"/>
    <s v="Senior"/>
    <n v="0"/>
    <s v="Non-Travel"/>
    <n v="390"/>
    <x v="0"/>
    <n v="1"/>
    <s v="Near Office"/>
    <s v="Master"/>
    <s v="Life Sciences"/>
    <n v="4"/>
    <s v="Male"/>
    <n v="32"/>
    <n v="1"/>
    <n v="2"/>
    <s v="Healthcare Representative"/>
    <s v="High"/>
    <s v="Divorced"/>
    <n v="5660"/>
    <s v="Medium (5k-10k)"/>
    <n v="17056"/>
    <n v="2"/>
    <x v="1"/>
    <n v="13"/>
    <n v="3"/>
    <n v="4"/>
    <n v="1"/>
    <n v="12"/>
    <n v="2"/>
    <s v="Better"/>
    <n v="5"/>
    <x v="1"/>
    <n v="3"/>
    <n v="1"/>
    <n v="2"/>
  </r>
  <r>
    <n v="58"/>
    <s v="Senior"/>
    <n v="1"/>
    <s v="Travel_Rarely"/>
    <n v="286"/>
    <x v="0"/>
    <n v="2"/>
    <s v="Near Office"/>
    <s v="Master"/>
    <s v="Life Sciences"/>
    <n v="4"/>
    <s v="Male"/>
    <n v="31"/>
    <n v="3"/>
    <n v="5"/>
    <s v="Research Director"/>
    <s v="Medium"/>
    <s v="Single"/>
    <n v="19246"/>
    <s v="High (&gt;10k)"/>
    <n v="25761"/>
    <n v="7"/>
    <x v="1"/>
    <n v="12"/>
    <n v="3"/>
    <n v="4"/>
    <n v="0"/>
    <n v="40"/>
    <n v="2"/>
    <s v="Better"/>
    <n v="31"/>
    <x v="2"/>
    <n v="15"/>
    <n v="13"/>
    <n v="8"/>
  </r>
  <r>
    <n v="58"/>
    <s v="Senior"/>
    <n v="1"/>
    <s v="Travel_Frequently"/>
    <n v="781"/>
    <x v="0"/>
    <n v="2"/>
    <s v="Near Office"/>
    <s v="Below College"/>
    <s v="Life Sciences"/>
    <n v="4"/>
    <s v="Male"/>
    <n v="57"/>
    <n v="2"/>
    <n v="1"/>
    <s v="Laboratory Technician"/>
    <s v="Very High"/>
    <s v="Divorced"/>
    <n v="2380"/>
    <s v="Low (&lt;5k)"/>
    <n v="13384"/>
    <n v="9"/>
    <x v="1"/>
    <n v="14"/>
    <n v="3"/>
    <n v="4"/>
    <n v="1"/>
    <n v="3"/>
    <n v="3"/>
    <s v="Good"/>
    <n v="1"/>
    <x v="0"/>
    <n v="0"/>
    <n v="0"/>
    <n v="0"/>
  </r>
  <r>
    <n v="58"/>
    <s v="Senior"/>
    <n v="0"/>
    <s v="Travel_Rarely"/>
    <n v="1272"/>
    <x v="0"/>
    <n v="5"/>
    <s v="Near Office"/>
    <s v="Bachelor"/>
    <s v="Technical Degree"/>
    <n v="3"/>
    <s v="Female"/>
    <n v="37"/>
    <n v="2"/>
    <n v="3"/>
    <s v="Healthcare Representative"/>
    <s v="Medium"/>
    <s v="Divorced"/>
    <n v="10552"/>
    <s v="High (&gt;10k)"/>
    <n v="9255"/>
    <n v="2"/>
    <x v="1"/>
    <n v="13"/>
    <n v="3"/>
    <n v="4"/>
    <n v="1"/>
    <n v="24"/>
    <n v="3"/>
    <s v="Better"/>
    <n v="6"/>
    <x v="1"/>
    <n v="0"/>
    <n v="0"/>
    <n v="4"/>
  </r>
  <r>
    <n v="58"/>
    <s v="Senior"/>
    <n v="1"/>
    <s v="Travel_Rarely"/>
    <n v="289"/>
    <x v="0"/>
    <n v="2"/>
    <s v="Near Office"/>
    <s v="Bachelor"/>
    <s v="Technical Degree"/>
    <n v="4"/>
    <s v="Male"/>
    <n v="51"/>
    <n v="3"/>
    <n v="1"/>
    <s v="Research Scientist"/>
    <s v="High"/>
    <s v="Single"/>
    <n v="2479"/>
    <s v="Low (&lt;5k)"/>
    <n v="26227"/>
    <n v="4"/>
    <x v="0"/>
    <n v="24"/>
    <n v="4"/>
    <n v="1"/>
    <n v="0"/>
    <n v="7"/>
    <n v="4"/>
    <s v="Better"/>
    <n v="1"/>
    <x v="0"/>
    <n v="0"/>
    <n v="0"/>
    <n v="0"/>
  </r>
  <r>
    <n v="58"/>
    <s v="Senior"/>
    <n v="0"/>
    <s v="Travel_Rarely"/>
    <n v="848"/>
    <x v="0"/>
    <n v="23"/>
    <s v="Long Commute"/>
    <s v="Master"/>
    <s v="Life Sciences"/>
    <n v="1"/>
    <s v="Male"/>
    <n v="88"/>
    <n v="3"/>
    <n v="1"/>
    <s v="Research Scientist"/>
    <s v="High"/>
    <s v="Divorced"/>
    <n v="2372"/>
    <s v="Low (&lt;5k)"/>
    <n v="26076"/>
    <n v="1"/>
    <x v="0"/>
    <n v="12"/>
    <n v="3"/>
    <n v="4"/>
    <n v="2"/>
    <n v="2"/>
    <n v="3"/>
    <s v="Better"/>
    <n v="2"/>
    <x v="0"/>
    <n v="2"/>
    <n v="2"/>
    <n v="2"/>
  </r>
  <r>
    <n v="58"/>
    <s v="Senior"/>
    <n v="1"/>
    <s v="Travel_Rarely"/>
    <n v="601"/>
    <x v="0"/>
    <n v="7"/>
    <s v="Moderate"/>
    <s v="Master"/>
    <s v="Medical"/>
    <n v="3"/>
    <s v="Female"/>
    <n v="53"/>
    <n v="2"/>
    <n v="3"/>
    <s v="Manufacturing Director"/>
    <s v="Low"/>
    <s v="Married"/>
    <n v="10008"/>
    <s v="High (&gt;10k)"/>
    <n v="12023"/>
    <n v="7"/>
    <x v="1"/>
    <n v="14"/>
    <n v="3"/>
    <n v="4"/>
    <n v="0"/>
    <n v="31"/>
    <n v="0"/>
    <s v="Good"/>
    <n v="10"/>
    <x v="2"/>
    <n v="9"/>
    <n v="5"/>
    <n v="9"/>
  </r>
  <r>
    <n v="58"/>
    <s v="Senior"/>
    <n v="0"/>
    <s v="Travel_Rarely"/>
    <n v="1055"/>
    <x v="0"/>
    <n v="1"/>
    <s v="Near Office"/>
    <s v="Bachelor"/>
    <s v="Medical"/>
    <n v="4"/>
    <s v="Female"/>
    <n v="76"/>
    <n v="3"/>
    <n v="5"/>
    <s v="Research Director"/>
    <s v="Low"/>
    <s v="Married"/>
    <n v="19701"/>
    <s v="High (&gt;10k)"/>
    <n v="22456"/>
    <n v="3"/>
    <x v="1"/>
    <n v="21"/>
    <n v="4"/>
    <n v="3"/>
    <n v="1"/>
    <n v="32"/>
    <n v="3"/>
    <s v="Better"/>
    <n v="9"/>
    <x v="1"/>
    <n v="8"/>
    <n v="1"/>
    <n v="5"/>
  </r>
  <r>
    <n v="58"/>
    <s v="Senior"/>
    <n v="0"/>
    <s v="Non-Travel"/>
    <n v="350"/>
    <x v="1"/>
    <n v="2"/>
    <s v="Near Office"/>
    <s v="Bachelor"/>
    <s v="Medical"/>
    <n v="2"/>
    <s v="Male"/>
    <n v="52"/>
    <n v="3"/>
    <n v="4"/>
    <s v="Manager"/>
    <s v="Medium"/>
    <s v="Divorced"/>
    <n v="16291"/>
    <s v="High (&gt;10k)"/>
    <n v="22577"/>
    <n v="4"/>
    <x v="0"/>
    <n v="22"/>
    <n v="4"/>
    <n v="4"/>
    <n v="1"/>
    <n v="37"/>
    <n v="0"/>
    <s v="Good"/>
    <n v="16"/>
    <x v="2"/>
    <n v="9"/>
    <n v="14"/>
    <n v="14"/>
  </r>
  <r>
    <n v="58"/>
    <s v="Senior"/>
    <n v="0"/>
    <s v="Travel_Frequently"/>
    <n v="1216"/>
    <x v="0"/>
    <n v="15"/>
    <s v="Moderate"/>
    <s v="Master"/>
    <s v="Life Sciences"/>
    <n v="1"/>
    <s v="Male"/>
    <n v="87"/>
    <n v="3"/>
    <n v="4"/>
    <s v="Research Director"/>
    <s v="High"/>
    <s v="Married"/>
    <n v="15787"/>
    <s v="High (&gt;10k)"/>
    <n v="21624"/>
    <n v="2"/>
    <x v="1"/>
    <n v="14"/>
    <n v="3"/>
    <n v="2"/>
    <n v="0"/>
    <n v="23"/>
    <n v="3"/>
    <s v="Better"/>
    <n v="2"/>
    <x v="0"/>
    <n v="2"/>
    <n v="2"/>
    <n v="2"/>
  </r>
  <r>
    <n v="58"/>
    <s v="Senior"/>
    <n v="0"/>
    <s v="Travel_Rarely"/>
    <n v="605"/>
    <x v="1"/>
    <n v="21"/>
    <s v="Long Commute"/>
    <s v="Bachelor"/>
    <s v="Life Sciences"/>
    <n v="4"/>
    <s v="Female"/>
    <n v="72"/>
    <n v="3"/>
    <n v="4"/>
    <s v="Manager"/>
    <s v="Very High"/>
    <s v="Married"/>
    <n v="17875"/>
    <s v="High (&gt;10k)"/>
    <n v="11761"/>
    <n v="4"/>
    <x v="1"/>
    <n v="13"/>
    <n v="3"/>
    <n v="3"/>
    <n v="1"/>
    <n v="29"/>
    <n v="2"/>
    <s v="Good"/>
    <n v="1"/>
    <x v="0"/>
    <n v="0"/>
    <n v="0"/>
    <n v="0"/>
  </r>
  <r>
    <n v="59"/>
    <s v="Senior"/>
    <n v="0"/>
    <s v="Travel_Rarely"/>
    <n v="1324"/>
    <x v="0"/>
    <n v="3"/>
    <s v="Near Office"/>
    <s v="Bachelor"/>
    <s v="Medical"/>
    <n v="3"/>
    <s v="Female"/>
    <n v="81"/>
    <n v="4"/>
    <n v="1"/>
    <s v="Laboratory Technician"/>
    <s v="Low"/>
    <s v="Married"/>
    <n v="2670"/>
    <s v="Low (&lt;5k)"/>
    <n v="9964"/>
    <n v="4"/>
    <x v="1"/>
    <n v="20"/>
    <n v="4"/>
    <n v="1"/>
    <n v="3"/>
    <n v="12"/>
    <n v="3"/>
    <s v="Good"/>
    <n v="1"/>
    <x v="0"/>
    <n v="0"/>
    <n v="0"/>
    <n v="0"/>
  </r>
  <r>
    <n v="59"/>
    <s v="Senior"/>
    <n v="0"/>
    <s v="Travel_Rarely"/>
    <n v="1435"/>
    <x v="1"/>
    <n v="25"/>
    <s v="Long Commute"/>
    <s v="Bachelor"/>
    <s v="Life Sciences"/>
    <n v="1"/>
    <s v="Female"/>
    <n v="99"/>
    <n v="3"/>
    <n v="3"/>
    <s v="Sales Executive"/>
    <s v="Low"/>
    <s v="Single"/>
    <n v="7637"/>
    <s v="Medium (5k-10k)"/>
    <n v="2354"/>
    <n v="7"/>
    <x v="0"/>
    <n v="11"/>
    <n v="3"/>
    <n v="4"/>
    <n v="0"/>
    <n v="28"/>
    <n v="3"/>
    <s v="Good"/>
    <n v="21"/>
    <x v="2"/>
    <n v="16"/>
    <n v="7"/>
    <n v="9"/>
  </r>
  <r>
    <n v="59"/>
    <s v="Senior"/>
    <n v="0"/>
    <s v="Travel_Frequently"/>
    <n v="1225"/>
    <x v="1"/>
    <n v="1"/>
    <s v="Near Office"/>
    <s v="Below College"/>
    <s v="Life Sciences"/>
    <n v="1"/>
    <s v="Female"/>
    <n v="57"/>
    <n v="2"/>
    <n v="2"/>
    <s v="Sales Executive"/>
    <s v="High"/>
    <s v="Single"/>
    <n v="5473"/>
    <s v="Medium (5k-10k)"/>
    <n v="24668"/>
    <n v="7"/>
    <x v="0"/>
    <n v="11"/>
    <n v="3"/>
    <n v="4"/>
    <n v="0"/>
    <n v="20"/>
    <n v="2"/>
    <s v="Good"/>
    <n v="4"/>
    <x v="1"/>
    <n v="3"/>
    <n v="1"/>
    <n v="3"/>
  </r>
  <r>
    <n v="59"/>
    <s v="Senior"/>
    <n v="0"/>
    <s v="Non-Travel"/>
    <n v="1420"/>
    <x v="2"/>
    <n v="2"/>
    <s v="Near Office"/>
    <s v="Master"/>
    <s v="Human Resources"/>
    <n v="3"/>
    <s v="Female"/>
    <n v="32"/>
    <n v="2"/>
    <n v="5"/>
    <s v="Manager"/>
    <s v="Very High"/>
    <s v="Married"/>
    <n v="18844"/>
    <s v="High (&gt;10k)"/>
    <n v="21922"/>
    <n v="9"/>
    <x v="0"/>
    <n v="21"/>
    <n v="4"/>
    <n v="4"/>
    <n v="1"/>
    <n v="30"/>
    <n v="3"/>
    <s v="Better"/>
    <n v="3"/>
    <x v="1"/>
    <n v="2"/>
    <n v="2"/>
    <n v="2"/>
  </r>
  <r>
    <n v="59"/>
    <s v="Senior"/>
    <n v="0"/>
    <s v="Travel_Rarely"/>
    <n v="142"/>
    <x v="0"/>
    <n v="3"/>
    <s v="Near Office"/>
    <s v="Bachelor"/>
    <s v="Life Sciences"/>
    <n v="3"/>
    <s v="Male"/>
    <n v="70"/>
    <n v="2"/>
    <n v="1"/>
    <s v="Research Scientist"/>
    <s v="Very High"/>
    <s v="Married"/>
    <n v="2177"/>
    <s v="Low (&lt;5k)"/>
    <n v="8456"/>
    <n v="3"/>
    <x v="0"/>
    <n v="17"/>
    <n v="3"/>
    <n v="1"/>
    <n v="1"/>
    <n v="7"/>
    <n v="6"/>
    <s v="Better"/>
    <n v="1"/>
    <x v="0"/>
    <n v="0"/>
    <n v="0"/>
    <n v="0"/>
  </r>
  <r>
    <n v="59"/>
    <s v="Senior"/>
    <n v="0"/>
    <s v="Travel_Rarely"/>
    <n v="818"/>
    <x v="2"/>
    <n v="6"/>
    <s v="Moderate"/>
    <s v="College"/>
    <s v="Medical"/>
    <n v="2"/>
    <s v="Male"/>
    <n v="52"/>
    <n v="3"/>
    <n v="1"/>
    <s v="Human Resources"/>
    <s v="High"/>
    <s v="Married"/>
    <n v="2267"/>
    <s v="Low (&lt;5k)"/>
    <n v="25657"/>
    <n v="8"/>
    <x v="0"/>
    <n v="17"/>
    <n v="3"/>
    <n v="4"/>
    <n v="0"/>
    <n v="7"/>
    <n v="2"/>
    <s v="Good"/>
    <n v="2"/>
    <x v="0"/>
    <n v="2"/>
    <n v="2"/>
    <n v="2"/>
  </r>
  <r>
    <n v="59"/>
    <s v="Senior"/>
    <n v="0"/>
    <s v="Travel_Rarely"/>
    <n v="715"/>
    <x v="0"/>
    <n v="2"/>
    <s v="Near Office"/>
    <s v="Bachelor"/>
    <s v="Life Sciences"/>
    <n v="3"/>
    <s v="Female"/>
    <n v="69"/>
    <n v="2"/>
    <n v="4"/>
    <s v="Manufacturing Director"/>
    <s v="Very High"/>
    <s v="Single"/>
    <n v="13726"/>
    <s v="High (&gt;10k)"/>
    <n v="21829"/>
    <n v="3"/>
    <x v="1"/>
    <n v="13"/>
    <n v="3"/>
    <n v="1"/>
    <n v="0"/>
    <n v="30"/>
    <n v="4"/>
    <s v="Better"/>
    <n v="5"/>
    <x v="1"/>
    <n v="3"/>
    <n v="4"/>
    <n v="3"/>
  </r>
  <r>
    <n v="59"/>
    <s v="Senior"/>
    <n v="0"/>
    <s v="Travel_Rarely"/>
    <n v="1089"/>
    <x v="1"/>
    <n v="1"/>
    <s v="Near Office"/>
    <s v="College"/>
    <s v="Technical Degree"/>
    <n v="2"/>
    <s v="Male"/>
    <n v="66"/>
    <n v="3"/>
    <n v="3"/>
    <s v="Manager"/>
    <s v="Very High"/>
    <s v="Married"/>
    <n v="11904"/>
    <s v="High (&gt;10k)"/>
    <n v="11038"/>
    <n v="3"/>
    <x v="1"/>
    <n v="14"/>
    <n v="3"/>
    <n v="3"/>
    <n v="1"/>
    <n v="14"/>
    <n v="1"/>
    <s v="Bad"/>
    <n v="6"/>
    <x v="1"/>
    <n v="4"/>
    <n v="0"/>
    <n v="4"/>
  </r>
  <r>
    <n v="59"/>
    <s v="Senior"/>
    <n v="0"/>
    <s v="Travel_Rarely"/>
    <n v="326"/>
    <x v="1"/>
    <n v="3"/>
    <s v="Near Office"/>
    <s v="Bachelor"/>
    <s v="Life Sciences"/>
    <n v="3"/>
    <s v="Female"/>
    <n v="48"/>
    <n v="2"/>
    <n v="2"/>
    <s v="Sales Executive"/>
    <s v="Very High"/>
    <s v="Single"/>
    <n v="5171"/>
    <s v="Medium (5k-10k)"/>
    <n v="16490"/>
    <n v="5"/>
    <x v="0"/>
    <n v="17"/>
    <n v="3"/>
    <n v="4"/>
    <n v="0"/>
    <n v="13"/>
    <n v="2"/>
    <s v="Better"/>
    <n v="6"/>
    <x v="1"/>
    <n v="1"/>
    <n v="0"/>
    <n v="5"/>
  </r>
  <r>
    <n v="59"/>
    <s v="Senior"/>
    <n v="0"/>
    <s v="Travel_Rarely"/>
    <n v="1429"/>
    <x v="0"/>
    <n v="18"/>
    <s v="Long Commute"/>
    <s v="Master"/>
    <s v="Medical"/>
    <n v="4"/>
    <s v="Male"/>
    <n v="67"/>
    <n v="3"/>
    <n v="3"/>
    <s v="Manufacturing Director"/>
    <s v="Very High"/>
    <s v="Single"/>
    <n v="10512"/>
    <s v="High (&gt;10k)"/>
    <n v="20002"/>
    <n v="6"/>
    <x v="0"/>
    <n v="12"/>
    <n v="3"/>
    <n v="4"/>
    <n v="0"/>
    <n v="25"/>
    <n v="6"/>
    <s v="Good"/>
    <n v="9"/>
    <x v="1"/>
    <n v="7"/>
    <n v="5"/>
    <n v="4"/>
  </r>
  <r>
    <n v="60"/>
    <s v="Senior"/>
    <n v="0"/>
    <s v="Travel_Rarely"/>
    <n v="422"/>
    <x v="0"/>
    <n v="7"/>
    <s v="Moderate"/>
    <s v="Bachelor"/>
    <s v="Life Sciences"/>
    <n v="1"/>
    <s v="Female"/>
    <n v="41"/>
    <n v="3"/>
    <n v="5"/>
    <s v="Manager"/>
    <s v="Low"/>
    <s v="Married"/>
    <n v="19566"/>
    <s v="High (&gt;10k)"/>
    <n v="3854"/>
    <n v="5"/>
    <x v="0"/>
    <n v="11"/>
    <n v="3"/>
    <n v="4"/>
    <n v="0"/>
    <n v="33"/>
    <n v="5"/>
    <s v="Bad"/>
    <n v="29"/>
    <x v="2"/>
    <n v="8"/>
    <n v="11"/>
    <n v="10"/>
  </r>
  <r>
    <n v="60"/>
    <s v="Senior"/>
    <n v="0"/>
    <s v="Travel_Frequently"/>
    <n v="1499"/>
    <x v="1"/>
    <n v="28"/>
    <s v="Long Commute"/>
    <s v="Bachelor"/>
    <s v="Marketing"/>
    <n v="3"/>
    <s v="Female"/>
    <n v="80"/>
    <n v="2"/>
    <n v="3"/>
    <s v="Sales Executive"/>
    <s v="Low"/>
    <s v="Married"/>
    <n v="10266"/>
    <s v="High (&gt;10k)"/>
    <n v="2845"/>
    <n v="4"/>
    <x v="0"/>
    <n v="19"/>
    <n v="3"/>
    <n v="4"/>
    <n v="0"/>
    <n v="22"/>
    <n v="5"/>
    <s v="Best"/>
    <n v="18"/>
    <x v="2"/>
    <n v="13"/>
    <n v="13"/>
    <n v="11"/>
  </r>
  <r>
    <n v="60"/>
    <s v="Senior"/>
    <n v="0"/>
    <s v="Travel_Rarely"/>
    <n v="1179"/>
    <x v="1"/>
    <n v="16"/>
    <s v="Long Commute"/>
    <s v="Master"/>
    <s v="Marketing"/>
    <n v="1"/>
    <s v="Male"/>
    <n v="84"/>
    <n v="3"/>
    <n v="2"/>
    <s v="Sales Executive"/>
    <s v="Low"/>
    <s v="Single"/>
    <n v="5405"/>
    <s v="Medium (5k-10k)"/>
    <n v="11924"/>
    <n v="8"/>
    <x v="0"/>
    <n v="14"/>
    <n v="3"/>
    <n v="4"/>
    <n v="0"/>
    <n v="10"/>
    <n v="1"/>
    <s v="Better"/>
    <n v="2"/>
    <x v="0"/>
    <n v="2"/>
    <n v="2"/>
    <n v="2"/>
  </r>
  <r>
    <n v="60"/>
    <s v="Senior"/>
    <n v="0"/>
    <s v="Travel_Rarely"/>
    <n v="696"/>
    <x v="1"/>
    <n v="7"/>
    <s v="Moderate"/>
    <s v="Master"/>
    <s v="Marketing"/>
    <n v="2"/>
    <s v="Male"/>
    <n v="52"/>
    <n v="4"/>
    <n v="2"/>
    <s v="Sales Executive"/>
    <s v="Very High"/>
    <s v="Divorced"/>
    <n v="5220"/>
    <s v="Medium (5k-10k)"/>
    <n v="10893"/>
    <n v="0"/>
    <x v="1"/>
    <n v="18"/>
    <n v="3"/>
    <n v="2"/>
    <n v="1"/>
    <n v="12"/>
    <n v="3"/>
    <s v="Better"/>
    <n v="11"/>
    <x v="2"/>
    <n v="7"/>
    <n v="1"/>
    <n v="9"/>
  </r>
  <r>
    <n v="60"/>
    <s v="Senior"/>
    <n v="0"/>
    <s v="Travel_Rarely"/>
    <n v="370"/>
    <x v="0"/>
    <n v="1"/>
    <s v="Near Office"/>
    <s v="Master"/>
    <s v="Medical"/>
    <n v="3"/>
    <s v="Male"/>
    <n v="92"/>
    <n v="1"/>
    <n v="3"/>
    <s v="Healthcare Representative"/>
    <s v="Very High"/>
    <s v="Divorced"/>
    <n v="10883"/>
    <s v="High (&gt;10k)"/>
    <n v="20467"/>
    <n v="3"/>
    <x v="0"/>
    <n v="20"/>
    <n v="4"/>
    <n v="3"/>
    <n v="1"/>
    <n v="19"/>
    <n v="2"/>
    <s v="Best"/>
    <n v="1"/>
    <x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Tenure Group" colHeaderCaption="Overtime">
  <location ref="A3:D8" firstHeaderRow="1" firstDataRow="2" firstDataCol="1"/>
  <pivotFields count="35">
    <pivotField showAll="0"/>
    <pivotField showAll="0"/>
    <pivotField dataField="1"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31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Average Attrition" fld="2" subtotal="average" baseField="31" baseItem="0" numFmtId="9"/>
  </dataFields>
  <pivotTableStyleInfo name="PivotStyleMedium3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4" name="PivotTable1"/>
  </pivotTables>
  <data>
    <tabular pivotCacheId="1">
      <items count="3">
        <i x="2" s="1"/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" cache="Slicer_Department" caption="Department" style="SlicerStyleLight2" rowHeight="234950"/>
</slicers>
</file>

<file path=xl/tables/table1.xml><?xml version="1.0" encoding="utf-8"?>
<table xmlns="http://schemas.openxmlformats.org/spreadsheetml/2006/main" id="3" name="Table3" displayName="Table3" ref="A1:AI1471" totalsRowShown="0">
  <autoFilter xmlns:etc="http://www.wps.cn/officeDocument/2017/etCustomData" ref="A1:AI1471" etc:filterBottomFollowUsedRange="0"/>
  <tableColumns count="35">
    <tableColumn id="1" name="Employee Age"/>
    <tableColumn id="2" name="Age Group">
      <calculatedColumnFormula>IF(A2&gt;=46,"Senior",IF(A2&gt;=30,"Middle Aged","Young Adults"))</calculatedColumnFormula>
    </tableColumn>
    <tableColumn id="3" name="Attrition"/>
    <tableColumn id="4" name="BusinessTravel"/>
    <tableColumn id="5" name="DailyRate"/>
    <tableColumn id="6" name="Department"/>
    <tableColumn id="7" name="Distance(Miles)"/>
    <tableColumn id="8" name="Commute">
      <calculatedColumnFormula array="1">_xlfn.IFS(G2&gt;15,"Long Commute",G2&gt;5,"Moderate",G2&lt;=5,"Near Office")</calculatedColumnFormula>
    </tableColumn>
    <tableColumn id="9" name="Education"/>
    <tableColumn id="10" name="EducationField"/>
    <tableColumn id="11" name="EnvironmentSatisfaction"/>
    <tableColumn id="12" name="Gender"/>
    <tableColumn id="13" name="HourlyRate"/>
    <tableColumn id="14" name="JobInvolvement"/>
    <tableColumn id="15" name="JobLevel"/>
    <tableColumn id="16" name="JobRole"/>
    <tableColumn id="17" name="JobSatisfaction"/>
    <tableColumn id="18" name="MaritalStatus"/>
    <tableColumn id="19" name="Monthly Salary($)"/>
    <tableColumn id="20" name="Salary Range">
      <calculatedColumnFormula array="1">_xlfn.IFS(S2&gt;=10000,"High (&gt;10k)",S2&gt;=5000,"Medium (5k-10k)",S2&lt;5000,"Low (&lt;5k)")</calculatedColumnFormula>
    </tableColumn>
    <tableColumn id="21" name="MonthlyRate"/>
    <tableColumn id="22" name="Experience (No.of Companies)"/>
    <tableColumn id="23" name="OverTime"/>
    <tableColumn id="24" name="PercentSalaryHike"/>
    <tableColumn id="25" name="PerformanceRating"/>
    <tableColumn id="26" name="RelationshipSatisfaction"/>
    <tableColumn id="27" name="StockOptionLevel"/>
    <tableColumn id="28" name="TotalWorkingYears"/>
    <tableColumn id="29" name="TrainingTimesLastYear"/>
    <tableColumn id="30" name="Work life balance"/>
    <tableColumn id="31" name="Years at Company"/>
    <tableColumn id="32" name="Tenure Group">
      <calculatedColumnFormula array="1">_xlfn.IFS(AE2&gt;=10,"Veteran (10y+)",AE2&gt;=3,"Established (3-10y)",AE2&lt;3,"New Hire (&lt;3y)")</calculatedColumnFormula>
    </tableColumn>
    <tableColumn id="33" name="YearsInCurrentRole"/>
    <tableColumn id="34" name="YearsSinceLastPromotion"/>
    <tableColumn id="35" name="YearsWithCurrManager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471"/>
  <sheetViews>
    <sheetView workbookViewId="0">
      <selection activeCell="A1" sqref="A1"/>
    </sheetView>
  </sheetViews>
  <sheetFormatPr defaultColWidth="9" defaultRowHeight="14.4"/>
  <cols>
    <col min="1" max="1" width="9.1111111111111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471"/>
  <sheetViews>
    <sheetView workbookViewId="0">
      <selection activeCell="D22" sqref="D22"/>
    </sheetView>
  </sheetViews>
  <sheetFormatPr defaultColWidth="9" defaultRowHeight="14.4"/>
  <cols>
    <col min="1" max="1" width="14.8888888888889" customWidth="1"/>
    <col min="2" max="2" width="11.7777777777778" customWidth="1"/>
    <col min="3" max="3" width="9.88888888888889" customWidth="1"/>
    <col min="4" max="4" width="15.6666666666667" customWidth="1"/>
    <col min="5" max="5" width="10.7777777777778" customWidth="1"/>
    <col min="6" max="6" width="21.8888888888889" customWidth="1"/>
    <col min="7" max="7" width="15.7777777777778" customWidth="1"/>
    <col min="8" max="8" width="13.5555555555556" customWidth="1"/>
    <col min="9" max="9" width="12.5555555555556" customWidth="1"/>
    <col min="10" max="10" width="15.6666666666667" customWidth="1"/>
    <col min="11" max="11" width="23.5555555555556" customWidth="1"/>
    <col min="12" max="12" width="9" customWidth="1"/>
    <col min="13" max="13" width="12.2222222222222" customWidth="1"/>
    <col min="14" max="14" width="16.4444444444444" customWidth="1"/>
    <col min="15" max="15" width="10.1111111111111" customWidth="1"/>
    <col min="16" max="16" width="9.44444444444444" customWidth="1"/>
    <col min="17" max="17" width="15.5555555555556" customWidth="1"/>
    <col min="18" max="18" width="14.1111111111111" customWidth="1"/>
    <col min="19" max="19" width="18" customWidth="1"/>
    <col min="20" max="20" width="15.3333333333333" customWidth="1"/>
    <col min="21" max="21" width="13.8888888888889" customWidth="1"/>
    <col min="22" max="22" width="28.3333333333333" customWidth="1"/>
    <col min="23" max="23" width="11" customWidth="1"/>
    <col min="24" max="24" width="18.1111111111111" customWidth="1"/>
    <col min="25" max="25" width="19.1111111111111" customWidth="1"/>
    <col min="26" max="26" width="23" customWidth="1"/>
    <col min="27" max="27" width="17.6666666666667" customWidth="1"/>
    <col min="28" max="28" width="18.6666666666667" customWidth="1"/>
    <col min="29" max="29" width="21.5555555555556" customWidth="1"/>
    <col min="30" max="30" width="17.4444444444444" customWidth="1"/>
    <col min="31" max="31" width="18" customWidth="1"/>
    <col min="32" max="32" width="15.7777777777778" customWidth="1"/>
    <col min="33" max="33" width="19" customWidth="1"/>
    <col min="34" max="34" width="24.1111111111111" customWidth="1"/>
    <col min="35" max="35" width="22.4444444444444" customWidth="1"/>
  </cols>
  <sheetData>
    <row r="1" spans="1:35">
      <c r="A1" t="s">
        <v>62</v>
      </c>
      <c r="B1" t="s">
        <v>63</v>
      </c>
      <c r="C1" t="s">
        <v>1</v>
      </c>
      <c r="D1" t="s">
        <v>2</v>
      </c>
      <c r="E1" t="s">
        <v>3</v>
      </c>
      <c r="F1" t="s">
        <v>4</v>
      </c>
      <c r="G1" t="s">
        <v>64</v>
      </c>
      <c r="H1" t="s">
        <v>65</v>
      </c>
      <c r="I1" t="s">
        <v>6</v>
      </c>
      <c r="J1" t="s">
        <v>7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66</v>
      </c>
      <c r="T1" t="s">
        <v>67</v>
      </c>
      <c r="U1" t="s">
        <v>19</v>
      </c>
      <c r="V1" t="s">
        <v>68</v>
      </c>
      <c r="W1" t="s">
        <v>22</v>
      </c>
      <c r="X1" t="s">
        <v>23</v>
      </c>
      <c r="Y1" t="s">
        <v>24</v>
      </c>
      <c r="Z1" t="s">
        <v>25</v>
      </c>
      <c r="AA1" t="s">
        <v>27</v>
      </c>
      <c r="AB1" t="s">
        <v>28</v>
      </c>
      <c r="AC1" t="s">
        <v>29</v>
      </c>
      <c r="AD1" t="s">
        <v>69</v>
      </c>
      <c r="AE1" t="s">
        <v>70</v>
      </c>
      <c r="AF1" t="s">
        <v>71</v>
      </c>
      <c r="AG1" t="s">
        <v>32</v>
      </c>
      <c r="AH1" t="s">
        <v>33</v>
      </c>
      <c r="AI1" t="s">
        <v>34</v>
      </c>
    </row>
    <row r="2" spans="1:35">
      <c r="A2">
        <v>18</v>
      </c>
      <c r="B2" t="str">
        <f>IF(A2&gt;=46,"Senior",IF(A2&gt;=30,"Middle Aged","Young Adults"))</f>
        <v>Young Adults</v>
      </c>
      <c r="C2">
        <v>1</v>
      </c>
      <c r="D2" t="s">
        <v>36</v>
      </c>
      <c r="E2">
        <v>230</v>
      </c>
      <c r="F2" t="s">
        <v>45</v>
      </c>
      <c r="G2">
        <v>3</v>
      </c>
      <c r="H2" t="str" cm="1">
        <f t="array" ref="H2">_xlfn.IFS(G2&gt;15,"Long Commute",G2&gt;5,"Moderate",G2&lt;=5,"Near Office")</f>
        <v>Near Office</v>
      </c>
      <c r="I2" t="s">
        <v>72</v>
      </c>
      <c r="J2" t="s">
        <v>38</v>
      </c>
      <c r="K2">
        <v>3</v>
      </c>
      <c r="L2" t="s">
        <v>46</v>
      </c>
      <c r="M2">
        <v>54</v>
      </c>
      <c r="N2">
        <v>3</v>
      </c>
      <c r="O2">
        <v>1</v>
      </c>
      <c r="P2" t="s">
        <v>50</v>
      </c>
      <c r="Q2" t="s">
        <v>73</v>
      </c>
      <c r="R2" t="s">
        <v>41</v>
      </c>
      <c r="S2">
        <v>1420</v>
      </c>
      <c r="T2" t="str" cm="1">
        <f t="array" ref="T2">_xlfn.IFS(S2&gt;=10000,"High (&gt;10k)",S2&gt;=5000,"Medium (5k-10k)",S2&lt;5000,"Low (&lt;5k)")</f>
        <v>Low (&lt;5k)</v>
      </c>
      <c r="U2">
        <v>25233</v>
      </c>
      <c r="V2">
        <v>1</v>
      </c>
      <c r="W2" t="s">
        <v>43</v>
      </c>
      <c r="X2">
        <v>13</v>
      </c>
      <c r="Y2">
        <v>3</v>
      </c>
      <c r="Z2">
        <v>3</v>
      </c>
      <c r="AA2">
        <v>0</v>
      </c>
      <c r="AB2">
        <v>0</v>
      </c>
      <c r="AC2">
        <v>2</v>
      </c>
      <c r="AD2" t="s">
        <v>74</v>
      </c>
      <c r="AE2">
        <v>0</v>
      </c>
      <c r="AF2" t="str" cm="1">
        <f t="array" ref="AF2">_xlfn.IFS(AE2&gt;=10,"Veteran (10y+)",AE2&gt;=3,"Established (3-10y)",AE2&lt;3,"New Hire (&lt;3y)")</f>
        <v>New Hire (&lt;3y)</v>
      </c>
      <c r="AG2">
        <v>0</v>
      </c>
      <c r="AH2">
        <v>0</v>
      </c>
      <c r="AI2">
        <v>0</v>
      </c>
    </row>
    <row r="3" spans="1:35">
      <c r="A3">
        <v>18</v>
      </c>
      <c r="B3" t="str">
        <f t="shared" ref="B3:B66" si="0">IF(A3&gt;=46,"Senior",IF(A3&gt;=30,"Middle Aged","Young Adults"))</f>
        <v>Young Adults</v>
      </c>
      <c r="C3">
        <v>0</v>
      </c>
      <c r="D3" t="s">
        <v>36</v>
      </c>
      <c r="E3">
        <v>812</v>
      </c>
      <c r="F3" t="s">
        <v>37</v>
      </c>
      <c r="G3">
        <v>10</v>
      </c>
      <c r="H3" t="str" cm="1">
        <f t="array" ref="H3">_xlfn.IFS(G3&gt;15,"Long Commute",G3&gt;5,"Moderate",G3&lt;=5,"Near Office")</f>
        <v>Moderate</v>
      </c>
      <c r="I3" t="s">
        <v>72</v>
      </c>
      <c r="J3" t="s">
        <v>51</v>
      </c>
      <c r="K3">
        <v>4</v>
      </c>
      <c r="L3" t="s">
        <v>39</v>
      </c>
      <c r="M3">
        <v>69</v>
      </c>
      <c r="N3">
        <v>2</v>
      </c>
      <c r="O3">
        <v>1</v>
      </c>
      <c r="P3" t="s">
        <v>57</v>
      </c>
      <c r="Q3" t="s">
        <v>73</v>
      </c>
      <c r="R3" t="s">
        <v>41</v>
      </c>
      <c r="S3">
        <v>1200</v>
      </c>
      <c r="T3" t="str" cm="1">
        <f t="array" ref="T3">_xlfn.IFS(S3&gt;=10000,"High (&gt;10k)",S3&gt;=5000,"Medium (5k-10k)",S3&lt;5000,"Low (&lt;5k)")</f>
        <v>Low (&lt;5k)</v>
      </c>
      <c r="U3">
        <v>9724</v>
      </c>
      <c r="V3">
        <v>1</v>
      </c>
      <c r="W3" t="s">
        <v>43</v>
      </c>
      <c r="X3">
        <v>12</v>
      </c>
      <c r="Y3">
        <v>3</v>
      </c>
      <c r="Z3">
        <v>1</v>
      </c>
      <c r="AA3">
        <v>0</v>
      </c>
      <c r="AB3">
        <v>0</v>
      </c>
      <c r="AC3">
        <v>2</v>
      </c>
      <c r="AD3" t="s">
        <v>74</v>
      </c>
      <c r="AE3">
        <v>0</v>
      </c>
      <c r="AF3" t="str" cm="1">
        <f t="array" ref="AF3">_xlfn.IFS(AE3&gt;=10,"Veteran (10y+)",AE3&gt;=3,"Established (3-10y)",AE3&lt;3,"New Hire (&lt;3y)")</f>
        <v>New Hire (&lt;3y)</v>
      </c>
      <c r="AG3">
        <v>0</v>
      </c>
      <c r="AH3">
        <v>0</v>
      </c>
      <c r="AI3">
        <v>0</v>
      </c>
    </row>
    <row r="4" spans="1:35">
      <c r="A4">
        <v>18</v>
      </c>
      <c r="B4" t="str">
        <f t="shared" si="0"/>
        <v>Young Adults</v>
      </c>
      <c r="C4">
        <v>1</v>
      </c>
      <c r="D4" t="s">
        <v>44</v>
      </c>
      <c r="E4">
        <v>1306</v>
      </c>
      <c r="F4" t="s">
        <v>37</v>
      </c>
      <c r="G4">
        <v>5</v>
      </c>
      <c r="H4" t="str" cm="1">
        <f t="array" ref="H4">_xlfn.IFS(G4&gt;15,"Long Commute",G4&gt;5,"Moderate",G4&lt;=5,"Near Office")</f>
        <v>Near Office</v>
      </c>
      <c r="I4" t="s">
        <v>72</v>
      </c>
      <c r="J4" t="s">
        <v>59</v>
      </c>
      <c r="K4">
        <v>2</v>
      </c>
      <c r="L4" t="s">
        <v>46</v>
      </c>
      <c r="M4">
        <v>69</v>
      </c>
      <c r="N4">
        <v>3</v>
      </c>
      <c r="O4">
        <v>1</v>
      </c>
      <c r="P4" t="s">
        <v>57</v>
      </c>
      <c r="Q4" t="s">
        <v>75</v>
      </c>
      <c r="R4" t="s">
        <v>41</v>
      </c>
      <c r="S4">
        <v>1878</v>
      </c>
      <c r="T4" t="str" cm="1">
        <f t="array" ref="T4">_xlfn.IFS(S4&gt;=10000,"High (&gt;10k)",S4&gt;=5000,"Medium (5k-10k)",S4&lt;5000,"Low (&lt;5k)")</f>
        <v>Low (&lt;5k)</v>
      </c>
      <c r="U4">
        <v>8059</v>
      </c>
      <c r="V4">
        <v>1</v>
      </c>
      <c r="W4" t="s">
        <v>35</v>
      </c>
      <c r="X4">
        <v>14</v>
      </c>
      <c r="Y4">
        <v>3</v>
      </c>
      <c r="Z4">
        <v>4</v>
      </c>
      <c r="AA4">
        <v>0</v>
      </c>
      <c r="AB4">
        <v>0</v>
      </c>
      <c r="AC4">
        <v>3</v>
      </c>
      <c r="AD4" t="s">
        <v>74</v>
      </c>
      <c r="AE4">
        <v>0</v>
      </c>
      <c r="AF4" t="str" cm="1">
        <f t="array" ref="AF4">_xlfn.IFS(AE4&gt;=10,"Veteran (10y+)",AE4&gt;=3,"Established (3-10y)",AE4&lt;3,"New Hire (&lt;3y)")</f>
        <v>New Hire (&lt;3y)</v>
      </c>
      <c r="AG4">
        <v>0</v>
      </c>
      <c r="AH4">
        <v>0</v>
      </c>
      <c r="AI4">
        <v>0</v>
      </c>
    </row>
    <row r="5" spans="1:35">
      <c r="A5">
        <v>18</v>
      </c>
      <c r="B5" t="str">
        <f t="shared" si="0"/>
        <v>Young Adults</v>
      </c>
      <c r="C5">
        <v>0</v>
      </c>
      <c r="D5" t="s">
        <v>55</v>
      </c>
      <c r="E5">
        <v>287</v>
      </c>
      <c r="F5" t="s">
        <v>45</v>
      </c>
      <c r="G5">
        <v>5</v>
      </c>
      <c r="H5" t="str" cm="1">
        <f t="array" ref="H5">_xlfn.IFS(G5&gt;15,"Long Commute",G5&gt;5,"Moderate",G5&lt;=5,"Near Office")</f>
        <v>Near Office</v>
      </c>
      <c r="I5" t="s">
        <v>76</v>
      </c>
      <c r="J5" t="s">
        <v>38</v>
      </c>
      <c r="K5">
        <v>2</v>
      </c>
      <c r="L5" t="s">
        <v>46</v>
      </c>
      <c r="M5">
        <v>73</v>
      </c>
      <c r="N5">
        <v>3</v>
      </c>
      <c r="O5">
        <v>1</v>
      </c>
      <c r="P5" t="s">
        <v>47</v>
      </c>
      <c r="Q5" t="s">
        <v>77</v>
      </c>
      <c r="R5" t="s">
        <v>41</v>
      </c>
      <c r="S5">
        <v>1051</v>
      </c>
      <c r="T5" t="str" cm="1">
        <f t="array" ref="T5">_xlfn.IFS(S5&gt;=10000,"High (&gt;10k)",S5&gt;=5000,"Medium (5k-10k)",S5&lt;5000,"Low (&lt;5k)")</f>
        <v>Low (&lt;5k)</v>
      </c>
      <c r="U5">
        <v>13493</v>
      </c>
      <c r="V5">
        <v>1</v>
      </c>
      <c r="W5" t="s">
        <v>43</v>
      </c>
      <c r="X5">
        <v>15</v>
      </c>
      <c r="Y5">
        <v>3</v>
      </c>
      <c r="Z5">
        <v>4</v>
      </c>
      <c r="AA5">
        <v>0</v>
      </c>
      <c r="AB5">
        <v>0</v>
      </c>
      <c r="AC5">
        <v>2</v>
      </c>
      <c r="AD5" t="s">
        <v>74</v>
      </c>
      <c r="AE5">
        <v>0</v>
      </c>
      <c r="AF5" t="str" cm="1">
        <f t="array" ref="AF5">_xlfn.IFS(AE5&gt;=10,"Veteran (10y+)",AE5&gt;=3,"Established (3-10y)",AE5&lt;3,"New Hire (&lt;3y)")</f>
        <v>New Hire (&lt;3y)</v>
      </c>
      <c r="AG5">
        <v>0</v>
      </c>
      <c r="AH5">
        <v>0</v>
      </c>
      <c r="AI5">
        <v>0</v>
      </c>
    </row>
    <row r="6" spans="1:35">
      <c r="A6">
        <v>18</v>
      </c>
      <c r="B6" t="str">
        <f t="shared" si="0"/>
        <v>Young Adults</v>
      </c>
      <c r="C6">
        <v>1</v>
      </c>
      <c r="D6" t="s">
        <v>55</v>
      </c>
      <c r="E6">
        <v>247</v>
      </c>
      <c r="F6" t="s">
        <v>45</v>
      </c>
      <c r="G6">
        <v>8</v>
      </c>
      <c r="H6" t="str" cm="1">
        <f t="array" ref="H6">_xlfn.IFS(G6&gt;15,"Long Commute",G6&gt;5,"Moderate",G6&lt;=5,"Near Office")</f>
        <v>Moderate</v>
      </c>
      <c r="I6" t="s">
        <v>78</v>
      </c>
      <c r="J6" t="s">
        <v>51</v>
      </c>
      <c r="K6">
        <v>3</v>
      </c>
      <c r="L6" t="s">
        <v>46</v>
      </c>
      <c r="M6">
        <v>80</v>
      </c>
      <c r="N6">
        <v>3</v>
      </c>
      <c r="O6">
        <v>1</v>
      </c>
      <c r="P6" t="s">
        <v>50</v>
      </c>
      <c r="Q6" t="s">
        <v>73</v>
      </c>
      <c r="R6" t="s">
        <v>41</v>
      </c>
      <c r="S6">
        <v>1904</v>
      </c>
      <c r="T6" t="str" cm="1">
        <f t="array" ref="T6">_xlfn.IFS(S6&gt;=10000,"High (&gt;10k)",S6&gt;=5000,"Medium (5k-10k)",S6&lt;5000,"Low (&lt;5k)")</f>
        <v>Low (&lt;5k)</v>
      </c>
      <c r="U6">
        <v>13556</v>
      </c>
      <c r="V6">
        <v>1</v>
      </c>
      <c r="W6" t="s">
        <v>43</v>
      </c>
      <c r="X6">
        <v>12</v>
      </c>
      <c r="Y6">
        <v>3</v>
      </c>
      <c r="Z6">
        <v>4</v>
      </c>
      <c r="AA6">
        <v>0</v>
      </c>
      <c r="AB6">
        <v>0</v>
      </c>
      <c r="AC6">
        <v>0</v>
      </c>
      <c r="AD6" t="s">
        <v>74</v>
      </c>
      <c r="AE6">
        <v>0</v>
      </c>
      <c r="AF6" t="str" cm="1">
        <f t="array" ref="AF6">_xlfn.IFS(AE6&gt;=10,"Veteran (10y+)",AE6&gt;=3,"Established (3-10y)",AE6&lt;3,"New Hire (&lt;3y)")</f>
        <v>New Hire (&lt;3y)</v>
      </c>
      <c r="AG6">
        <v>0</v>
      </c>
      <c r="AH6">
        <v>0</v>
      </c>
      <c r="AI6">
        <v>0</v>
      </c>
    </row>
    <row r="7" spans="1:35">
      <c r="A7">
        <v>18</v>
      </c>
      <c r="B7" t="str">
        <f t="shared" si="0"/>
        <v>Young Adults</v>
      </c>
      <c r="C7">
        <v>0</v>
      </c>
      <c r="D7" t="s">
        <v>55</v>
      </c>
      <c r="E7">
        <v>1124</v>
      </c>
      <c r="F7" t="s">
        <v>45</v>
      </c>
      <c r="G7">
        <v>1</v>
      </c>
      <c r="H7" t="str" cm="1">
        <f t="array" ref="H7">_xlfn.IFS(G7&gt;15,"Long Commute",G7&gt;5,"Moderate",G7&lt;=5,"Near Office")</f>
        <v>Near Office</v>
      </c>
      <c r="I7" t="s">
        <v>72</v>
      </c>
      <c r="J7" t="s">
        <v>38</v>
      </c>
      <c r="K7">
        <v>4</v>
      </c>
      <c r="L7" t="s">
        <v>39</v>
      </c>
      <c r="M7">
        <v>97</v>
      </c>
      <c r="N7">
        <v>3</v>
      </c>
      <c r="O7">
        <v>1</v>
      </c>
      <c r="P7" t="s">
        <v>50</v>
      </c>
      <c r="Q7" t="s">
        <v>77</v>
      </c>
      <c r="R7" t="s">
        <v>41</v>
      </c>
      <c r="S7">
        <v>1611</v>
      </c>
      <c r="T7" t="str" cm="1">
        <f t="array" ref="T7">_xlfn.IFS(S7&gt;=10000,"High (&gt;10k)",S7&gt;=5000,"Medium (5k-10k)",S7&lt;5000,"Low (&lt;5k)")</f>
        <v>Low (&lt;5k)</v>
      </c>
      <c r="U7">
        <v>19305</v>
      </c>
      <c r="V7">
        <v>1</v>
      </c>
      <c r="W7" t="s">
        <v>43</v>
      </c>
      <c r="X7">
        <v>15</v>
      </c>
      <c r="Y7">
        <v>3</v>
      </c>
      <c r="Z7">
        <v>3</v>
      </c>
      <c r="AA7">
        <v>0</v>
      </c>
      <c r="AB7">
        <v>0</v>
      </c>
      <c r="AC7">
        <v>5</v>
      </c>
      <c r="AD7" t="s">
        <v>79</v>
      </c>
      <c r="AE7">
        <v>0</v>
      </c>
      <c r="AF7" t="str" cm="1">
        <f t="array" ref="AF7">_xlfn.IFS(AE7&gt;=10,"Veteran (10y+)",AE7&gt;=3,"Established (3-10y)",AE7&lt;3,"New Hire (&lt;3y)")</f>
        <v>New Hire (&lt;3y)</v>
      </c>
      <c r="AG7">
        <v>0</v>
      </c>
      <c r="AH7">
        <v>0</v>
      </c>
      <c r="AI7">
        <v>0</v>
      </c>
    </row>
    <row r="8" spans="1:35">
      <c r="A8">
        <v>18</v>
      </c>
      <c r="B8" t="str">
        <f t="shared" si="0"/>
        <v>Young Adults</v>
      </c>
      <c r="C8">
        <v>1</v>
      </c>
      <c r="D8" t="s">
        <v>44</v>
      </c>
      <c r="E8">
        <v>544</v>
      </c>
      <c r="F8" t="s">
        <v>37</v>
      </c>
      <c r="G8">
        <v>3</v>
      </c>
      <c r="H8" t="str" cm="1">
        <f t="array" ref="H8">_xlfn.IFS(G8&gt;15,"Long Commute",G8&gt;5,"Moderate",G8&lt;=5,"Near Office")</f>
        <v>Near Office</v>
      </c>
      <c r="I8" t="s">
        <v>76</v>
      </c>
      <c r="J8" t="s">
        <v>51</v>
      </c>
      <c r="K8">
        <v>2</v>
      </c>
      <c r="L8" t="s">
        <v>39</v>
      </c>
      <c r="M8">
        <v>70</v>
      </c>
      <c r="N8">
        <v>3</v>
      </c>
      <c r="O8">
        <v>1</v>
      </c>
      <c r="P8" t="s">
        <v>57</v>
      </c>
      <c r="Q8" t="s">
        <v>77</v>
      </c>
      <c r="R8" t="s">
        <v>41</v>
      </c>
      <c r="S8">
        <v>1569</v>
      </c>
      <c r="T8" t="str" cm="1">
        <f t="array" ref="T8">_xlfn.IFS(S8&gt;=10000,"High (&gt;10k)",S8&gt;=5000,"Medium (5k-10k)",S8&lt;5000,"Low (&lt;5k)")</f>
        <v>Low (&lt;5k)</v>
      </c>
      <c r="U8">
        <v>18420</v>
      </c>
      <c r="V8">
        <v>1</v>
      </c>
      <c r="W8" t="s">
        <v>35</v>
      </c>
      <c r="X8">
        <v>12</v>
      </c>
      <c r="Y8">
        <v>3</v>
      </c>
      <c r="Z8">
        <v>3</v>
      </c>
      <c r="AA8">
        <v>0</v>
      </c>
      <c r="AB8">
        <v>0</v>
      </c>
      <c r="AC8">
        <v>2</v>
      </c>
      <c r="AD8" t="s">
        <v>79</v>
      </c>
      <c r="AE8">
        <v>0</v>
      </c>
      <c r="AF8" t="str" cm="1">
        <f t="array" ref="AF8">_xlfn.IFS(AE8&gt;=10,"Veteran (10y+)",AE8&gt;=3,"Established (3-10y)",AE8&lt;3,"New Hire (&lt;3y)")</f>
        <v>New Hire (&lt;3y)</v>
      </c>
      <c r="AG8">
        <v>0</v>
      </c>
      <c r="AH8">
        <v>0</v>
      </c>
      <c r="AI8">
        <v>0</v>
      </c>
    </row>
    <row r="9" spans="1:35">
      <c r="A9">
        <v>18</v>
      </c>
      <c r="B9" t="str">
        <f t="shared" si="0"/>
        <v>Young Adults</v>
      </c>
      <c r="C9">
        <v>0</v>
      </c>
      <c r="D9" t="s">
        <v>55</v>
      </c>
      <c r="E9">
        <v>1431</v>
      </c>
      <c r="F9" t="s">
        <v>45</v>
      </c>
      <c r="G9">
        <v>14</v>
      </c>
      <c r="H9" t="str" cm="1">
        <f t="array" ref="H9">_xlfn.IFS(G9&gt;15,"Long Commute",G9&gt;5,"Moderate",G9&lt;=5,"Near Office")</f>
        <v>Moderate</v>
      </c>
      <c r="I9" t="s">
        <v>72</v>
      </c>
      <c r="J9" t="s">
        <v>51</v>
      </c>
      <c r="K9">
        <v>2</v>
      </c>
      <c r="L9" t="s">
        <v>39</v>
      </c>
      <c r="M9">
        <v>33</v>
      </c>
      <c r="N9">
        <v>3</v>
      </c>
      <c r="O9">
        <v>1</v>
      </c>
      <c r="P9" t="s">
        <v>47</v>
      </c>
      <c r="Q9" t="s">
        <v>73</v>
      </c>
      <c r="R9" t="s">
        <v>41</v>
      </c>
      <c r="S9">
        <v>1514</v>
      </c>
      <c r="T9" t="str" cm="1">
        <f t="array" ref="T9">_xlfn.IFS(S9&gt;=10000,"High (&gt;10k)",S9&gt;=5000,"Medium (5k-10k)",S9&lt;5000,"Low (&lt;5k)")</f>
        <v>Low (&lt;5k)</v>
      </c>
      <c r="U9">
        <v>8018</v>
      </c>
      <c r="V9">
        <v>1</v>
      </c>
      <c r="W9" t="s">
        <v>43</v>
      </c>
      <c r="X9">
        <v>16</v>
      </c>
      <c r="Y9">
        <v>3</v>
      </c>
      <c r="Z9">
        <v>3</v>
      </c>
      <c r="AA9">
        <v>0</v>
      </c>
      <c r="AB9">
        <v>0</v>
      </c>
      <c r="AC9">
        <v>4</v>
      </c>
      <c r="AD9" t="s">
        <v>80</v>
      </c>
      <c r="AE9">
        <v>0</v>
      </c>
      <c r="AF9" t="str" cm="1">
        <f t="array" ref="AF9">_xlfn.IFS(AE9&gt;=10,"Veteran (10y+)",AE9&gt;=3,"Established (3-10y)",AE9&lt;3,"New Hire (&lt;3y)")</f>
        <v>New Hire (&lt;3y)</v>
      </c>
      <c r="AG9">
        <v>0</v>
      </c>
      <c r="AH9">
        <v>0</v>
      </c>
      <c r="AI9">
        <v>0</v>
      </c>
    </row>
    <row r="10" spans="1:35">
      <c r="A10">
        <v>19</v>
      </c>
      <c r="B10" t="str">
        <f t="shared" si="0"/>
        <v>Young Adults</v>
      </c>
      <c r="C10">
        <v>1</v>
      </c>
      <c r="D10" t="s">
        <v>36</v>
      </c>
      <c r="E10">
        <v>528</v>
      </c>
      <c r="F10" t="s">
        <v>37</v>
      </c>
      <c r="G10">
        <v>22</v>
      </c>
      <c r="H10" t="str" cm="1">
        <f t="array" ref="H10">_xlfn.IFS(G10&gt;15,"Long Commute",G10&gt;5,"Moderate",G10&lt;=5,"Near Office")</f>
        <v>Long Commute</v>
      </c>
      <c r="I10" t="s">
        <v>78</v>
      </c>
      <c r="J10" t="s">
        <v>59</v>
      </c>
      <c r="K10">
        <v>4</v>
      </c>
      <c r="L10" t="s">
        <v>46</v>
      </c>
      <c r="M10">
        <v>50</v>
      </c>
      <c r="N10">
        <v>3</v>
      </c>
      <c r="O10">
        <v>1</v>
      </c>
      <c r="P10" t="s">
        <v>57</v>
      </c>
      <c r="Q10" t="s">
        <v>73</v>
      </c>
      <c r="R10" t="s">
        <v>41</v>
      </c>
      <c r="S10">
        <v>1675</v>
      </c>
      <c r="T10" t="str" cm="1">
        <f t="array" ref="T10">_xlfn.IFS(S10&gt;=10000,"High (&gt;10k)",S10&gt;=5000,"Medium (5k-10k)",S10&lt;5000,"Low (&lt;5k)")</f>
        <v>Low (&lt;5k)</v>
      </c>
      <c r="U10">
        <v>26820</v>
      </c>
      <c r="V10">
        <v>1</v>
      </c>
      <c r="W10" t="s">
        <v>35</v>
      </c>
      <c r="X10">
        <v>19</v>
      </c>
      <c r="Y10">
        <v>3</v>
      </c>
      <c r="Z10">
        <v>4</v>
      </c>
      <c r="AA10">
        <v>0</v>
      </c>
      <c r="AB10">
        <v>0</v>
      </c>
      <c r="AC10">
        <v>2</v>
      </c>
      <c r="AD10" t="s">
        <v>81</v>
      </c>
      <c r="AE10">
        <v>0</v>
      </c>
      <c r="AF10" t="str" cm="1">
        <f t="array" ref="AF10">_xlfn.IFS(AE10&gt;=10,"Veteran (10y+)",AE10&gt;=3,"Established (3-10y)",AE10&lt;3,"New Hire (&lt;3y)")</f>
        <v>New Hire (&lt;3y)</v>
      </c>
      <c r="AG10">
        <v>0</v>
      </c>
      <c r="AH10">
        <v>0</v>
      </c>
      <c r="AI10">
        <v>0</v>
      </c>
    </row>
    <row r="11" spans="1:35">
      <c r="A11">
        <v>19</v>
      </c>
      <c r="B11" t="str">
        <f t="shared" si="0"/>
        <v>Young Adults</v>
      </c>
      <c r="C11">
        <v>0</v>
      </c>
      <c r="D11" t="s">
        <v>36</v>
      </c>
      <c r="E11">
        <v>1181</v>
      </c>
      <c r="F11" t="s">
        <v>45</v>
      </c>
      <c r="G11">
        <v>3</v>
      </c>
      <c r="H11" t="str" cm="1">
        <f t="array" ref="H11">_xlfn.IFS(G11&gt;15,"Long Commute",G11&gt;5,"Moderate",G11&lt;=5,"Near Office")</f>
        <v>Near Office</v>
      </c>
      <c r="I11" t="s">
        <v>78</v>
      </c>
      <c r="J11" t="s">
        <v>51</v>
      </c>
      <c r="K11">
        <v>2</v>
      </c>
      <c r="L11" t="s">
        <v>39</v>
      </c>
      <c r="M11">
        <v>79</v>
      </c>
      <c r="N11">
        <v>3</v>
      </c>
      <c r="O11">
        <v>1</v>
      </c>
      <c r="P11" t="s">
        <v>50</v>
      </c>
      <c r="Q11" t="s">
        <v>75</v>
      </c>
      <c r="R11" t="s">
        <v>41</v>
      </c>
      <c r="S11">
        <v>1483</v>
      </c>
      <c r="T11" t="str" cm="1">
        <f t="array" ref="T11">_xlfn.IFS(S11&gt;=10000,"High (&gt;10k)",S11&gt;=5000,"Medium (5k-10k)",S11&lt;5000,"Low (&lt;5k)")</f>
        <v>Low (&lt;5k)</v>
      </c>
      <c r="U11">
        <v>16102</v>
      </c>
      <c r="V11">
        <v>1</v>
      </c>
      <c r="W11" t="s">
        <v>43</v>
      </c>
      <c r="X11">
        <v>14</v>
      </c>
      <c r="Y11">
        <v>3</v>
      </c>
      <c r="Z11">
        <v>4</v>
      </c>
      <c r="AA11">
        <v>0</v>
      </c>
      <c r="AB11">
        <v>1</v>
      </c>
      <c r="AC11">
        <v>3</v>
      </c>
      <c r="AD11" t="s">
        <v>74</v>
      </c>
      <c r="AE11">
        <v>1</v>
      </c>
      <c r="AF11" t="str" cm="1">
        <f t="array" ref="AF11">_xlfn.IFS(AE11&gt;=10,"Veteran (10y+)",AE11&gt;=3,"Established (3-10y)",AE11&lt;3,"New Hire (&lt;3y)")</f>
        <v>New Hire (&lt;3y)</v>
      </c>
      <c r="AG11">
        <v>0</v>
      </c>
      <c r="AH11">
        <v>0</v>
      </c>
      <c r="AI11">
        <v>0</v>
      </c>
    </row>
    <row r="12" spans="1:35">
      <c r="A12">
        <v>19</v>
      </c>
      <c r="B12" t="str">
        <f t="shared" si="0"/>
        <v>Young Adults</v>
      </c>
      <c r="C12">
        <v>1</v>
      </c>
      <c r="D12" t="s">
        <v>44</v>
      </c>
      <c r="E12">
        <v>602</v>
      </c>
      <c r="F12" t="s">
        <v>37</v>
      </c>
      <c r="G12">
        <v>1</v>
      </c>
      <c r="H12" t="str" cm="1">
        <f t="array" ref="H12">_xlfn.IFS(G12&gt;15,"Long Commute",G12&gt;5,"Moderate",G12&lt;=5,"Near Office")</f>
        <v>Near Office</v>
      </c>
      <c r="I12" t="s">
        <v>78</v>
      </c>
      <c r="J12" t="s">
        <v>60</v>
      </c>
      <c r="K12">
        <v>3</v>
      </c>
      <c r="L12" t="s">
        <v>39</v>
      </c>
      <c r="M12">
        <v>100</v>
      </c>
      <c r="N12">
        <v>1</v>
      </c>
      <c r="O12">
        <v>1</v>
      </c>
      <c r="P12" t="s">
        <v>57</v>
      </c>
      <c r="Q12" t="s">
        <v>82</v>
      </c>
      <c r="R12" t="s">
        <v>41</v>
      </c>
      <c r="S12">
        <v>2325</v>
      </c>
      <c r="T12" t="str" cm="1">
        <f t="array" ref="T12">_xlfn.IFS(S12&gt;=10000,"High (&gt;10k)",S12&gt;=5000,"Medium (5k-10k)",S12&lt;5000,"Low (&lt;5k)")</f>
        <v>Low (&lt;5k)</v>
      </c>
      <c r="U12">
        <v>20989</v>
      </c>
      <c r="V12">
        <v>0</v>
      </c>
      <c r="W12" t="s">
        <v>43</v>
      </c>
      <c r="X12">
        <v>21</v>
      </c>
      <c r="Y12">
        <v>4</v>
      </c>
      <c r="Z12">
        <v>1</v>
      </c>
      <c r="AA12">
        <v>0</v>
      </c>
      <c r="AB12">
        <v>1</v>
      </c>
      <c r="AC12">
        <v>5</v>
      </c>
      <c r="AD12" t="s">
        <v>79</v>
      </c>
      <c r="AE12">
        <v>0</v>
      </c>
      <c r="AF12" t="str" cm="1">
        <f t="array" ref="AF12">_xlfn.IFS(AE12&gt;=10,"Veteran (10y+)",AE12&gt;=3,"Established (3-10y)",AE12&lt;3,"New Hire (&lt;3y)")</f>
        <v>New Hire (&lt;3y)</v>
      </c>
      <c r="AG12">
        <v>0</v>
      </c>
      <c r="AH12">
        <v>0</v>
      </c>
      <c r="AI12">
        <v>0</v>
      </c>
    </row>
    <row r="13" spans="1:35">
      <c r="A13">
        <v>19</v>
      </c>
      <c r="B13" t="str">
        <f t="shared" si="0"/>
        <v>Young Adults</v>
      </c>
      <c r="C13">
        <v>1</v>
      </c>
      <c r="D13" t="s">
        <v>36</v>
      </c>
      <c r="E13">
        <v>303</v>
      </c>
      <c r="F13" t="s">
        <v>45</v>
      </c>
      <c r="G13">
        <v>2</v>
      </c>
      <c r="H13" t="str" cm="1">
        <f t="array" ref="H13">_xlfn.IFS(G13&gt;15,"Long Commute",G13&gt;5,"Moderate",G13&lt;=5,"Near Office")</f>
        <v>Near Office</v>
      </c>
      <c r="I13" t="s">
        <v>72</v>
      </c>
      <c r="J13" t="s">
        <v>38</v>
      </c>
      <c r="K13">
        <v>2</v>
      </c>
      <c r="L13" t="s">
        <v>46</v>
      </c>
      <c r="M13">
        <v>47</v>
      </c>
      <c r="N13">
        <v>2</v>
      </c>
      <c r="O13">
        <v>1</v>
      </c>
      <c r="P13" t="s">
        <v>50</v>
      </c>
      <c r="Q13" t="s">
        <v>77</v>
      </c>
      <c r="R13" t="s">
        <v>41</v>
      </c>
      <c r="S13">
        <v>1102</v>
      </c>
      <c r="T13" t="str" cm="1">
        <f t="array" ref="T13">_xlfn.IFS(S13&gt;=10000,"High (&gt;10k)",S13&gt;=5000,"Medium (5k-10k)",S13&lt;5000,"Low (&lt;5k)")</f>
        <v>Low (&lt;5k)</v>
      </c>
      <c r="U13">
        <v>9241</v>
      </c>
      <c r="V13">
        <v>1</v>
      </c>
      <c r="W13" t="s">
        <v>43</v>
      </c>
      <c r="X13">
        <v>22</v>
      </c>
      <c r="Y13">
        <v>4</v>
      </c>
      <c r="Z13">
        <v>3</v>
      </c>
      <c r="AA13">
        <v>0</v>
      </c>
      <c r="AB13">
        <v>1</v>
      </c>
      <c r="AC13">
        <v>3</v>
      </c>
      <c r="AD13" t="s">
        <v>81</v>
      </c>
      <c r="AE13">
        <v>1</v>
      </c>
      <c r="AF13" t="str" cm="1">
        <f t="array" ref="AF13">_xlfn.IFS(AE13&gt;=10,"Veteran (10y+)",AE13&gt;=3,"Established (3-10y)",AE13&lt;3,"New Hire (&lt;3y)")</f>
        <v>New Hire (&lt;3y)</v>
      </c>
      <c r="AG13">
        <v>0</v>
      </c>
      <c r="AH13">
        <v>1</v>
      </c>
      <c r="AI13">
        <v>0</v>
      </c>
    </row>
    <row r="14" spans="1:35">
      <c r="A14">
        <v>19</v>
      </c>
      <c r="B14" t="str">
        <f t="shared" si="0"/>
        <v>Young Adults</v>
      </c>
      <c r="C14">
        <v>1</v>
      </c>
      <c r="D14" t="s">
        <v>36</v>
      </c>
      <c r="E14">
        <v>489</v>
      </c>
      <c r="F14" t="s">
        <v>61</v>
      </c>
      <c r="G14">
        <v>2</v>
      </c>
      <c r="H14" t="str" cm="1">
        <f t="array" ref="H14">_xlfn.IFS(G14&gt;15,"Long Commute",G14&gt;5,"Moderate",G14&lt;=5,"Near Office")</f>
        <v>Near Office</v>
      </c>
      <c r="I14" t="s">
        <v>76</v>
      </c>
      <c r="J14" t="s">
        <v>60</v>
      </c>
      <c r="K14">
        <v>1</v>
      </c>
      <c r="L14" t="s">
        <v>46</v>
      </c>
      <c r="M14">
        <v>52</v>
      </c>
      <c r="N14">
        <v>2</v>
      </c>
      <c r="O14">
        <v>1</v>
      </c>
      <c r="P14" t="s">
        <v>61</v>
      </c>
      <c r="Q14" t="s">
        <v>77</v>
      </c>
      <c r="R14" t="s">
        <v>41</v>
      </c>
      <c r="S14">
        <v>2564</v>
      </c>
      <c r="T14" t="str" cm="1">
        <f t="array" ref="T14">_xlfn.IFS(S14&gt;=10000,"High (&gt;10k)",S14&gt;=5000,"Medium (5k-10k)",S14&lt;5000,"Low (&lt;5k)")</f>
        <v>Low (&lt;5k)</v>
      </c>
      <c r="U14">
        <v>18437</v>
      </c>
      <c r="V14">
        <v>1</v>
      </c>
      <c r="W14" t="s">
        <v>43</v>
      </c>
      <c r="X14">
        <v>12</v>
      </c>
      <c r="Y14">
        <v>3</v>
      </c>
      <c r="Z14">
        <v>3</v>
      </c>
      <c r="AA14">
        <v>0</v>
      </c>
      <c r="AB14">
        <v>1</v>
      </c>
      <c r="AC14">
        <v>3</v>
      </c>
      <c r="AD14" t="s">
        <v>79</v>
      </c>
      <c r="AE14">
        <v>1</v>
      </c>
      <c r="AF14" t="str" cm="1">
        <f t="array" ref="AF14">_xlfn.IFS(AE14&gt;=10,"Veteran (10y+)",AE14&gt;=3,"Established (3-10y)",AE14&lt;3,"New Hire (&lt;3y)")</f>
        <v>New Hire (&lt;3y)</v>
      </c>
      <c r="AG14">
        <v>0</v>
      </c>
      <c r="AH14">
        <v>0</v>
      </c>
      <c r="AI14">
        <v>0</v>
      </c>
    </row>
    <row r="15" spans="1:35">
      <c r="A15">
        <v>19</v>
      </c>
      <c r="B15" t="str">
        <f t="shared" si="0"/>
        <v>Young Adults</v>
      </c>
      <c r="C15">
        <v>1</v>
      </c>
      <c r="D15" t="s">
        <v>36</v>
      </c>
      <c r="E15">
        <v>419</v>
      </c>
      <c r="F15" t="s">
        <v>37</v>
      </c>
      <c r="G15">
        <v>21</v>
      </c>
      <c r="H15" t="str" cm="1">
        <f t="array" ref="H15">_xlfn.IFS(G15&gt;15,"Long Commute",G15&gt;5,"Moderate",G15&lt;=5,"Near Office")</f>
        <v>Long Commute</v>
      </c>
      <c r="I15" t="s">
        <v>72</v>
      </c>
      <c r="J15" t="s">
        <v>49</v>
      </c>
      <c r="K15">
        <v>4</v>
      </c>
      <c r="L15" t="s">
        <v>46</v>
      </c>
      <c r="M15">
        <v>37</v>
      </c>
      <c r="N15">
        <v>2</v>
      </c>
      <c r="O15">
        <v>1</v>
      </c>
      <c r="P15" t="s">
        <v>57</v>
      </c>
      <c r="Q15" t="s">
        <v>75</v>
      </c>
      <c r="R15" t="s">
        <v>41</v>
      </c>
      <c r="S15">
        <v>2121</v>
      </c>
      <c r="T15" t="str" cm="1">
        <f t="array" ref="T15">_xlfn.IFS(S15&gt;=10000,"High (&gt;10k)",S15&gt;=5000,"Medium (5k-10k)",S15&lt;5000,"Low (&lt;5k)")</f>
        <v>Low (&lt;5k)</v>
      </c>
      <c r="U15">
        <v>9947</v>
      </c>
      <c r="V15">
        <v>1</v>
      </c>
      <c r="W15" t="s">
        <v>35</v>
      </c>
      <c r="X15">
        <v>13</v>
      </c>
      <c r="Y15">
        <v>3</v>
      </c>
      <c r="Z15">
        <v>2</v>
      </c>
      <c r="AA15">
        <v>0</v>
      </c>
      <c r="AB15">
        <v>1</v>
      </c>
      <c r="AC15">
        <v>3</v>
      </c>
      <c r="AD15" t="s">
        <v>79</v>
      </c>
      <c r="AE15">
        <v>1</v>
      </c>
      <c r="AF15" t="str" cm="1">
        <f t="array" ref="AF15">_xlfn.IFS(AE15&gt;=10,"Veteran (10y+)",AE15&gt;=3,"Established (3-10y)",AE15&lt;3,"New Hire (&lt;3y)")</f>
        <v>New Hire (&lt;3y)</v>
      </c>
      <c r="AG15">
        <v>0</v>
      </c>
      <c r="AH15">
        <v>0</v>
      </c>
      <c r="AI15">
        <v>0</v>
      </c>
    </row>
    <row r="16" spans="1:35">
      <c r="A16">
        <v>19</v>
      </c>
      <c r="B16" t="str">
        <f t="shared" si="0"/>
        <v>Young Adults</v>
      </c>
      <c r="C16">
        <v>0</v>
      </c>
      <c r="D16" t="s">
        <v>36</v>
      </c>
      <c r="E16">
        <v>645</v>
      </c>
      <c r="F16" t="s">
        <v>45</v>
      </c>
      <c r="G16">
        <v>9</v>
      </c>
      <c r="H16" t="str" cm="1">
        <f t="array" ref="H16">_xlfn.IFS(G16&gt;15,"Long Commute",G16&gt;5,"Moderate",G16&lt;=5,"Near Office")</f>
        <v>Moderate</v>
      </c>
      <c r="I16" t="s">
        <v>76</v>
      </c>
      <c r="J16" t="s">
        <v>38</v>
      </c>
      <c r="K16">
        <v>3</v>
      </c>
      <c r="L16" t="s">
        <v>46</v>
      </c>
      <c r="M16">
        <v>54</v>
      </c>
      <c r="N16">
        <v>3</v>
      </c>
      <c r="O16">
        <v>1</v>
      </c>
      <c r="P16" t="s">
        <v>47</v>
      </c>
      <c r="Q16" t="s">
        <v>82</v>
      </c>
      <c r="R16" t="s">
        <v>41</v>
      </c>
      <c r="S16">
        <v>2552</v>
      </c>
      <c r="T16" t="str" cm="1">
        <f t="array" ref="T16">_xlfn.IFS(S16&gt;=10000,"High (&gt;10k)",S16&gt;=5000,"Medium (5k-10k)",S16&lt;5000,"Low (&lt;5k)")</f>
        <v>Low (&lt;5k)</v>
      </c>
      <c r="U16">
        <v>7172</v>
      </c>
      <c r="V16">
        <v>1</v>
      </c>
      <c r="W16" t="s">
        <v>43</v>
      </c>
      <c r="X16">
        <v>25</v>
      </c>
      <c r="Y16">
        <v>4</v>
      </c>
      <c r="Z16">
        <v>3</v>
      </c>
      <c r="AA16">
        <v>0</v>
      </c>
      <c r="AB16">
        <v>1</v>
      </c>
      <c r="AC16">
        <v>4</v>
      </c>
      <c r="AD16" t="s">
        <v>74</v>
      </c>
      <c r="AE16">
        <v>1</v>
      </c>
      <c r="AF16" t="str" cm="1">
        <f t="array" ref="AF16">_xlfn.IFS(AE16&gt;=10,"Veteran (10y+)",AE16&gt;=3,"Established (3-10y)",AE16&lt;3,"New Hire (&lt;3y)")</f>
        <v>New Hire (&lt;3y)</v>
      </c>
      <c r="AG16">
        <v>1</v>
      </c>
      <c r="AH16">
        <v>0</v>
      </c>
      <c r="AI16">
        <v>0</v>
      </c>
    </row>
    <row r="17" spans="1:35">
      <c r="A17">
        <v>19</v>
      </c>
      <c r="B17" t="str">
        <f t="shared" si="0"/>
        <v>Young Adults</v>
      </c>
      <c r="C17">
        <v>1</v>
      </c>
      <c r="D17" t="s">
        <v>55</v>
      </c>
      <c r="E17">
        <v>504</v>
      </c>
      <c r="F17" t="s">
        <v>45</v>
      </c>
      <c r="G17">
        <v>10</v>
      </c>
      <c r="H17" t="str" cm="1">
        <f t="array" ref="H17">_xlfn.IFS(G17&gt;15,"Long Commute",G17&gt;5,"Moderate",G17&lt;=5,"Near Office")</f>
        <v>Moderate</v>
      </c>
      <c r="I17" t="s">
        <v>72</v>
      </c>
      <c r="J17" t="s">
        <v>51</v>
      </c>
      <c r="K17">
        <v>1</v>
      </c>
      <c r="L17" t="s">
        <v>39</v>
      </c>
      <c r="M17">
        <v>96</v>
      </c>
      <c r="N17">
        <v>2</v>
      </c>
      <c r="O17">
        <v>1</v>
      </c>
      <c r="P17" t="s">
        <v>47</v>
      </c>
      <c r="Q17" t="s">
        <v>75</v>
      </c>
      <c r="R17" t="s">
        <v>41</v>
      </c>
      <c r="S17">
        <v>1859</v>
      </c>
      <c r="T17" t="str" cm="1">
        <f t="array" ref="T17">_xlfn.IFS(S17&gt;=10000,"High (&gt;10k)",S17&gt;=5000,"Medium (5k-10k)",S17&lt;5000,"Low (&lt;5k)")</f>
        <v>Low (&lt;5k)</v>
      </c>
      <c r="U17">
        <v>6148</v>
      </c>
      <c r="V17">
        <v>1</v>
      </c>
      <c r="W17" t="s">
        <v>35</v>
      </c>
      <c r="X17">
        <v>25</v>
      </c>
      <c r="Y17">
        <v>4</v>
      </c>
      <c r="Z17">
        <v>2</v>
      </c>
      <c r="AA17">
        <v>0</v>
      </c>
      <c r="AB17">
        <v>1</v>
      </c>
      <c r="AC17">
        <v>2</v>
      </c>
      <c r="AD17" t="s">
        <v>79</v>
      </c>
      <c r="AE17">
        <v>1</v>
      </c>
      <c r="AF17" t="str" cm="1">
        <f t="array" ref="AF17">_xlfn.IFS(AE17&gt;=10,"Veteran (10y+)",AE17&gt;=3,"Established (3-10y)",AE17&lt;3,"New Hire (&lt;3y)")</f>
        <v>New Hire (&lt;3y)</v>
      </c>
      <c r="AG17">
        <v>1</v>
      </c>
      <c r="AH17">
        <v>0</v>
      </c>
      <c r="AI17">
        <v>0</v>
      </c>
    </row>
    <row r="18" spans="1:35">
      <c r="A18">
        <v>19</v>
      </c>
      <c r="B18" t="str">
        <f t="shared" si="0"/>
        <v>Young Adults</v>
      </c>
      <c r="C18">
        <v>0</v>
      </c>
      <c r="D18" t="s">
        <v>36</v>
      </c>
      <c r="E18">
        <v>265</v>
      </c>
      <c r="F18" t="s">
        <v>45</v>
      </c>
      <c r="G18">
        <v>25</v>
      </c>
      <c r="H18" t="str" cm="1">
        <f t="array" ref="H18">_xlfn.IFS(G18&gt;15,"Long Commute",G18&gt;5,"Moderate",G18&lt;=5,"Near Office")</f>
        <v>Long Commute</v>
      </c>
      <c r="I18" t="s">
        <v>72</v>
      </c>
      <c r="J18" t="s">
        <v>38</v>
      </c>
      <c r="K18">
        <v>2</v>
      </c>
      <c r="L18" t="s">
        <v>39</v>
      </c>
      <c r="M18">
        <v>57</v>
      </c>
      <c r="N18">
        <v>4</v>
      </c>
      <c r="O18">
        <v>1</v>
      </c>
      <c r="P18" t="s">
        <v>47</v>
      </c>
      <c r="Q18" t="s">
        <v>77</v>
      </c>
      <c r="R18" t="s">
        <v>41</v>
      </c>
      <c r="S18">
        <v>2994</v>
      </c>
      <c r="T18" t="str" cm="1">
        <f t="array" ref="T18">_xlfn.IFS(S18&gt;=10000,"High (&gt;10k)",S18&gt;=5000,"Medium (5k-10k)",S18&lt;5000,"Low (&lt;5k)")</f>
        <v>Low (&lt;5k)</v>
      </c>
      <c r="U18">
        <v>21221</v>
      </c>
      <c r="V18">
        <v>1</v>
      </c>
      <c r="W18" t="s">
        <v>35</v>
      </c>
      <c r="X18">
        <v>12</v>
      </c>
      <c r="Y18">
        <v>3</v>
      </c>
      <c r="Z18">
        <v>4</v>
      </c>
      <c r="AA18">
        <v>0</v>
      </c>
      <c r="AB18">
        <v>1</v>
      </c>
      <c r="AC18">
        <v>2</v>
      </c>
      <c r="AD18" t="s">
        <v>74</v>
      </c>
      <c r="AE18">
        <v>1</v>
      </c>
      <c r="AF18" t="str" cm="1">
        <f t="array" ref="AF18">_xlfn.IFS(AE18&gt;=10,"Veteran (10y+)",AE18&gt;=3,"Established (3-10y)",AE18&lt;3,"New Hire (&lt;3y)")</f>
        <v>New Hire (&lt;3y)</v>
      </c>
      <c r="AG18">
        <v>0</v>
      </c>
      <c r="AH18">
        <v>0</v>
      </c>
      <c r="AI18">
        <v>1</v>
      </c>
    </row>
    <row r="19" spans="1:35">
      <c r="A19">
        <v>20</v>
      </c>
      <c r="B19" t="str">
        <f t="shared" si="0"/>
        <v>Young Adults</v>
      </c>
      <c r="C19">
        <v>1</v>
      </c>
      <c r="D19" t="s">
        <v>44</v>
      </c>
      <c r="E19">
        <v>871</v>
      </c>
      <c r="F19" t="s">
        <v>45</v>
      </c>
      <c r="G19">
        <v>6</v>
      </c>
      <c r="H19" t="str" cm="1">
        <f t="array" ref="H19">_xlfn.IFS(G19&gt;15,"Long Commute",G19&gt;5,"Moderate",G19&lt;=5,"Near Office")</f>
        <v>Moderate</v>
      </c>
      <c r="I19" t="s">
        <v>72</v>
      </c>
      <c r="J19" t="s">
        <v>38</v>
      </c>
      <c r="K19">
        <v>4</v>
      </c>
      <c r="L19" t="s">
        <v>39</v>
      </c>
      <c r="M19">
        <v>66</v>
      </c>
      <c r="N19">
        <v>2</v>
      </c>
      <c r="O19">
        <v>1</v>
      </c>
      <c r="P19" t="s">
        <v>50</v>
      </c>
      <c r="Q19" t="s">
        <v>77</v>
      </c>
      <c r="R19" t="s">
        <v>41</v>
      </c>
      <c r="S19">
        <v>2926</v>
      </c>
      <c r="T19" t="str" cm="1">
        <f t="array" ref="T19">_xlfn.IFS(S19&gt;=10000,"High (&gt;10k)",S19&gt;=5000,"Medium (5k-10k)",S19&lt;5000,"Low (&lt;5k)")</f>
        <v>Low (&lt;5k)</v>
      </c>
      <c r="U19">
        <v>19783</v>
      </c>
      <c r="V19">
        <v>1</v>
      </c>
      <c r="W19" t="s">
        <v>35</v>
      </c>
      <c r="X19">
        <v>18</v>
      </c>
      <c r="Y19">
        <v>3</v>
      </c>
      <c r="Z19">
        <v>2</v>
      </c>
      <c r="AA19">
        <v>0</v>
      </c>
      <c r="AB19">
        <v>1</v>
      </c>
      <c r="AC19">
        <v>5</v>
      </c>
      <c r="AD19" t="s">
        <v>74</v>
      </c>
      <c r="AE19">
        <v>1</v>
      </c>
      <c r="AF19" t="str" cm="1">
        <f t="array" ref="AF19">_xlfn.IFS(AE19&gt;=10,"Veteran (10y+)",AE19&gt;=3,"Established (3-10y)",AE19&lt;3,"New Hire (&lt;3y)")</f>
        <v>New Hire (&lt;3y)</v>
      </c>
      <c r="AG19">
        <v>0</v>
      </c>
      <c r="AH19">
        <v>1</v>
      </c>
      <c r="AI19">
        <v>0</v>
      </c>
    </row>
    <row r="20" spans="1:35">
      <c r="A20">
        <v>20</v>
      </c>
      <c r="B20" t="str">
        <f t="shared" si="0"/>
        <v>Young Adults</v>
      </c>
      <c r="C20">
        <v>0</v>
      </c>
      <c r="D20" t="s">
        <v>36</v>
      </c>
      <c r="E20">
        <v>959</v>
      </c>
      <c r="F20" t="s">
        <v>45</v>
      </c>
      <c r="G20">
        <v>1</v>
      </c>
      <c r="H20" t="str" cm="1">
        <f t="array" ref="H20">_xlfn.IFS(G20&gt;15,"Long Commute",G20&gt;5,"Moderate",G20&lt;=5,"Near Office")</f>
        <v>Near Office</v>
      </c>
      <c r="I20" t="s">
        <v>72</v>
      </c>
      <c r="J20" t="s">
        <v>38</v>
      </c>
      <c r="K20">
        <v>4</v>
      </c>
      <c r="L20" t="s">
        <v>39</v>
      </c>
      <c r="M20">
        <v>83</v>
      </c>
      <c r="N20">
        <v>2</v>
      </c>
      <c r="O20">
        <v>1</v>
      </c>
      <c r="P20" t="s">
        <v>47</v>
      </c>
      <c r="Q20" t="s">
        <v>75</v>
      </c>
      <c r="R20" t="s">
        <v>41</v>
      </c>
      <c r="S20">
        <v>2836</v>
      </c>
      <c r="T20" t="str" cm="1">
        <f t="array" ref="T20">_xlfn.IFS(S20&gt;=10000,"High (&gt;10k)",S20&gt;=5000,"Medium (5k-10k)",S20&lt;5000,"Low (&lt;5k)")</f>
        <v>Low (&lt;5k)</v>
      </c>
      <c r="U20">
        <v>11757</v>
      </c>
      <c r="V20">
        <v>1</v>
      </c>
      <c r="W20" t="s">
        <v>43</v>
      </c>
      <c r="X20">
        <v>13</v>
      </c>
      <c r="Y20">
        <v>3</v>
      </c>
      <c r="Z20">
        <v>4</v>
      </c>
      <c r="AA20">
        <v>0</v>
      </c>
      <c r="AB20">
        <v>1</v>
      </c>
      <c r="AC20">
        <v>0</v>
      </c>
      <c r="AD20" t="s">
        <v>79</v>
      </c>
      <c r="AE20">
        <v>1</v>
      </c>
      <c r="AF20" t="str" cm="1">
        <f t="array" ref="AF20">_xlfn.IFS(AE20&gt;=10,"Veteran (10y+)",AE20&gt;=3,"Established (3-10y)",AE20&lt;3,"New Hire (&lt;3y)")</f>
        <v>New Hire (&lt;3y)</v>
      </c>
      <c r="AG20">
        <v>0</v>
      </c>
      <c r="AH20">
        <v>0</v>
      </c>
      <c r="AI20">
        <v>0</v>
      </c>
    </row>
    <row r="21" spans="1:35">
      <c r="A21">
        <v>20</v>
      </c>
      <c r="B21" t="str">
        <f t="shared" si="0"/>
        <v>Young Adults</v>
      </c>
      <c r="C21">
        <v>1</v>
      </c>
      <c r="D21" t="s">
        <v>36</v>
      </c>
      <c r="E21">
        <v>1362</v>
      </c>
      <c r="F21" t="s">
        <v>45</v>
      </c>
      <c r="G21">
        <v>10</v>
      </c>
      <c r="H21" t="str" cm="1">
        <f t="array" ref="H21">_xlfn.IFS(G21&gt;15,"Long Commute",G21&gt;5,"Moderate",G21&lt;=5,"Near Office")</f>
        <v>Moderate</v>
      </c>
      <c r="I21" t="s">
        <v>78</v>
      </c>
      <c r="J21" t="s">
        <v>51</v>
      </c>
      <c r="K21">
        <v>4</v>
      </c>
      <c r="L21" t="s">
        <v>46</v>
      </c>
      <c r="M21">
        <v>32</v>
      </c>
      <c r="N21">
        <v>3</v>
      </c>
      <c r="O21">
        <v>1</v>
      </c>
      <c r="P21" t="s">
        <v>47</v>
      </c>
      <c r="Q21" t="s">
        <v>73</v>
      </c>
      <c r="R21" t="s">
        <v>41</v>
      </c>
      <c r="S21">
        <v>1009</v>
      </c>
      <c r="T21" t="str" cm="1">
        <f t="array" ref="T21">_xlfn.IFS(S21&gt;=10000,"High (&gt;10k)",S21&gt;=5000,"Medium (5k-10k)",S21&lt;5000,"Low (&lt;5k)")</f>
        <v>Low (&lt;5k)</v>
      </c>
      <c r="U21">
        <v>26999</v>
      </c>
      <c r="V21">
        <v>1</v>
      </c>
      <c r="W21" t="s">
        <v>35</v>
      </c>
      <c r="X21">
        <v>11</v>
      </c>
      <c r="Y21">
        <v>3</v>
      </c>
      <c r="Z21">
        <v>4</v>
      </c>
      <c r="AA21">
        <v>0</v>
      </c>
      <c r="AB21">
        <v>1</v>
      </c>
      <c r="AC21">
        <v>5</v>
      </c>
      <c r="AD21" t="s">
        <v>74</v>
      </c>
      <c r="AE21">
        <v>1</v>
      </c>
      <c r="AF21" t="str" cm="1">
        <f t="array" ref="AF21">_xlfn.IFS(AE21&gt;=10,"Veteran (10y+)",AE21&gt;=3,"Established (3-10y)",AE21&lt;3,"New Hire (&lt;3y)")</f>
        <v>New Hire (&lt;3y)</v>
      </c>
      <c r="AG21">
        <v>0</v>
      </c>
      <c r="AH21">
        <v>1</v>
      </c>
      <c r="AI21">
        <v>1</v>
      </c>
    </row>
    <row r="22" spans="1:35">
      <c r="A22">
        <v>20</v>
      </c>
      <c r="B22" t="str">
        <f t="shared" si="0"/>
        <v>Young Adults</v>
      </c>
      <c r="C22">
        <v>1</v>
      </c>
      <c r="D22" t="s">
        <v>36</v>
      </c>
      <c r="E22">
        <v>500</v>
      </c>
      <c r="F22" t="s">
        <v>37</v>
      </c>
      <c r="G22">
        <v>2</v>
      </c>
      <c r="H22" t="str" cm="1">
        <f t="array" ref="H22">_xlfn.IFS(G22&gt;15,"Long Commute",G22&gt;5,"Moderate",G22&lt;=5,"Near Office")</f>
        <v>Near Office</v>
      </c>
      <c r="I22" t="s">
        <v>72</v>
      </c>
      <c r="J22" t="s">
        <v>51</v>
      </c>
      <c r="K22">
        <v>3</v>
      </c>
      <c r="L22" t="s">
        <v>39</v>
      </c>
      <c r="M22">
        <v>49</v>
      </c>
      <c r="N22">
        <v>2</v>
      </c>
      <c r="O22">
        <v>1</v>
      </c>
      <c r="P22" t="s">
        <v>57</v>
      </c>
      <c r="Q22" t="s">
        <v>73</v>
      </c>
      <c r="R22" t="s">
        <v>41</v>
      </c>
      <c r="S22">
        <v>2044</v>
      </c>
      <c r="T22" t="str" cm="1">
        <f t="array" ref="T22">_xlfn.IFS(S22&gt;=10000,"High (&gt;10k)",S22&gt;=5000,"Medium (5k-10k)",S22&lt;5000,"Low (&lt;5k)")</f>
        <v>Low (&lt;5k)</v>
      </c>
      <c r="U22">
        <v>22052</v>
      </c>
      <c r="V22">
        <v>1</v>
      </c>
      <c r="W22" t="s">
        <v>43</v>
      </c>
      <c r="X22">
        <v>13</v>
      </c>
      <c r="Y22">
        <v>3</v>
      </c>
      <c r="Z22">
        <v>4</v>
      </c>
      <c r="AA22">
        <v>0</v>
      </c>
      <c r="AB22">
        <v>2</v>
      </c>
      <c r="AC22">
        <v>3</v>
      </c>
      <c r="AD22" t="s">
        <v>81</v>
      </c>
      <c r="AE22">
        <v>2</v>
      </c>
      <c r="AF22" t="str" cm="1">
        <f t="array" ref="AF22">_xlfn.IFS(AE22&gt;=10,"Veteran (10y+)",AE22&gt;=3,"Established (3-10y)",AE22&lt;3,"New Hire (&lt;3y)")</f>
        <v>New Hire (&lt;3y)</v>
      </c>
      <c r="AG22">
        <v>2</v>
      </c>
      <c r="AH22">
        <v>0</v>
      </c>
      <c r="AI22">
        <v>2</v>
      </c>
    </row>
    <row r="23" spans="1:35">
      <c r="A23">
        <v>20</v>
      </c>
      <c r="B23" t="str">
        <f t="shared" si="0"/>
        <v>Young Adults</v>
      </c>
      <c r="C23">
        <v>1</v>
      </c>
      <c r="D23" t="s">
        <v>36</v>
      </c>
      <c r="E23">
        <v>129</v>
      </c>
      <c r="F23" t="s">
        <v>45</v>
      </c>
      <c r="G23">
        <v>4</v>
      </c>
      <c r="H23" t="str" cm="1">
        <f t="array" ref="H23">_xlfn.IFS(G23&gt;15,"Long Commute",G23&gt;5,"Moderate",G23&lt;=5,"Near Office")</f>
        <v>Near Office</v>
      </c>
      <c r="I23" t="s">
        <v>72</v>
      </c>
      <c r="J23" t="s">
        <v>60</v>
      </c>
      <c r="K23">
        <v>1</v>
      </c>
      <c r="L23" t="s">
        <v>46</v>
      </c>
      <c r="M23">
        <v>84</v>
      </c>
      <c r="N23">
        <v>3</v>
      </c>
      <c r="O23">
        <v>1</v>
      </c>
      <c r="P23" t="s">
        <v>50</v>
      </c>
      <c r="Q23" t="s">
        <v>82</v>
      </c>
      <c r="R23" t="s">
        <v>41</v>
      </c>
      <c r="S23">
        <v>2973</v>
      </c>
      <c r="T23" t="str" cm="1">
        <f t="array" ref="T23">_xlfn.IFS(S23&gt;=10000,"High (&gt;10k)",S23&gt;=5000,"Medium (5k-10k)",S23&lt;5000,"Low (&lt;5k)")</f>
        <v>Low (&lt;5k)</v>
      </c>
      <c r="U23">
        <v>13008</v>
      </c>
      <c r="V23">
        <v>1</v>
      </c>
      <c r="W23" t="s">
        <v>43</v>
      </c>
      <c r="X23">
        <v>19</v>
      </c>
      <c r="Y23">
        <v>3</v>
      </c>
      <c r="Z23">
        <v>2</v>
      </c>
      <c r="AA23">
        <v>0</v>
      </c>
      <c r="AB23">
        <v>1</v>
      </c>
      <c r="AC23">
        <v>2</v>
      </c>
      <c r="AD23" t="s">
        <v>74</v>
      </c>
      <c r="AE23">
        <v>1</v>
      </c>
      <c r="AF23" t="str" cm="1">
        <f t="array" ref="AF23">_xlfn.IFS(AE23&gt;=10,"Veteran (10y+)",AE23&gt;=3,"Established (3-10y)",AE23&lt;3,"New Hire (&lt;3y)")</f>
        <v>New Hire (&lt;3y)</v>
      </c>
      <c r="AG23">
        <v>0</v>
      </c>
      <c r="AH23">
        <v>0</v>
      </c>
      <c r="AI23">
        <v>0</v>
      </c>
    </row>
    <row r="24" spans="1:35">
      <c r="A24">
        <v>20</v>
      </c>
      <c r="B24" t="str">
        <f t="shared" si="0"/>
        <v>Young Adults</v>
      </c>
      <c r="C24">
        <v>1</v>
      </c>
      <c r="D24" t="s">
        <v>36</v>
      </c>
      <c r="E24">
        <v>1097</v>
      </c>
      <c r="F24" t="s">
        <v>45</v>
      </c>
      <c r="G24">
        <v>11</v>
      </c>
      <c r="H24" t="str" cm="1">
        <f t="array" ref="H24">_xlfn.IFS(G24&gt;15,"Long Commute",G24&gt;5,"Moderate",G24&lt;=5,"Near Office")</f>
        <v>Moderate</v>
      </c>
      <c r="I24" t="s">
        <v>72</v>
      </c>
      <c r="J24" t="s">
        <v>51</v>
      </c>
      <c r="K24">
        <v>4</v>
      </c>
      <c r="L24" t="s">
        <v>39</v>
      </c>
      <c r="M24">
        <v>98</v>
      </c>
      <c r="N24">
        <v>2</v>
      </c>
      <c r="O24">
        <v>1</v>
      </c>
      <c r="P24" t="s">
        <v>47</v>
      </c>
      <c r="Q24" t="s">
        <v>82</v>
      </c>
      <c r="R24" t="s">
        <v>41</v>
      </c>
      <c r="S24">
        <v>2600</v>
      </c>
      <c r="T24" t="str" cm="1">
        <f t="array" ref="T24">_xlfn.IFS(S24&gt;=10000,"High (&gt;10k)",S24&gt;=5000,"Medium (5k-10k)",S24&lt;5000,"Low (&lt;5k)")</f>
        <v>Low (&lt;5k)</v>
      </c>
      <c r="U24">
        <v>18275</v>
      </c>
      <c r="V24">
        <v>1</v>
      </c>
      <c r="W24" t="s">
        <v>35</v>
      </c>
      <c r="X24">
        <v>15</v>
      </c>
      <c r="Y24">
        <v>3</v>
      </c>
      <c r="Z24">
        <v>1</v>
      </c>
      <c r="AA24">
        <v>0</v>
      </c>
      <c r="AB24">
        <v>1</v>
      </c>
      <c r="AC24">
        <v>2</v>
      </c>
      <c r="AD24" t="s">
        <v>74</v>
      </c>
      <c r="AE24">
        <v>1</v>
      </c>
      <c r="AF24" t="str" cm="1">
        <f t="array" ref="AF24">_xlfn.IFS(AE24&gt;=10,"Veteran (10y+)",AE24&gt;=3,"Established (3-10y)",AE24&lt;3,"New Hire (&lt;3y)")</f>
        <v>New Hire (&lt;3y)</v>
      </c>
      <c r="AG24">
        <v>0</v>
      </c>
      <c r="AH24">
        <v>0</v>
      </c>
      <c r="AI24">
        <v>0</v>
      </c>
    </row>
    <row r="25" spans="1:35">
      <c r="A25">
        <v>20</v>
      </c>
      <c r="B25" t="str">
        <f t="shared" si="0"/>
        <v>Young Adults</v>
      </c>
      <c r="C25">
        <v>1</v>
      </c>
      <c r="D25" t="s">
        <v>44</v>
      </c>
      <c r="E25">
        <v>769</v>
      </c>
      <c r="F25" t="s">
        <v>37</v>
      </c>
      <c r="G25">
        <v>9</v>
      </c>
      <c r="H25" t="str" cm="1">
        <f t="array" ref="H25">_xlfn.IFS(G25&gt;15,"Long Commute",G25&gt;5,"Moderate",G25&lt;=5,"Near Office")</f>
        <v>Moderate</v>
      </c>
      <c r="I25" t="s">
        <v>72</v>
      </c>
      <c r="J25" t="s">
        <v>59</v>
      </c>
      <c r="K25">
        <v>4</v>
      </c>
      <c r="L25" t="s">
        <v>39</v>
      </c>
      <c r="M25">
        <v>54</v>
      </c>
      <c r="N25">
        <v>3</v>
      </c>
      <c r="O25">
        <v>1</v>
      </c>
      <c r="P25" t="s">
        <v>57</v>
      </c>
      <c r="Q25" t="s">
        <v>77</v>
      </c>
      <c r="R25" t="s">
        <v>41</v>
      </c>
      <c r="S25">
        <v>2323</v>
      </c>
      <c r="T25" t="str" cm="1">
        <f t="array" ref="T25">_xlfn.IFS(S25&gt;=10000,"High (&gt;10k)",S25&gt;=5000,"Medium (5k-10k)",S25&lt;5000,"Low (&lt;5k)")</f>
        <v>Low (&lt;5k)</v>
      </c>
      <c r="U25">
        <v>17205</v>
      </c>
      <c r="V25">
        <v>1</v>
      </c>
      <c r="W25" t="s">
        <v>35</v>
      </c>
      <c r="X25">
        <v>14</v>
      </c>
      <c r="Y25">
        <v>3</v>
      </c>
      <c r="Z25">
        <v>2</v>
      </c>
      <c r="AA25">
        <v>0</v>
      </c>
      <c r="AB25">
        <v>2</v>
      </c>
      <c r="AC25">
        <v>3</v>
      </c>
      <c r="AD25" t="s">
        <v>74</v>
      </c>
      <c r="AE25">
        <v>2</v>
      </c>
      <c r="AF25" t="str" cm="1">
        <f t="array" ref="AF25">_xlfn.IFS(AE25&gt;=10,"Veteran (10y+)",AE25&gt;=3,"Established (3-10y)",AE25&lt;3,"New Hire (&lt;3y)")</f>
        <v>New Hire (&lt;3y)</v>
      </c>
      <c r="AG25">
        <v>2</v>
      </c>
      <c r="AH25">
        <v>0</v>
      </c>
      <c r="AI25">
        <v>2</v>
      </c>
    </row>
    <row r="26" spans="1:35">
      <c r="A26">
        <v>20</v>
      </c>
      <c r="B26" t="str">
        <f t="shared" si="0"/>
        <v>Young Adults</v>
      </c>
      <c r="C26">
        <v>0</v>
      </c>
      <c r="D26" t="s">
        <v>36</v>
      </c>
      <c r="E26">
        <v>805</v>
      </c>
      <c r="F26" t="s">
        <v>45</v>
      </c>
      <c r="G26">
        <v>3</v>
      </c>
      <c r="H26" t="str" cm="1">
        <f t="array" ref="H26">_xlfn.IFS(G26&gt;15,"Long Commute",G26&gt;5,"Moderate",G26&lt;=5,"Near Office")</f>
        <v>Near Office</v>
      </c>
      <c r="I26" t="s">
        <v>72</v>
      </c>
      <c r="J26" t="s">
        <v>38</v>
      </c>
      <c r="K26">
        <v>1</v>
      </c>
      <c r="L26" t="s">
        <v>46</v>
      </c>
      <c r="M26">
        <v>87</v>
      </c>
      <c r="N26">
        <v>2</v>
      </c>
      <c r="O26">
        <v>1</v>
      </c>
      <c r="P26" t="s">
        <v>50</v>
      </c>
      <c r="Q26" t="s">
        <v>73</v>
      </c>
      <c r="R26" t="s">
        <v>41</v>
      </c>
      <c r="S26">
        <v>3033</v>
      </c>
      <c r="T26" t="str" cm="1">
        <f t="array" ref="T26">_xlfn.IFS(S26&gt;=10000,"High (&gt;10k)",S26&gt;=5000,"Medium (5k-10k)",S26&lt;5000,"Low (&lt;5k)")</f>
        <v>Low (&lt;5k)</v>
      </c>
      <c r="U26">
        <v>12828</v>
      </c>
      <c r="V26">
        <v>1</v>
      </c>
      <c r="W26" t="s">
        <v>43</v>
      </c>
      <c r="X26">
        <v>12</v>
      </c>
      <c r="Y26">
        <v>3</v>
      </c>
      <c r="Z26">
        <v>1</v>
      </c>
      <c r="AA26">
        <v>0</v>
      </c>
      <c r="AB26">
        <v>2</v>
      </c>
      <c r="AC26">
        <v>2</v>
      </c>
      <c r="AD26" t="s">
        <v>81</v>
      </c>
      <c r="AE26">
        <v>2</v>
      </c>
      <c r="AF26" t="str" cm="1">
        <f t="array" ref="AF26">_xlfn.IFS(AE26&gt;=10,"Veteran (10y+)",AE26&gt;=3,"Established (3-10y)",AE26&lt;3,"New Hire (&lt;3y)")</f>
        <v>New Hire (&lt;3y)</v>
      </c>
      <c r="AG26">
        <v>2</v>
      </c>
      <c r="AH26">
        <v>1</v>
      </c>
      <c r="AI26">
        <v>2</v>
      </c>
    </row>
    <row r="27" spans="1:35">
      <c r="A27">
        <v>20</v>
      </c>
      <c r="B27" t="str">
        <f t="shared" si="0"/>
        <v>Young Adults</v>
      </c>
      <c r="C27">
        <v>0</v>
      </c>
      <c r="D27" t="s">
        <v>36</v>
      </c>
      <c r="E27">
        <v>654</v>
      </c>
      <c r="F27" t="s">
        <v>37</v>
      </c>
      <c r="G27">
        <v>21</v>
      </c>
      <c r="H27" t="str" cm="1">
        <f t="array" ref="H27">_xlfn.IFS(G27&gt;15,"Long Commute",G27&gt;5,"Moderate",G27&lt;=5,"Near Office")</f>
        <v>Long Commute</v>
      </c>
      <c r="I27" t="s">
        <v>72</v>
      </c>
      <c r="J27" t="s">
        <v>59</v>
      </c>
      <c r="K27">
        <v>3</v>
      </c>
      <c r="L27" t="s">
        <v>46</v>
      </c>
      <c r="M27">
        <v>43</v>
      </c>
      <c r="N27">
        <v>4</v>
      </c>
      <c r="O27">
        <v>1</v>
      </c>
      <c r="P27" t="s">
        <v>57</v>
      </c>
      <c r="Q27" t="s">
        <v>77</v>
      </c>
      <c r="R27" t="s">
        <v>41</v>
      </c>
      <c r="S27">
        <v>2678</v>
      </c>
      <c r="T27" t="str" cm="1">
        <f t="array" ref="T27">_xlfn.IFS(S27&gt;=10000,"High (&gt;10k)",S27&gt;=5000,"Medium (5k-10k)",S27&lt;5000,"Low (&lt;5k)")</f>
        <v>Low (&lt;5k)</v>
      </c>
      <c r="U27">
        <v>5050</v>
      </c>
      <c r="V27">
        <v>1</v>
      </c>
      <c r="W27" t="s">
        <v>43</v>
      </c>
      <c r="X27">
        <v>17</v>
      </c>
      <c r="Y27">
        <v>3</v>
      </c>
      <c r="Z27">
        <v>4</v>
      </c>
      <c r="AA27">
        <v>0</v>
      </c>
      <c r="AB27">
        <v>2</v>
      </c>
      <c r="AC27">
        <v>2</v>
      </c>
      <c r="AD27" t="s">
        <v>74</v>
      </c>
      <c r="AE27">
        <v>2</v>
      </c>
      <c r="AF27" t="str" cm="1">
        <f t="array" ref="AF27">_xlfn.IFS(AE27&gt;=10,"Veteran (10y+)",AE27&gt;=3,"Established (3-10y)",AE27&lt;3,"New Hire (&lt;3y)")</f>
        <v>New Hire (&lt;3y)</v>
      </c>
      <c r="AG27">
        <v>1</v>
      </c>
      <c r="AH27">
        <v>2</v>
      </c>
      <c r="AI27">
        <v>2</v>
      </c>
    </row>
    <row r="28" spans="1:35">
      <c r="A28">
        <v>20</v>
      </c>
      <c r="B28" t="str">
        <f t="shared" si="0"/>
        <v>Young Adults</v>
      </c>
      <c r="C28">
        <v>0</v>
      </c>
      <c r="D28" t="s">
        <v>36</v>
      </c>
      <c r="E28">
        <v>1141</v>
      </c>
      <c r="F28" t="s">
        <v>37</v>
      </c>
      <c r="G28">
        <v>2</v>
      </c>
      <c r="H28" t="str" cm="1">
        <f t="array" ref="H28">_xlfn.IFS(G28&gt;15,"Long Commute",G28&gt;5,"Moderate",G28&lt;=5,"Near Office")</f>
        <v>Near Office</v>
      </c>
      <c r="I28" t="s">
        <v>72</v>
      </c>
      <c r="J28" t="s">
        <v>51</v>
      </c>
      <c r="K28">
        <v>3</v>
      </c>
      <c r="L28" t="s">
        <v>39</v>
      </c>
      <c r="M28">
        <v>31</v>
      </c>
      <c r="N28">
        <v>3</v>
      </c>
      <c r="O28">
        <v>1</v>
      </c>
      <c r="P28" t="s">
        <v>57</v>
      </c>
      <c r="Q28" t="s">
        <v>73</v>
      </c>
      <c r="R28" t="s">
        <v>41</v>
      </c>
      <c r="S28">
        <v>2783</v>
      </c>
      <c r="T28" t="str" cm="1">
        <f t="array" ref="T28">_xlfn.IFS(S28&gt;=10000,"High (&gt;10k)",S28&gt;=5000,"Medium (5k-10k)",S28&lt;5000,"Low (&lt;5k)")</f>
        <v>Low (&lt;5k)</v>
      </c>
      <c r="U28">
        <v>13251</v>
      </c>
      <c r="V28">
        <v>1</v>
      </c>
      <c r="W28" t="s">
        <v>43</v>
      </c>
      <c r="X28">
        <v>19</v>
      </c>
      <c r="Y28">
        <v>3</v>
      </c>
      <c r="Z28">
        <v>1</v>
      </c>
      <c r="AA28">
        <v>0</v>
      </c>
      <c r="AB28">
        <v>2</v>
      </c>
      <c r="AC28">
        <v>3</v>
      </c>
      <c r="AD28" t="s">
        <v>74</v>
      </c>
      <c r="AE28">
        <v>2</v>
      </c>
      <c r="AF28" t="str" cm="1">
        <f t="array" ref="AF28">_xlfn.IFS(AE28&gt;=10,"Veteran (10y+)",AE28&gt;=3,"Established (3-10y)",AE28&lt;3,"New Hire (&lt;3y)")</f>
        <v>New Hire (&lt;3y)</v>
      </c>
      <c r="AG28">
        <v>2</v>
      </c>
      <c r="AH28">
        <v>2</v>
      </c>
      <c r="AI28">
        <v>2</v>
      </c>
    </row>
    <row r="29" spans="1:35">
      <c r="A29">
        <v>20</v>
      </c>
      <c r="B29" t="str">
        <f t="shared" si="0"/>
        <v>Young Adults</v>
      </c>
      <c r="C29">
        <v>0</v>
      </c>
      <c r="D29" t="s">
        <v>36</v>
      </c>
      <c r="E29">
        <v>727</v>
      </c>
      <c r="F29" t="s">
        <v>37</v>
      </c>
      <c r="G29">
        <v>9</v>
      </c>
      <c r="H29" t="str" cm="1">
        <f t="array" ref="H29">_xlfn.IFS(G29&gt;15,"Long Commute",G29&gt;5,"Moderate",G29&lt;=5,"Near Office")</f>
        <v>Moderate</v>
      </c>
      <c r="I29" t="s">
        <v>78</v>
      </c>
      <c r="J29" t="s">
        <v>38</v>
      </c>
      <c r="K29">
        <v>4</v>
      </c>
      <c r="L29" t="s">
        <v>46</v>
      </c>
      <c r="M29">
        <v>54</v>
      </c>
      <c r="N29">
        <v>3</v>
      </c>
      <c r="O29">
        <v>1</v>
      </c>
      <c r="P29" t="s">
        <v>57</v>
      </c>
      <c r="Q29" t="s">
        <v>82</v>
      </c>
      <c r="R29" t="s">
        <v>41</v>
      </c>
      <c r="S29">
        <v>2728</v>
      </c>
      <c r="T29" t="str" cm="1">
        <f t="array" ref="T29">_xlfn.IFS(S29&gt;=10000,"High (&gt;10k)",S29&gt;=5000,"Medium (5k-10k)",S29&lt;5000,"Low (&lt;5k)")</f>
        <v>Low (&lt;5k)</v>
      </c>
      <c r="U29">
        <v>21082</v>
      </c>
      <c r="V29">
        <v>1</v>
      </c>
      <c r="W29" t="s">
        <v>43</v>
      </c>
      <c r="X29">
        <v>11</v>
      </c>
      <c r="Y29">
        <v>3</v>
      </c>
      <c r="Z29">
        <v>1</v>
      </c>
      <c r="AA29">
        <v>0</v>
      </c>
      <c r="AB29">
        <v>2</v>
      </c>
      <c r="AC29">
        <v>3</v>
      </c>
      <c r="AD29" t="s">
        <v>74</v>
      </c>
      <c r="AE29">
        <v>2</v>
      </c>
      <c r="AF29" t="str" cm="1">
        <f t="array" ref="AF29">_xlfn.IFS(AE29&gt;=10,"Veteran (10y+)",AE29&gt;=3,"Established (3-10y)",AE29&lt;3,"New Hire (&lt;3y)")</f>
        <v>New Hire (&lt;3y)</v>
      </c>
      <c r="AG29">
        <v>2</v>
      </c>
      <c r="AH29">
        <v>0</v>
      </c>
      <c r="AI29">
        <v>2</v>
      </c>
    </row>
    <row r="30" spans="1:35">
      <c r="A30">
        <v>21</v>
      </c>
      <c r="B30" t="str">
        <f t="shared" si="0"/>
        <v>Young Adults</v>
      </c>
      <c r="C30">
        <v>0</v>
      </c>
      <c r="D30" t="s">
        <v>36</v>
      </c>
      <c r="E30">
        <v>391</v>
      </c>
      <c r="F30" t="s">
        <v>45</v>
      </c>
      <c r="G30">
        <v>15</v>
      </c>
      <c r="H30" t="str" cm="1">
        <f t="array" ref="H30">_xlfn.IFS(G30&gt;15,"Long Commute",G30&gt;5,"Moderate",G30&lt;=5,"Near Office")</f>
        <v>Moderate</v>
      </c>
      <c r="I30" t="s">
        <v>76</v>
      </c>
      <c r="J30" t="s">
        <v>38</v>
      </c>
      <c r="K30">
        <v>3</v>
      </c>
      <c r="L30" t="s">
        <v>46</v>
      </c>
      <c r="M30">
        <v>96</v>
      </c>
      <c r="N30">
        <v>3</v>
      </c>
      <c r="O30">
        <v>1</v>
      </c>
      <c r="P30" t="s">
        <v>47</v>
      </c>
      <c r="Q30" t="s">
        <v>77</v>
      </c>
      <c r="R30" t="s">
        <v>41</v>
      </c>
      <c r="S30">
        <v>1232</v>
      </c>
      <c r="T30" t="str" cm="1">
        <f t="array" ref="T30">_xlfn.IFS(S30&gt;=10000,"High (&gt;10k)",S30&gt;=5000,"Medium (5k-10k)",S30&lt;5000,"Low (&lt;5k)")</f>
        <v>Low (&lt;5k)</v>
      </c>
      <c r="U30">
        <v>19281</v>
      </c>
      <c r="V30">
        <v>1</v>
      </c>
      <c r="W30" t="s">
        <v>43</v>
      </c>
      <c r="X30">
        <v>14</v>
      </c>
      <c r="Y30">
        <v>3</v>
      </c>
      <c r="Z30">
        <v>4</v>
      </c>
      <c r="AA30">
        <v>0</v>
      </c>
      <c r="AB30">
        <v>0</v>
      </c>
      <c r="AC30">
        <v>6</v>
      </c>
      <c r="AD30" t="s">
        <v>74</v>
      </c>
      <c r="AE30">
        <v>0</v>
      </c>
      <c r="AF30" t="str" cm="1">
        <f t="array" ref="AF30">_xlfn.IFS(AE30&gt;=10,"Veteran (10y+)",AE30&gt;=3,"Established (3-10y)",AE30&lt;3,"New Hire (&lt;3y)")</f>
        <v>New Hire (&lt;3y)</v>
      </c>
      <c r="AG30">
        <v>0</v>
      </c>
      <c r="AH30">
        <v>0</v>
      </c>
      <c r="AI30">
        <v>0</v>
      </c>
    </row>
    <row r="31" spans="1:35">
      <c r="A31">
        <v>21</v>
      </c>
      <c r="B31" t="str">
        <f t="shared" si="0"/>
        <v>Young Adults</v>
      </c>
      <c r="C31">
        <v>0</v>
      </c>
      <c r="D31" t="s">
        <v>36</v>
      </c>
      <c r="E31">
        <v>996</v>
      </c>
      <c r="F31" t="s">
        <v>45</v>
      </c>
      <c r="G31">
        <v>3</v>
      </c>
      <c r="H31" t="str" cm="1">
        <f t="array" ref="H31">_xlfn.IFS(G31&gt;15,"Long Commute",G31&gt;5,"Moderate",G31&lt;=5,"Near Office")</f>
        <v>Near Office</v>
      </c>
      <c r="I31" t="s">
        <v>76</v>
      </c>
      <c r="J31" t="s">
        <v>51</v>
      </c>
      <c r="K31">
        <v>4</v>
      </c>
      <c r="L31" t="s">
        <v>46</v>
      </c>
      <c r="M31">
        <v>100</v>
      </c>
      <c r="N31">
        <v>2</v>
      </c>
      <c r="O31">
        <v>1</v>
      </c>
      <c r="P31" t="s">
        <v>47</v>
      </c>
      <c r="Q31" t="s">
        <v>73</v>
      </c>
      <c r="R31" t="s">
        <v>41</v>
      </c>
      <c r="S31">
        <v>3230</v>
      </c>
      <c r="T31" t="str" cm="1">
        <f t="array" ref="T31">_xlfn.IFS(S31&gt;=10000,"High (&gt;10k)",S31&gt;=5000,"Medium (5k-10k)",S31&lt;5000,"Low (&lt;5k)")</f>
        <v>Low (&lt;5k)</v>
      </c>
      <c r="U31">
        <v>10531</v>
      </c>
      <c r="V31">
        <v>1</v>
      </c>
      <c r="W31" t="s">
        <v>43</v>
      </c>
      <c r="X31">
        <v>17</v>
      </c>
      <c r="Y31">
        <v>3</v>
      </c>
      <c r="Z31">
        <v>1</v>
      </c>
      <c r="AA31">
        <v>0</v>
      </c>
      <c r="AB31">
        <v>3</v>
      </c>
      <c r="AC31">
        <v>4</v>
      </c>
      <c r="AD31" t="s">
        <v>79</v>
      </c>
      <c r="AE31">
        <v>3</v>
      </c>
      <c r="AF31" t="str" cm="1">
        <f t="array" ref="AF31">_xlfn.IFS(AE31&gt;=10,"Veteran (10y+)",AE31&gt;=3,"Established (3-10y)",AE31&lt;3,"New Hire (&lt;3y)")</f>
        <v>Established (3-10y)</v>
      </c>
      <c r="AG31">
        <v>2</v>
      </c>
      <c r="AH31">
        <v>1</v>
      </c>
      <c r="AI31">
        <v>0</v>
      </c>
    </row>
    <row r="32" spans="1:35">
      <c r="A32">
        <v>21</v>
      </c>
      <c r="B32" t="str">
        <f t="shared" si="0"/>
        <v>Young Adults</v>
      </c>
      <c r="C32">
        <v>1</v>
      </c>
      <c r="D32" t="s">
        <v>44</v>
      </c>
      <c r="E32">
        <v>756</v>
      </c>
      <c r="F32" t="s">
        <v>37</v>
      </c>
      <c r="G32">
        <v>1</v>
      </c>
      <c r="H32" t="str" cm="1">
        <f t="array" ref="H32">_xlfn.IFS(G32&gt;15,"Long Commute",G32&gt;5,"Moderate",G32&lt;=5,"Near Office")</f>
        <v>Near Office</v>
      </c>
      <c r="I32" t="s">
        <v>78</v>
      </c>
      <c r="J32" t="s">
        <v>60</v>
      </c>
      <c r="K32">
        <v>1</v>
      </c>
      <c r="L32" t="s">
        <v>39</v>
      </c>
      <c r="M32">
        <v>99</v>
      </c>
      <c r="N32">
        <v>2</v>
      </c>
      <c r="O32">
        <v>1</v>
      </c>
      <c r="P32" t="s">
        <v>57</v>
      </c>
      <c r="Q32" t="s">
        <v>75</v>
      </c>
      <c r="R32" t="s">
        <v>41</v>
      </c>
      <c r="S32">
        <v>2174</v>
      </c>
      <c r="T32" t="str" cm="1">
        <f t="array" ref="T32">_xlfn.IFS(S32&gt;=10000,"High (&gt;10k)",S32&gt;=5000,"Medium (5k-10k)",S32&lt;5000,"Low (&lt;5k)")</f>
        <v>Low (&lt;5k)</v>
      </c>
      <c r="U32">
        <v>9150</v>
      </c>
      <c r="V32">
        <v>1</v>
      </c>
      <c r="W32" t="s">
        <v>35</v>
      </c>
      <c r="X32">
        <v>11</v>
      </c>
      <c r="Y32">
        <v>3</v>
      </c>
      <c r="Z32">
        <v>3</v>
      </c>
      <c r="AA32">
        <v>0</v>
      </c>
      <c r="AB32">
        <v>3</v>
      </c>
      <c r="AC32">
        <v>3</v>
      </c>
      <c r="AD32" t="s">
        <v>74</v>
      </c>
      <c r="AE32">
        <v>3</v>
      </c>
      <c r="AF32" t="str" cm="1">
        <f t="array" ref="AF32">_xlfn.IFS(AE32&gt;=10,"Veteran (10y+)",AE32&gt;=3,"Established (3-10y)",AE32&lt;3,"New Hire (&lt;3y)")</f>
        <v>Established (3-10y)</v>
      </c>
      <c r="AG32">
        <v>2</v>
      </c>
      <c r="AH32">
        <v>1</v>
      </c>
      <c r="AI32">
        <v>2</v>
      </c>
    </row>
    <row r="33" spans="1:35">
      <c r="A33">
        <v>21</v>
      </c>
      <c r="B33" t="str">
        <f t="shared" si="0"/>
        <v>Young Adults</v>
      </c>
      <c r="C33">
        <v>0</v>
      </c>
      <c r="D33" t="s">
        <v>55</v>
      </c>
      <c r="E33">
        <v>895</v>
      </c>
      <c r="F33" t="s">
        <v>37</v>
      </c>
      <c r="G33">
        <v>9</v>
      </c>
      <c r="H33" t="str" cm="1">
        <f t="array" ref="H33">_xlfn.IFS(G33&gt;15,"Long Commute",G33&gt;5,"Moderate",G33&lt;=5,"Near Office")</f>
        <v>Moderate</v>
      </c>
      <c r="I33" t="s">
        <v>76</v>
      </c>
      <c r="J33" t="s">
        <v>51</v>
      </c>
      <c r="K33">
        <v>1</v>
      </c>
      <c r="L33" t="s">
        <v>46</v>
      </c>
      <c r="M33">
        <v>39</v>
      </c>
      <c r="N33">
        <v>3</v>
      </c>
      <c r="O33">
        <v>1</v>
      </c>
      <c r="P33" t="s">
        <v>57</v>
      </c>
      <c r="Q33" t="s">
        <v>77</v>
      </c>
      <c r="R33" t="s">
        <v>41</v>
      </c>
      <c r="S33">
        <v>2610</v>
      </c>
      <c r="T33" t="str" cm="1">
        <f t="array" ref="T33">_xlfn.IFS(S33&gt;=10000,"High (&gt;10k)",S33&gt;=5000,"Medium (5k-10k)",S33&lt;5000,"Low (&lt;5k)")</f>
        <v>Low (&lt;5k)</v>
      </c>
      <c r="U33">
        <v>2851</v>
      </c>
      <c r="V33">
        <v>1</v>
      </c>
      <c r="W33" t="s">
        <v>43</v>
      </c>
      <c r="X33">
        <v>24</v>
      </c>
      <c r="Y33">
        <v>4</v>
      </c>
      <c r="Z33">
        <v>3</v>
      </c>
      <c r="AA33">
        <v>0</v>
      </c>
      <c r="AB33">
        <v>3</v>
      </c>
      <c r="AC33">
        <v>3</v>
      </c>
      <c r="AD33" t="s">
        <v>81</v>
      </c>
      <c r="AE33">
        <v>3</v>
      </c>
      <c r="AF33" t="str" cm="1">
        <f t="array" ref="AF33">_xlfn.IFS(AE33&gt;=10,"Veteran (10y+)",AE33&gt;=3,"Established (3-10y)",AE33&lt;3,"New Hire (&lt;3y)")</f>
        <v>Established (3-10y)</v>
      </c>
      <c r="AG33">
        <v>2</v>
      </c>
      <c r="AH33">
        <v>2</v>
      </c>
      <c r="AI33">
        <v>2</v>
      </c>
    </row>
    <row r="34" spans="1:35">
      <c r="A34">
        <v>21</v>
      </c>
      <c r="B34" t="str">
        <f t="shared" si="0"/>
        <v>Young Adults</v>
      </c>
      <c r="C34">
        <v>1</v>
      </c>
      <c r="D34" t="s">
        <v>36</v>
      </c>
      <c r="E34">
        <v>156</v>
      </c>
      <c r="F34" t="s">
        <v>37</v>
      </c>
      <c r="G34">
        <v>12</v>
      </c>
      <c r="H34" t="str" cm="1">
        <f t="array" ref="H34">_xlfn.IFS(G34&gt;15,"Long Commute",G34&gt;5,"Moderate",G34&lt;=5,"Near Office")</f>
        <v>Moderate</v>
      </c>
      <c r="I34" t="s">
        <v>72</v>
      </c>
      <c r="J34" t="s">
        <v>38</v>
      </c>
      <c r="K34">
        <v>3</v>
      </c>
      <c r="L34" t="s">
        <v>39</v>
      </c>
      <c r="M34">
        <v>90</v>
      </c>
      <c r="N34">
        <v>4</v>
      </c>
      <c r="O34">
        <v>1</v>
      </c>
      <c r="P34" t="s">
        <v>57</v>
      </c>
      <c r="Q34" t="s">
        <v>75</v>
      </c>
      <c r="R34" t="s">
        <v>41</v>
      </c>
      <c r="S34">
        <v>2716</v>
      </c>
      <c r="T34" t="str" cm="1">
        <f t="array" ref="T34">_xlfn.IFS(S34&gt;=10000,"High (&gt;10k)",S34&gt;=5000,"Medium (5k-10k)",S34&lt;5000,"Low (&lt;5k)")</f>
        <v>Low (&lt;5k)</v>
      </c>
      <c r="U34">
        <v>25422</v>
      </c>
      <c r="V34">
        <v>1</v>
      </c>
      <c r="W34" t="s">
        <v>43</v>
      </c>
      <c r="X34">
        <v>15</v>
      </c>
      <c r="Y34">
        <v>3</v>
      </c>
      <c r="Z34">
        <v>4</v>
      </c>
      <c r="AA34">
        <v>0</v>
      </c>
      <c r="AB34">
        <v>1</v>
      </c>
      <c r="AC34">
        <v>0</v>
      </c>
      <c r="AD34" t="s">
        <v>74</v>
      </c>
      <c r="AE34">
        <v>1</v>
      </c>
      <c r="AF34" t="str" cm="1">
        <f t="array" ref="AF34">_xlfn.IFS(AE34&gt;=10,"Veteran (10y+)",AE34&gt;=3,"Established (3-10y)",AE34&lt;3,"New Hire (&lt;3y)")</f>
        <v>New Hire (&lt;3y)</v>
      </c>
      <c r="AG34">
        <v>0</v>
      </c>
      <c r="AH34">
        <v>0</v>
      </c>
      <c r="AI34">
        <v>0</v>
      </c>
    </row>
    <row r="35" spans="1:35">
      <c r="A35">
        <v>21</v>
      </c>
      <c r="B35" t="str">
        <f t="shared" si="0"/>
        <v>Young Adults</v>
      </c>
      <c r="C35">
        <v>0</v>
      </c>
      <c r="D35" t="s">
        <v>36</v>
      </c>
      <c r="E35">
        <v>1343</v>
      </c>
      <c r="F35" t="s">
        <v>37</v>
      </c>
      <c r="G35">
        <v>22</v>
      </c>
      <c r="H35" t="str" cm="1">
        <f t="array" ref="H35">_xlfn.IFS(G35&gt;15,"Long Commute",G35&gt;5,"Moderate",G35&lt;=5,"Near Office")</f>
        <v>Long Commute</v>
      </c>
      <c r="I35" t="s">
        <v>78</v>
      </c>
      <c r="J35" t="s">
        <v>60</v>
      </c>
      <c r="K35">
        <v>3</v>
      </c>
      <c r="L35" t="s">
        <v>46</v>
      </c>
      <c r="M35">
        <v>49</v>
      </c>
      <c r="N35">
        <v>3</v>
      </c>
      <c r="O35">
        <v>1</v>
      </c>
      <c r="P35" t="s">
        <v>57</v>
      </c>
      <c r="Q35" t="s">
        <v>73</v>
      </c>
      <c r="R35" t="s">
        <v>41</v>
      </c>
      <c r="S35">
        <v>3447</v>
      </c>
      <c r="T35" t="str" cm="1">
        <f t="array" ref="T35">_xlfn.IFS(S35&gt;=10000,"High (&gt;10k)",S35&gt;=5000,"Medium (5k-10k)",S35&lt;5000,"Low (&lt;5k)")</f>
        <v>Low (&lt;5k)</v>
      </c>
      <c r="U35">
        <v>24444</v>
      </c>
      <c r="V35">
        <v>1</v>
      </c>
      <c r="W35" t="s">
        <v>43</v>
      </c>
      <c r="X35">
        <v>11</v>
      </c>
      <c r="Y35">
        <v>3</v>
      </c>
      <c r="Z35">
        <v>3</v>
      </c>
      <c r="AA35">
        <v>0</v>
      </c>
      <c r="AB35">
        <v>3</v>
      </c>
      <c r="AC35">
        <v>2</v>
      </c>
      <c r="AD35" t="s">
        <v>74</v>
      </c>
      <c r="AE35">
        <v>3</v>
      </c>
      <c r="AF35" t="str" cm="1">
        <f t="array" ref="AF35">_xlfn.IFS(AE35&gt;=10,"Veteran (10y+)",AE35&gt;=3,"Established (3-10y)",AE35&lt;3,"New Hire (&lt;3y)")</f>
        <v>Established (3-10y)</v>
      </c>
      <c r="AG35">
        <v>2</v>
      </c>
      <c r="AH35">
        <v>1</v>
      </c>
      <c r="AI35">
        <v>2</v>
      </c>
    </row>
    <row r="36" spans="1:35">
      <c r="A36">
        <v>21</v>
      </c>
      <c r="B36" t="str">
        <f t="shared" si="0"/>
        <v>Young Adults</v>
      </c>
      <c r="C36">
        <v>1</v>
      </c>
      <c r="D36" t="s">
        <v>36</v>
      </c>
      <c r="E36">
        <v>1427</v>
      </c>
      <c r="F36" t="s">
        <v>45</v>
      </c>
      <c r="G36">
        <v>18</v>
      </c>
      <c r="H36" t="str" cm="1">
        <f t="array" ref="H36">_xlfn.IFS(G36&gt;15,"Long Commute",G36&gt;5,"Moderate",G36&lt;=5,"Near Office")</f>
        <v>Long Commute</v>
      </c>
      <c r="I36" t="s">
        <v>78</v>
      </c>
      <c r="J36" t="s">
        <v>49</v>
      </c>
      <c r="K36">
        <v>4</v>
      </c>
      <c r="L36" t="s">
        <v>39</v>
      </c>
      <c r="M36">
        <v>65</v>
      </c>
      <c r="N36">
        <v>3</v>
      </c>
      <c r="O36">
        <v>1</v>
      </c>
      <c r="P36" t="s">
        <v>47</v>
      </c>
      <c r="Q36" t="s">
        <v>77</v>
      </c>
      <c r="R36" t="s">
        <v>41</v>
      </c>
      <c r="S36">
        <v>2693</v>
      </c>
      <c r="T36" t="str" cm="1">
        <f t="array" ref="T36">_xlfn.IFS(S36&gt;=10000,"High (&gt;10k)",S36&gt;=5000,"Medium (5k-10k)",S36&lt;5000,"Low (&lt;5k)")</f>
        <v>Low (&lt;5k)</v>
      </c>
      <c r="U36">
        <v>8870</v>
      </c>
      <c r="V36">
        <v>1</v>
      </c>
      <c r="W36" t="s">
        <v>43</v>
      </c>
      <c r="X36">
        <v>19</v>
      </c>
      <c r="Y36">
        <v>3</v>
      </c>
      <c r="Z36">
        <v>1</v>
      </c>
      <c r="AA36">
        <v>0</v>
      </c>
      <c r="AB36">
        <v>1</v>
      </c>
      <c r="AC36">
        <v>3</v>
      </c>
      <c r="AD36" t="s">
        <v>81</v>
      </c>
      <c r="AE36">
        <v>1</v>
      </c>
      <c r="AF36" t="str" cm="1">
        <f t="array" ref="AF36">_xlfn.IFS(AE36&gt;=10,"Veteran (10y+)",AE36&gt;=3,"Established (3-10y)",AE36&lt;3,"New Hire (&lt;3y)")</f>
        <v>New Hire (&lt;3y)</v>
      </c>
      <c r="AG36">
        <v>0</v>
      </c>
      <c r="AH36">
        <v>0</v>
      </c>
      <c r="AI36">
        <v>0</v>
      </c>
    </row>
    <row r="37" spans="1:35">
      <c r="A37">
        <v>21</v>
      </c>
      <c r="B37" t="str">
        <f t="shared" si="0"/>
        <v>Young Adults</v>
      </c>
      <c r="C37">
        <v>1</v>
      </c>
      <c r="D37" t="s">
        <v>36</v>
      </c>
      <c r="E37">
        <v>1334</v>
      </c>
      <c r="F37" t="s">
        <v>45</v>
      </c>
      <c r="G37">
        <v>10</v>
      </c>
      <c r="H37" t="str" cm="1">
        <f t="array" ref="H37">_xlfn.IFS(G37&gt;15,"Long Commute",G37&gt;5,"Moderate",G37&lt;=5,"Near Office")</f>
        <v>Moderate</v>
      </c>
      <c r="I37" t="s">
        <v>72</v>
      </c>
      <c r="J37" t="s">
        <v>38</v>
      </c>
      <c r="K37">
        <v>3</v>
      </c>
      <c r="L37" t="s">
        <v>39</v>
      </c>
      <c r="M37">
        <v>36</v>
      </c>
      <c r="N37">
        <v>2</v>
      </c>
      <c r="O37">
        <v>1</v>
      </c>
      <c r="P37" t="s">
        <v>50</v>
      </c>
      <c r="Q37" t="s">
        <v>82</v>
      </c>
      <c r="R37" t="s">
        <v>41</v>
      </c>
      <c r="S37">
        <v>1416</v>
      </c>
      <c r="T37" t="str" cm="1">
        <f t="array" ref="T37">_xlfn.IFS(S37&gt;=10000,"High (&gt;10k)",S37&gt;=5000,"Medium (5k-10k)",S37&lt;5000,"Low (&lt;5k)")</f>
        <v>Low (&lt;5k)</v>
      </c>
      <c r="U37">
        <v>17258</v>
      </c>
      <c r="V37">
        <v>1</v>
      </c>
      <c r="W37" t="s">
        <v>43</v>
      </c>
      <c r="X37">
        <v>13</v>
      </c>
      <c r="Y37">
        <v>3</v>
      </c>
      <c r="Z37">
        <v>1</v>
      </c>
      <c r="AA37">
        <v>0</v>
      </c>
      <c r="AB37">
        <v>1</v>
      </c>
      <c r="AC37">
        <v>6</v>
      </c>
      <c r="AD37" t="s">
        <v>81</v>
      </c>
      <c r="AE37">
        <v>1</v>
      </c>
      <c r="AF37" t="str" cm="1">
        <f t="array" ref="AF37">_xlfn.IFS(AE37&gt;=10,"Veteran (10y+)",AE37&gt;=3,"Established (3-10y)",AE37&lt;3,"New Hire (&lt;3y)")</f>
        <v>New Hire (&lt;3y)</v>
      </c>
      <c r="AG37">
        <v>0</v>
      </c>
      <c r="AH37">
        <v>1</v>
      </c>
      <c r="AI37">
        <v>0</v>
      </c>
    </row>
    <row r="38" spans="1:35">
      <c r="A38">
        <v>21</v>
      </c>
      <c r="B38" t="str">
        <f t="shared" si="0"/>
        <v>Young Adults</v>
      </c>
      <c r="C38">
        <v>0</v>
      </c>
      <c r="D38" t="s">
        <v>36</v>
      </c>
      <c r="E38">
        <v>984</v>
      </c>
      <c r="F38" t="s">
        <v>45</v>
      </c>
      <c r="G38">
        <v>1</v>
      </c>
      <c r="H38" t="str" cm="1">
        <f t="array" ref="H38">_xlfn.IFS(G38&gt;15,"Long Commute",G38&gt;5,"Moderate",G38&lt;=5,"Near Office")</f>
        <v>Near Office</v>
      </c>
      <c r="I38" t="s">
        <v>78</v>
      </c>
      <c r="J38" t="s">
        <v>60</v>
      </c>
      <c r="K38">
        <v>4</v>
      </c>
      <c r="L38" t="s">
        <v>39</v>
      </c>
      <c r="M38">
        <v>70</v>
      </c>
      <c r="N38">
        <v>2</v>
      </c>
      <c r="O38">
        <v>1</v>
      </c>
      <c r="P38" t="s">
        <v>47</v>
      </c>
      <c r="Q38" t="s">
        <v>75</v>
      </c>
      <c r="R38" t="s">
        <v>41</v>
      </c>
      <c r="S38">
        <v>2070</v>
      </c>
      <c r="T38" t="str" cm="1">
        <f t="array" ref="T38">_xlfn.IFS(S38&gt;=10000,"High (&gt;10k)",S38&gt;=5000,"Medium (5k-10k)",S38&lt;5000,"Low (&lt;5k)")</f>
        <v>Low (&lt;5k)</v>
      </c>
      <c r="U38">
        <v>25326</v>
      </c>
      <c r="V38">
        <v>1</v>
      </c>
      <c r="W38" t="s">
        <v>35</v>
      </c>
      <c r="X38">
        <v>11</v>
      </c>
      <c r="Y38">
        <v>3</v>
      </c>
      <c r="Z38">
        <v>3</v>
      </c>
      <c r="AA38">
        <v>0</v>
      </c>
      <c r="AB38">
        <v>2</v>
      </c>
      <c r="AC38">
        <v>6</v>
      </c>
      <c r="AD38" t="s">
        <v>79</v>
      </c>
      <c r="AE38">
        <v>2</v>
      </c>
      <c r="AF38" t="str" cm="1">
        <f t="array" ref="AF38">_xlfn.IFS(AE38&gt;=10,"Veteran (10y+)",AE38&gt;=3,"Established (3-10y)",AE38&lt;3,"New Hire (&lt;3y)")</f>
        <v>New Hire (&lt;3y)</v>
      </c>
      <c r="AG38">
        <v>2</v>
      </c>
      <c r="AH38">
        <v>2</v>
      </c>
      <c r="AI38">
        <v>2</v>
      </c>
    </row>
    <row r="39" spans="1:35">
      <c r="A39">
        <v>21</v>
      </c>
      <c r="B39" t="str">
        <f t="shared" si="0"/>
        <v>Young Adults</v>
      </c>
      <c r="C39">
        <v>1</v>
      </c>
      <c r="D39" t="s">
        <v>44</v>
      </c>
      <c r="E39">
        <v>251</v>
      </c>
      <c r="F39" t="s">
        <v>45</v>
      </c>
      <c r="G39">
        <v>10</v>
      </c>
      <c r="H39" t="str" cm="1">
        <f t="array" ref="H39">_xlfn.IFS(G39&gt;15,"Long Commute",G39&gt;5,"Moderate",G39&lt;=5,"Near Office")</f>
        <v>Moderate</v>
      </c>
      <c r="I39" t="s">
        <v>76</v>
      </c>
      <c r="J39" t="s">
        <v>38</v>
      </c>
      <c r="K39">
        <v>1</v>
      </c>
      <c r="L39" t="s">
        <v>39</v>
      </c>
      <c r="M39">
        <v>45</v>
      </c>
      <c r="N39">
        <v>2</v>
      </c>
      <c r="O39">
        <v>1</v>
      </c>
      <c r="P39" t="s">
        <v>50</v>
      </c>
      <c r="Q39" t="s">
        <v>73</v>
      </c>
      <c r="R39" t="s">
        <v>41</v>
      </c>
      <c r="S39">
        <v>2625</v>
      </c>
      <c r="T39" t="str" cm="1">
        <f t="array" ref="T39">_xlfn.IFS(S39&gt;=10000,"High (&gt;10k)",S39&gt;=5000,"Medium (5k-10k)",S39&lt;5000,"Low (&lt;5k)")</f>
        <v>Low (&lt;5k)</v>
      </c>
      <c r="U39">
        <v>25308</v>
      </c>
      <c r="V39">
        <v>1</v>
      </c>
      <c r="W39" t="s">
        <v>43</v>
      </c>
      <c r="X39">
        <v>20</v>
      </c>
      <c r="Y39">
        <v>4</v>
      </c>
      <c r="Z39">
        <v>3</v>
      </c>
      <c r="AA39">
        <v>0</v>
      </c>
      <c r="AB39">
        <v>2</v>
      </c>
      <c r="AC39">
        <v>2</v>
      </c>
      <c r="AD39" t="s">
        <v>80</v>
      </c>
      <c r="AE39">
        <v>2</v>
      </c>
      <c r="AF39" t="str" cm="1">
        <f t="array" ref="AF39">_xlfn.IFS(AE39&gt;=10,"Veteran (10y+)",AE39&gt;=3,"Established (3-10y)",AE39&lt;3,"New Hire (&lt;3y)")</f>
        <v>New Hire (&lt;3y)</v>
      </c>
      <c r="AG39">
        <v>2</v>
      </c>
      <c r="AH39">
        <v>2</v>
      </c>
      <c r="AI39">
        <v>2</v>
      </c>
    </row>
    <row r="40" spans="1:35">
      <c r="A40">
        <v>21</v>
      </c>
      <c r="B40" t="str">
        <f t="shared" si="0"/>
        <v>Young Adults</v>
      </c>
      <c r="C40">
        <v>0</v>
      </c>
      <c r="D40" t="s">
        <v>36</v>
      </c>
      <c r="E40">
        <v>546</v>
      </c>
      <c r="F40" t="s">
        <v>45</v>
      </c>
      <c r="G40">
        <v>5</v>
      </c>
      <c r="H40" t="str" cm="1">
        <f t="array" ref="H40">_xlfn.IFS(G40&gt;15,"Long Commute",G40&gt;5,"Moderate",G40&lt;=5,"Near Office")</f>
        <v>Near Office</v>
      </c>
      <c r="I40" t="s">
        <v>78</v>
      </c>
      <c r="J40" t="s">
        <v>51</v>
      </c>
      <c r="K40">
        <v>3</v>
      </c>
      <c r="L40" t="s">
        <v>46</v>
      </c>
      <c r="M40">
        <v>97</v>
      </c>
      <c r="N40">
        <v>3</v>
      </c>
      <c r="O40">
        <v>1</v>
      </c>
      <c r="P40" t="s">
        <v>47</v>
      </c>
      <c r="Q40" t="s">
        <v>77</v>
      </c>
      <c r="R40" t="s">
        <v>41</v>
      </c>
      <c r="S40">
        <v>3117</v>
      </c>
      <c r="T40" t="str" cm="1">
        <f t="array" ref="T40">_xlfn.IFS(S40&gt;=10000,"High (&gt;10k)",S40&gt;=5000,"Medium (5k-10k)",S40&lt;5000,"Low (&lt;5k)")</f>
        <v>Low (&lt;5k)</v>
      </c>
      <c r="U40">
        <v>26009</v>
      </c>
      <c r="V40">
        <v>1</v>
      </c>
      <c r="W40" t="s">
        <v>43</v>
      </c>
      <c r="X40">
        <v>18</v>
      </c>
      <c r="Y40">
        <v>3</v>
      </c>
      <c r="Z40">
        <v>3</v>
      </c>
      <c r="AA40">
        <v>0</v>
      </c>
      <c r="AB40">
        <v>3</v>
      </c>
      <c r="AC40">
        <v>2</v>
      </c>
      <c r="AD40" t="s">
        <v>74</v>
      </c>
      <c r="AE40">
        <v>2</v>
      </c>
      <c r="AF40" t="str" cm="1">
        <f t="array" ref="AF40">_xlfn.IFS(AE40&gt;=10,"Veteran (10y+)",AE40&gt;=3,"Established (3-10y)",AE40&lt;3,"New Hire (&lt;3y)")</f>
        <v>New Hire (&lt;3y)</v>
      </c>
      <c r="AG40">
        <v>2</v>
      </c>
      <c r="AH40">
        <v>2</v>
      </c>
      <c r="AI40">
        <v>2</v>
      </c>
    </row>
    <row r="41" spans="1:35">
      <c r="A41">
        <v>21</v>
      </c>
      <c r="B41" t="str">
        <f t="shared" si="0"/>
        <v>Young Adults</v>
      </c>
      <c r="C41">
        <v>1</v>
      </c>
      <c r="D41" t="s">
        <v>36</v>
      </c>
      <c r="E41">
        <v>337</v>
      </c>
      <c r="F41" t="s">
        <v>37</v>
      </c>
      <c r="G41">
        <v>7</v>
      </c>
      <c r="H41" t="str" cm="1">
        <f t="array" ref="H41">_xlfn.IFS(G41&gt;15,"Long Commute",G41&gt;5,"Moderate",G41&lt;=5,"Near Office")</f>
        <v>Moderate</v>
      </c>
      <c r="I41" t="s">
        <v>78</v>
      </c>
      <c r="J41" t="s">
        <v>59</v>
      </c>
      <c r="K41">
        <v>2</v>
      </c>
      <c r="L41" t="s">
        <v>46</v>
      </c>
      <c r="M41">
        <v>31</v>
      </c>
      <c r="N41">
        <v>3</v>
      </c>
      <c r="O41">
        <v>1</v>
      </c>
      <c r="P41" t="s">
        <v>57</v>
      </c>
      <c r="Q41" t="s">
        <v>75</v>
      </c>
      <c r="R41" t="s">
        <v>41</v>
      </c>
      <c r="S41">
        <v>2679</v>
      </c>
      <c r="T41" t="str" cm="1">
        <f t="array" ref="T41">_xlfn.IFS(S41&gt;=10000,"High (&gt;10k)",S41&gt;=5000,"Medium (5k-10k)",S41&lt;5000,"Low (&lt;5k)")</f>
        <v>Low (&lt;5k)</v>
      </c>
      <c r="U41">
        <v>4567</v>
      </c>
      <c r="V41">
        <v>1</v>
      </c>
      <c r="W41" t="s">
        <v>43</v>
      </c>
      <c r="X41">
        <v>13</v>
      </c>
      <c r="Y41">
        <v>3</v>
      </c>
      <c r="Z41">
        <v>2</v>
      </c>
      <c r="AA41">
        <v>0</v>
      </c>
      <c r="AB41">
        <v>1</v>
      </c>
      <c r="AC41">
        <v>3</v>
      </c>
      <c r="AD41" t="s">
        <v>74</v>
      </c>
      <c r="AE41">
        <v>1</v>
      </c>
      <c r="AF41" t="str" cm="1">
        <f t="array" ref="AF41">_xlfn.IFS(AE41&gt;=10,"Veteran (10y+)",AE41&gt;=3,"Established (3-10y)",AE41&lt;3,"New Hire (&lt;3y)")</f>
        <v>New Hire (&lt;3y)</v>
      </c>
      <c r="AG41">
        <v>0</v>
      </c>
      <c r="AH41">
        <v>1</v>
      </c>
      <c r="AI41">
        <v>0</v>
      </c>
    </row>
    <row r="42" spans="1:35">
      <c r="A42">
        <v>21</v>
      </c>
      <c r="B42" t="str">
        <f t="shared" si="0"/>
        <v>Young Adults</v>
      </c>
      <c r="C42">
        <v>0</v>
      </c>
      <c r="D42" t="s">
        <v>36</v>
      </c>
      <c r="E42">
        <v>501</v>
      </c>
      <c r="F42" t="s">
        <v>37</v>
      </c>
      <c r="G42">
        <v>5</v>
      </c>
      <c r="H42" t="str" cm="1">
        <f t="array" ref="H42">_xlfn.IFS(G42&gt;15,"Long Commute",G42&gt;5,"Moderate",G42&lt;=5,"Near Office")</f>
        <v>Near Office</v>
      </c>
      <c r="I42" t="s">
        <v>78</v>
      </c>
      <c r="J42" t="s">
        <v>51</v>
      </c>
      <c r="K42">
        <v>3</v>
      </c>
      <c r="L42" t="s">
        <v>46</v>
      </c>
      <c r="M42">
        <v>58</v>
      </c>
      <c r="N42">
        <v>3</v>
      </c>
      <c r="O42">
        <v>1</v>
      </c>
      <c r="P42" t="s">
        <v>57</v>
      </c>
      <c r="Q42" t="s">
        <v>82</v>
      </c>
      <c r="R42" t="s">
        <v>41</v>
      </c>
      <c r="S42">
        <v>2380</v>
      </c>
      <c r="T42" t="str" cm="1">
        <f t="array" ref="T42">_xlfn.IFS(S42&gt;=10000,"High (&gt;10k)",S42&gt;=5000,"Medium (5k-10k)",S42&lt;5000,"Low (&lt;5k)")</f>
        <v>Low (&lt;5k)</v>
      </c>
      <c r="U42">
        <v>25479</v>
      </c>
      <c r="V42">
        <v>1</v>
      </c>
      <c r="W42" t="s">
        <v>35</v>
      </c>
      <c r="X42">
        <v>11</v>
      </c>
      <c r="Y42">
        <v>3</v>
      </c>
      <c r="Z42">
        <v>4</v>
      </c>
      <c r="AA42">
        <v>0</v>
      </c>
      <c r="AB42">
        <v>2</v>
      </c>
      <c r="AC42">
        <v>6</v>
      </c>
      <c r="AD42" t="s">
        <v>74</v>
      </c>
      <c r="AE42">
        <v>2</v>
      </c>
      <c r="AF42" t="str" cm="1">
        <f t="array" ref="AF42">_xlfn.IFS(AE42&gt;=10,"Veteran (10y+)",AE42&gt;=3,"Established (3-10y)",AE42&lt;3,"New Hire (&lt;3y)")</f>
        <v>New Hire (&lt;3y)</v>
      </c>
      <c r="AG42">
        <v>2</v>
      </c>
      <c r="AH42">
        <v>1</v>
      </c>
      <c r="AI42">
        <v>2</v>
      </c>
    </row>
    <row r="43" spans="1:35">
      <c r="A43">
        <v>22</v>
      </c>
      <c r="B43" t="str">
        <f t="shared" si="0"/>
        <v>Young Adults</v>
      </c>
      <c r="C43">
        <v>0</v>
      </c>
      <c r="D43" t="s">
        <v>55</v>
      </c>
      <c r="E43">
        <v>1123</v>
      </c>
      <c r="F43" t="s">
        <v>45</v>
      </c>
      <c r="G43">
        <v>16</v>
      </c>
      <c r="H43" t="str" cm="1">
        <f t="array" ref="H43">_xlfn.IFS(G43&gt;15,"Long Commute",G43&gt;5,"Moderate",G43&lt;=5,"Near Office")</f>
        <v>Long Commute</v>
      </c>
      <c r="I43" t="s">
        <v>76</v>
      </c>
      <c r="J43" t="s">
        <v>51</v>
      </c>
      <c r="K43">
        <v>4</v>
      </c>
      <c r="L43" t="s">
        <v>46</v>
      </c>
      <c r="M43">
        <v>96</v>
      </c>
      <c r="N43">
        <v>4</v>
      </c>
      <c r="O43">
        <v>1</v>
      </c>
      <c r="P43" t="s">
        <v>50</v>
      </c>
      <c r="Q43" t="s">
        <v>77</v>
      </c>
      <c r="R43" t="s">
        <v>52</v>
      </c>
      <c r="S43">
        <v>2935</v>
      </c>
      <c r="T43" t="str" cm="1">
        <f t="array" ref="T43">_xlfn.IFS(S43&gt;=10000,"High (&gt;10k)",S43&gt;=5000,"Medium (5k-10k)",S43&lt;5000,"Low (&lt;5k)")</f>
        <v>Low (&lt;5k)</v>
      </c>
      <c r="U43">
        <v>7324</v>
      </c>
      <c r="V43">
        <v>1</v>
      </c>
      <c r="W43" t="s">
        <v>35</v>
      </c>
      <c r="X43">
        <v>13</v>
      </c>
      <c r="Y43">
        <v>3</v>
      </c>
      <c r="Z43">
        <v>2</v>
      </c>
      <c r="AA43">
        <v>2</v>
      </c>
      <c r="AB43">
        <v>1</v>
      </c>
      <c r="AC43">
        <v>2</v>
      </c>
      <c r="AD43" t="s">
        <v>81</v>
      </c>
      <c r="AE43">
        <v>1</v>
      </c>
      <c r="AF43" t="str" cm="1">
        <f t="array" ref="AF43">_xlfn.IFS(AE43&gt;=10,"Veteran (10y+)",AE43&gt;=3,"Established (3-10y)",AE43&lt;3,"New Hire (&lt;3y)")</f>
        <v>New Hire (&lt;3y)</v>
      </c>
      <c r="AG43">
        <v>0</v>
      </c>
      <c r="AH43">
        <v>0</v>
      </c>
      <c r="AI43">
        <v>0</v>
      </c>
    </row>
    <row r="44" spans="1:35">
      <c r="A44">
        <v>22</v>
      </c>
      <c r="B44" t="str">
        <f t="shared" si="0"/>
        <v>Young Adults</v>
      </c>
      <c r="C44">
        <v>0</v>
      </c>
      <c r="D44" t="s">
        <v>36</v>
      </c>
      <c r="E44">
        <v>534</v>
      </c>
      <c r="F44" t="s">
        <v>45</v>
      </c>
      <c r="G44">
        <v>15</v>
      </c>
      <c r="H44" t="str" cm="1">
        <f t="array" ref="H44">_xlfn.IFS(G44&gt;15,"Long Commute",G44&gt;5,"Moderate",G44&lt;=5,"Near Office")</f>
        <v>Moderate</v>
      </c>
      <c r="I44" t="s">
        <v>72</v>
      </c>
      <c r="J44" t="s">
        <v>51</v>
      </c>
      <c r="K44">
        <v>2</v>
      </c>
      <c r="L44" t="s">
        <v>39</v>
      </c>
      <c r="M44">
        <v>59</v>
      </c>
      <c r="N44">
        <v>3</v>
      </c>
      <c r="O44">
        <v>1</v>
      </c>
      <c r="P44" t="s">
        <v>50</v>
      </c>
      <c r="Q44" t="s">
        <v>77</v>
      </c>
      <c r="R44" t="s">
        <v>41</v>
      </c>
      <c r="S44">
        <v>2871</v>
      </c>
      <c r="T44" t="str" cm="1">
        <f t="array" ref="T44">_xlfn.IFS(S44&gt;=10000,"High (&gt;10k)",S44&gt;=5000,"Medium (5k-10k)",S44&lt;5000,"Low (&lt;5k)")</f>
        <v>Low (&lt;5k)</v>
      </c>
      <c r="U44">
        <v>23785</v>
      </c>
      <c r="V44">
        <v>1</v>
      </c>
      <c r="W44" t="s">
        <v>43</v>
      </c>
      <c r="X44">
        <v>15</v>
      </c>
      <c r="Y44">
        <v>3</v>
      </c>
      <c r="Z44">
        <v>3</v>
      </c>
      <c r="AA44">
        <v>0</v>
      </c>
      <c r="AB44">
        <v>1</v>
      </c>
      <c r="AC44">
        <v>5</v>
      </c>
      <c r="AD44" t="s">
        <v>74</v>
      </c>
      <c r="AE44">
        <v>0</v>
      </c>
      <c r="AF44" t="str" cm="1">
        <f t="array" ref="AF44">_xlfn.IFS(AE44&gt;=10,"Veteran (10y+)",AE44&gt;=3,"Established (3-10y)",AE44&lt;3,"New Hire (&lt;3y)")</f>
        <v>New Hire (&lt;3y)</v>
      </c>
      <c r="AG44">
        <v>0</v>
      </c>
      <c r="AH44">
        <v>0</v>
      </c>
      <c r="AI44">
        <v>0</v>
      </c>
    </row>
    <row r="45" spans="1:35">
      <c r="A45">
        <v>22</v>
      </c>
      <c r="B45" t="str">
        <f t="shared" si="0"/>
        <v>Young Adults</v>
      </c>
      <c r="C45">
        <v>0</v>
      </c>
      <c r="D45" t="s">
        <v>36</v>
      </c>
      <c r="E45">
        <v>594</v>
      </c>
      <c r="F45" t="s">
        <v>45</v>
      </c>
      <c r="G45">
        <v>2</v>
      </c>
      <c r="H45" t="str" cm="1">
        <f t="array" ref="H45">_xlfn.IFS(G45&gt;15,"Long Commute",G45&gt;5,"Moderate",G45&lt;=5,"Near Office")</f>
        <v>Near Office</v>
      </c>
      <c r="I45" t="s">
        <v>78</v>
      </c>
      <c r="J45" t="s">
        <v>60</v>
      </c>
      <c r="K45">
        <v>3</v>
      </c>
      <c r="L45" t="s">
        <v>46</v>
      </c>
      <c r="M45">
        <v>100</v>
      </c>
      <c r="N45">
        <v>3</v>
      </c>
      <c r="O45">
        <v>1</v>
      </c>
      <c r="P45" t="s">
        <v>50</v>
      </c>
      <c r="Q45" t="s">
        <v>77</v>
      </c>
      <c r="R45" t="s">
        <v>48</v>
      </c>
      <c r="S45">
        <v>2523</v>
      </c>
      <c r="T45" t="str" cm="1">
        <f t="array" ref="T45">_xlfn.IFS(S45&gt;=10000,"High (&gt;10k)",S45&gt;=5000,"Medium (5k-10k)",S45&lt;5000,"Low (&lt;5k)")</f>
        <v>Low (&lt;5k)</v>
      </c>
      <c r="U45">
        <v>19299</v>
      </c>
      <c r="V45">
        <v>0</v>
      </c>
      <c r="W45" t="s">
        <v>43</v>
      </c>
      <c r="X45">
        <v>14</v>
      </c>
      <c r="Y45">
        <v>3</v>
      </c>
      <c r="Z45">
        <v>3</v>
      </c>
      <c r="AA45">
        <v>1</v>
      </c>
      <c r="AB45">
        <v>3</v>
      </c>
      <c r="AC45">
        <v>2</v>
      </c>
      <c r="AD45" t="s">
        <v>74</v>
      </c>
      <c r="AE45">
        <v>2</v>
      </c>
      <c r="AF45" t="str" cm="1">
        <f t="array" ref="AF45">_xlfn.IFS(AE45&gt;=10,"Veteran (10y+)",AE45&gt;=3,"Established (3-10y)",AE45&lt;3,"New Hire (&lt;3y)")</f>
        <v>New Hire (&lt;3y)</v>
      </c>
      <c r="AG45">
        <v>1</v>
      </c>
      <c r="AH45">
        <v>2</v>
      </c>
      <c r="AI45">
        <v>1</v>
      </c>
    </row>
    <row r="46" spans="1:35">
      <c r="A46">
        <v>22</v>
      </c>
      <c r="B46" t="str">
        <f t="shared" si="0"/>
        <v>Young Adults</v>
      </c>
      <c r="C46">
        <v>0</v>
      </c>
      <c r="D46" t="s">
        <v>36</v>
      </c>
      <c r="E46">
        <v>1256</v>
      </c>
      <c r="F46" t="s">
        <v>45</v>
      </c>
      <c r="G46">
        <v>19</v>
      </c>
      <c r="H46" t="str" cm="1">
        <f t="array" ref="H46">_xlfn.IFS(G46&gt;15,"Long Commute",G46&gt;5,"Moderate",G46&lt;=5,"Near Office")</f>
        <v>Long Commute</v>
      </c>
      <c r="I46" t="s">
        <v>78</v>
      </c>
      <c r="J46" t="s">
        <v>51</v>
      </c>
      <c r="K46">
        <v>3</v>
      </c>
      <c r="L46" t="s">
        <v>46</v>
      </c>
      <c r="M46">
        <v>80</v>
      </c>
      <c r="N46">
        <v>3</v>
      </c>
      <c r="O46">
        <v>1</v>
      </c>
      <c r="P46" t="s">
        <v>47</v>
      </c>
      <c r="Q46" t="s">
        <v>77</v>
      </c>
      <c r="R46" t="s">
        <v>48</v>
      </c>
      <c r="S46">
        <v>2323</v>
      </c>
      <c r="T46" t="str" cm="1">
        <f t="array" ref="T46">_xlfn.IFS(S46&gt;=10000,"High (&gt;10k)",S46&gt;=5000,"Medium (5k-10k)",S46&lt;5000,"Low (&lt;5k)")</f>
        <v>Low (&lt;5k)</v>
      </c>
      <c r="U46">
        <v>11992</v>
      </c>
      <c r="V46">
        <v>1</v>
      </c>
      <c r="W46" t="s">
        <v>43</v>
      </c>
      <c r="X46">
        <v>24</v>
      </c>
      <c r="Y46">
        <v>4</v>
      </c>
      <c r="Z46">
        <v>1</v>
      </c>
      <c r="AA46">
        <v>2</v>
      </c>
      <c r="AB46">
        <v>2</v>
      </c>
      <c r="AC46">
        <v>6</v>
      </c>
      <c r="AD46" t="s">
        <v>74</v>
      </c>
      <c r="AE46">
        <v>2</v>
      </c>
      <c r="AF46" t="str" cm="1">
        <f t="array" ref="AF46">_xlfn.IFS(AE46&gt;=10,"Veteran (10y+)",AE46&gt;=3,"Established (3-10y)",AE46&lt;3,"New Hire (&lt;3y)")</f>
        <v>New Hire (&lt;3y)</v>
      </c>
      <c r="AG46">
        <v>2</v>
      </c>
      <c r="AH46">
        <v>2</v>
      </c>
      <c r="AI46">
        <v>2</v>
      </c>
    </row>
    <row r="47" spans="1:35">
      <c r="A47">
        <v>22</v>
      </c>
      <c r="B47" t="str">
        <f t="shared" si="0"/>
        <v>Young Adults</v>
      </c>
      <c r="C47">
        <v>0</v>
      </c>
      <c r="D47" t="s">
        <v>36</v>
      </c>
      <c r="E47">
        <v>1136</v>
      </c>
      <c r="F47" t="s">
        <v>45</v>
      </c>
      <c r="G47">
        <v>5</v>
      </c>
      <c r="H47" t="str" cm="1">
        <f t="array" ref="H47">_xlfn.IFS(G47&gt;15,"Long Commute",G47&gt;5,"Moderate",G47&lt;=5,"Near Office")</f>
        <v>Near Office</v>
      </c>
      <c r="I47" t="s">
        <v>72</v>
      </c>
      <c r="J47" t="s">
        <v>38</v>
      </c>
      <c r="K47">
        <v>4</v>
      </c>
      <c r="L47" t="s">
        <v>46</v>
      </c>
      <c r="M47">
        <v>60</v>
      </c>
      <c r="N47">
        <v>4</v>
      </c>
      <c r="O47">
        <v>1</v>
      </c>
      <c r="P47" t="s">
        <v>47</v>
      </c>
      <c r="Q47" t="s">
        <v>75</v>
      </c>
      <c r="R47" t="s">
        <v>52</v>
      </c>
      <c r="S47">
        <v>2328</v>
      </c>
      <c r="T47" t="str" cm="1">
        <f t="array" ref="T47">_xlfn.IFS(S47&gt;=10000,"High (&gt;10k)",S47&gt;=5000,"Medium (5k-10k)",S47&lt;5000,"Low (&lt;5k)")</f>
        <v>Low (&lt;5k)</v>
      </c>
      <c r="U47">
        <v>12392</v>
      </c>
      <c r="V47">
        <v>1</v>
      </c>
      <c r="W47" t="s">
        <v>35</v>
      </c>
      <c r="X47">
        <v>16</v>
      </c>
      <c r="Y47">
        <v>3</v>
      </c>
      <c r="Z47">
        <v>1</v>
      </c>
      <c r="AA47">
        <v>1</v>
      </c>
      <c r="AB47">
        <v>4</v>
      </c>
      <c r="AC47">
        <v>2</v>
      </c>
      <c r="AD47" t="s">
        <v>81</v>
      </c>
      <c r="AE47">
        <v>4</v>
      </c>
      <c r="AF47" t="str" cm="1">
        <f t="array" ref="AF47">_xlfn.IFS(AE47&gt;=10,"Veteran (10y+)",AE47&gt;=3,"Established (3-10y)",AE47&lt;3,"New Hire (&lt;3y)")</f>
        <v>Established (3-10y)</v>
      </c>
      <c r="AG47">
        <v>2</v>
      </c>
      <c r="AH47">
        <v>2</v>
      </c>
      <c r="AI47">
        <v>2</v>
      </c>
    </row>
    <row r="48" spans="1:35">
      <c r="A48">
        <v>22</v>
      </c>
      <c r="B48" t="str">
        <f t="shared" si="0"/>
        <v>Young Adults</v>
      </c>
      <c r="C48">
        <v>0</v>
      </c>
      <c r="D48" t="s">
        <v>36</v>
      </c>
      <c r="E48">
        <v>253</v>
      </c>
      <c r="F48" t="s">
        <v>45</v>
      </c>
      <c r="G48">
        <v>11</v>
      </c>
      <c r="H48" t="str" cm="1">
        <f t="array" ref="H48">_xlfn.IFS(G48&gt;15,"Long Commute",G48&gt;5,"Moderate",G48&lt;=5,"Near Office")</f>
        <v>Moderate</v>
      </c>
      <c r="I48" t="s">
        <v>72</v>
      </c>
      <c r="J48" t="s">
        <v>51</v>
      </c>
      <c r="K48">
        <v>1</v>
      </c>
      <c r="L48" t="s">
        <v>39</v>
      </c>
      <c r="M48">
        <v>43</v>
      </c>
      <c r="N48">
        <v>3</v>
      </c>
      <c r="O48">
        <v>1</v>
      </c>
      <c r="P48" t="s">
        <v>47</v>
      </c>
      <c r="Q48" t="s">
        <v>75</v>
      </c>
      <c r="R48" t="s">
        <v>48</v>
      </c>
      <c r="S48">
        <v>2244</v>
      </c>
      <c r="T48" t="str" cm="1">
        <f t="array" ref="T48">_xlfn.IFS(S48&gt;=10000,"High (&gt;10k)",S48&gt;=5000,"Medium (5k-10k)",S48&lt;5000,"Low (&lt;5k)")</f>
        <v>Low (&lt;5k)</v>
      </c>
      <c r="U48">
        <v>24440</v>
      </c>
      <c r="V48">
        <v>1</v>
      </c>
      <c r="W48" t="s">
        <v>43</v>
      </c>
      <c r="X48">
        <v>13</v>
      </c>
      <c r="Y48">
        <v>3</v>
      </c>
      <c r="Z48">
        <v>4</v>
      </c>
      <c r="AA48">
        <v>1</v>
      </c>
      <c r="AB48">
        <v>2</v>
      </c>
      <c r="AC48">
        <v>1</v>
      </c>
      <c r="AD48" t="s">
        <v>74</v>
      </c>
      <c r="AE48">
        <v>2</v>
      </c>
      <c r="AF48" t="str" cm="1">
        <f t="array" ref="AF48">_xlfn.IFS(AE48&gt;=10,"Veteran (10y+)",AE48&gt;=3,"Established (3-10y)",AE48&lt;3,"New Hire (&lt;3y)")</f>
        <v>New Hire (&lt;3y)</v>
      </c>
      <c r="AG48">
        <v>1</v>
      </c>
      <c r="AH48">
        <v>1</v>
      </c>
      <c r="AI48">
        <v>2</v>
      </c>
    </row>
    <row r="49" spans="1:35">
      <c r="A49">
        <v>22</v>
      </c>
      <c r="B49" t="str">
        <f t="shared" si="0"/>
        <v>Young Adults</v>
      </c>
      <c r="C49">
        <v>1</v>
      </c>
      <c r="D49" t="s">
        <v>44</v>
      </c>
      <c r="E49">
        <v>1368</v>
      </c>
      <c r="F49" t="s">
        <v>45</v>
      </c>
      <c r="G49">
        <v>4</v>
      </c>
      <c r="H49" t="str" cm="1">
        <f t="array" ref="H49">_xlfn.IFS(G49&gt;15,"Long Commute",G49&gt;5,"Moderate",G49&lt;=5,"Near Office")</f>
        <v>Near Office</v>
      </c>
      <c r="I49" t="s">
        <v>78</v>
      </c>
      <c r="J49" t="s">
        <v>60</v>
      </c>
      <c r="K49">
        <v>3</v>
      </c>
      <c r="L49" t="s">
        <v>46</v>
      </c>
      <c r="M49">
        <v>99</v>
      </c>
      <c r="N49">
        <v>2</v>
      </c>
      <c r="O49">
        <v>1</v>
      </c>
      <c r="P49" t="s">
        <v>50</v>
      </c>
      <c r="Q49" t="s">
        <v>73</v>
      </c>
      <c r="R49" t="s">
        <v>41</v>
      </c>
      <c r="S49">
        <v>3894</v>
      </c>
      <c r="T49" t="str" cm="1">
        <f t="array" ref="T49">_xlfn.IFS(S49&gt;=10000,"High (&gt;10k)",S49&gt;=5000,"Medium (5k-10k)",S49&lt;5000,"Low (&lt;5k)")</f>
        <v>Low (&lt;5k)</v>
      </c>
      <c r="U49">
        <v>9129</v>
      </c>
      <c r="V49">
        <v>5</v>
      </c>
      <c r="W49" t="s">
        <v>43</v>
      </c>
      <c r="X49">
        <v>16</v>
      </c>
      <c r="Y49">
        <v>3</v>
      </c>
      <c r="Z49">
        <v>3</v>
      </c>
      <c r="AA49">
        <v>0</v>
      </c>
      <c r="AB49">
        <v>4</v>
      </c>
      <c r="AC49">
        <v>3</v>
      </c>
      <c r="AD49" t="s">
        <v>74</v>
      </c>
      <c r="AE49">
        <v>2</v>
      </c>
      <c r="AF49" t="str" cm="1">
        <f t="array" ref="AF49">_xlfn.IFS(AE49&gt;=10,"Veteran (10y+)",AE49&gt;=3,"Established (3-10y)",AE49&lt;3,"New Hire (&lt;3y)")</f>
        <v>New Hire (&lt;3y)</v>
      </c>
      <c r="AG49">
        <v>2</v>
      </c>
      <c r="AH49">
        <v>1</v>
      </c>
      <c r="AI49">
        <v>2</v>
      </c>
    </row>
    <row r="50" spans="1:35">
      <c r="A50">
        <v>22</v>
      </c>
      <c r="B50" t="str">
        <f t="shared" si="0"/>
        <v>Young Adults</v>
      </c>
      <c r="C50">
        <v>0</v>
      </c>
      <c r="D50" t="s">
        <v>36</v>
      </c>
      <c r="E50">
        <v>604</v>
      </c>
      <c r="F50" t="s">
        <v>45</v>
      </c>
      <c r="G50">
        <v>6</v>
      </c>
      <c r="H50" t="str" cm="1">
        <f t="array" ref="H50">_xlfn.IFS(G50&gt;15,"Long Commute",G50&gt;5,"Moderate",G50&lt;=5,"Near Office")</f>
        <v>Moderate</v>
      </c>
      <c r="I50" t="s">
        <v>78</v>
      </c>
      <c r="J50" t="s">
        <v>51</v>
      </c>
      <c r="K50">
        <v>1</v>
      </c>
      <c r="L50" t="s">
        <v>46</v>
      </c>
      <c r="M50">
        <v>69</v>
      </c>
      <c r="N50">
        <v>3</v>
      </c>
      <c r="O50">
        <v>1</v>
      </c>
      <c r="P50" t="s">
        <v>47</v>
      </c>
      <c r="Q50" t="s">
        <v>73</v>
      </c>
      <c r="R50" t="s">
        <v>48</v>
      </c>
      <c r="S50">
        <v>2773</v>
      </c>
      <c r="T50" t="str" cm="1">
        <f t="array" ref="T50">_xlfn.IFS(S50&gt;=10000,"High (&gt;10k)",S50&gt;=5000,"Medium (5k-10k)",S50&lt;5000,"Low (&lt;5k)")</f>
        <v>Low (&lt;5k)</v>
      </c>
      <c r="U50">
        <v>12145</v>
      </c>
      <c r="V50">
        <v>0</v>
      </c>
      <c r="W50" t="s">
        <v>43</v>
      </c>
      <c r="X50">
        <v>20</v>
      </c>
      <c r="Y50">
        <v>4</v>
      </c>
      <c r="Z50">
        <v>4</v>
      </c>
      <c r="AA50">
        <v>0</v>
      </c>
      <c r="AB50">
        <v>3</v>
      </c>
      <c r="AC50">
        <v>3</v>
      </c>
      <c r="AD50" t="s">
        <v>74</v>
      </c>
      <c r="AE50">
        <v>2</v>
      </c>
      <c r="AF50" t="str" cm="1">
        <f t="array" ref="AF50">_xlfn.IFS(AE50&gt;=10,"Veteran (10y+)",AE50&gt;=3,"Established (3-10y)",AE50&lt;3,"New Hire (&lt;3y)")</f>
        <v>New Hire (&lt;3y)</v>
      </c>
      <c r="AG50">
        <v>2</v>
      </c>
      <c r="AH50">
        <v>2</v>
      </c>
      <c r="AI50">
        <v>2</v>
      </c>
    </row>
    <row r="51" spans="1:35">
      <c r="A51">
        <v>22</v>
      </c>
      <c r="B51" t="str">
        <f t="shared" si="0"/>
        <v>Young Adults</v>
      </c>
      <c r="C51">
        <v>0</v>
      </c>
      <c r="D51" t="s">
        <v>36</v>
      </c>
      <c r="E51">
        <v>1230</v>
      </c>
      <c r="F51" t="s">
        <v>45</v>
      </c>
      <c r="G51">
        <v>1</v>
      </c>
      <c r="H51" t="str" cm="1">
        <f t="array" ref="H51">_xlfn.IFS(G51&gt;15,"Long Commute",G51&gt;5,"Moderate",G51&lt;=5,"Near Office")</f>
        <v>Near Office</v>
      </c>
      <c r="I51" t="s">
        <v>76</v>
      </c>
      <c r="J51" t="s">
        <v>38</v>
      </c>
      <c r="K51">
        <v>4</v>
      </c>
      <c r="L51" t="s">
        <v>46</v>
      </c>
      <c r="M51">
        <v>33</v>
      </c>
      <c r="N51">
        <v>2</v>
      </c>
      <c r="O51">
        <v>2</v>
      </c>
      <c r="P51" t="s">
        <v>53</v>
      </c>
      <c r="Q51" t="s">
        <v>77</v>
      </c>
      <c r="R51" t="s">
        <v>48</v>
      </c>
      <c r="S51">
        <v>4775</v>
      </c>
      <c r="T51" t="str" cm="1">
        <f t="array" ref="T51">_xlfn.IFS(S51&gt;=10000,"High (&gt;10k)",S51&gt;=5000,"Medium (5k-10k)",S51&lt;5000,"Low (&lt;5k)")</f>
        <v>Low (&lt;5k)</v>
      </c>
      <c r="U51">
        <v>19146</v>
      </c>
      <c r="V51">
        <v>6</v>
      </c>
      <c r="W51" t="s">
        <v>43</v>
      </c>
      <c r="X51">
        <v>22</v>
      </c>
      <c r="Y51">
        <v>4</v>
      </c>
      <c r="Z51">
        <v>1</v>
      </c>
      <c r="AA51">
        <v>2</v>
      </c>
      <c r="AB51">
        <v>4</v>
      </c>
      <c r="AC51">
        <v>2</v>
      </c>
      <c r="AD51" t="s">
        <v>80</v>
      </c>
      <c r="AE51">
        <v>2</v>
      </c>
      <c r="AF51" t="str" cm="1">
        <f t="array" ref="AF51">_xlfn.IFS(AE51&gt;=10,"Veteran (10y+)",AE51&gt;=3,"Established (3-10y)",AE51&lt;3,"New Hire (&lt;3y)")</f>
        <v>New Hire (&lt;3y)</v>
      </c>
      <c r="AG51">
        <v>2</v>
      </c>
      <c r="AH51">
        <v>2</v>
      </c>
      <c r="AI51">
        <v>2</v>
      </c>
    </row>
    <row r="52" spans="1:35">
      <c r="A52">
        <v>22</v>
      </c>
      <c r="B52" t="str">
        <f t="shared" si="0"/>
        <v>Young Adults</v>
      </c>
      <c r="C52">
        <v>1</v>
      </c>
      <c r="D52" t="s">
        <v>36</v>
      </c>
      <c r="E52">
        <v>617</v>
      </c>
      <c r="F52" t="s">
        <v>45</v>
      </c>
      <c r="G52">
        <v>3</v>
      </c>
      <c r="H52" t="str" cm="1">
        <f t="array" ref="H52">_xlfn.IFS(G52&gt;15,"Long Commute",G52&gt;5,"Moderate",G52&lt;=5,"Near Office")</f>
        <v>Near Office</v>
      </c>
      <c r="I52" t="s">
        <v>78</v>
      </c>
      <c r="J52" t="s">
        <v>38</v>
      </c>
      <c r="K52">
        <v>2</v>
      </c>
      <c r="L52" t="s">
        <v>39</v>
      </c>
      <c r="M52">
        <v>34</v>
      </c>
      <c r="N52">
        <v>3</v>
      </c>
      <c r="O52">
        <v>2</v>
      </c>
      <c r="P52" t="s">
        <v>53</v>
      </c>
      <c r="Q52" t="s">
        <v>73</v>
      </c>
      <c r="R52" t="s">
        <v>48</v>
      </c>
      <c r="S52">
        <v>4171</v>
      </c>
      <c r="T52" t="str" cm="1">
        <f t="array" ref="T52">_xlfn.IFS(S52&gt;=10000,"High (&gt;10k)",S52&gt;=5000,"Medium (5k-10k)",S52&lt;5000,"Low (&lt;5k)")</f>
        <v>Low (&lt;5k)</v>
      </c>
      <c r="U52">
        <v>10022</v>
      </c>
      <c r="V52">
        <v>0</v>
      </c>
      <c r="W52" t="s">
        <v>35</v>
      </c>
      <c r="X52">
        <v>19</v>
      </c>
      <c r="Y52">
        <v>3</v>
      </c>
      <c r="Z52">
        <v>1</v>
      </c>
      <c r="AA52">
        <v>1</v>
      </c>
      <c r="AB52">
        <v>4</v>
      </c>
      <c r="AC52">
        <v>3</v>
      </c>
      <c r="AD52" t="s">
        <v>79</v>
      </c>
      <c r="AE52">
        <v>3</v>
      </c>
      <c r="AF52" t="str" cm="1">
        <f t="array" ref="AF52">_xlfn.IFS(AE52&gt;=10,"Veteran (10y+)",AE52&gt;=3,"Established (3-10y)",AE52&lt;3,"New Hire (&lt;3y)")</f>
        <v>Established (3-10y)</v>
      </c>
      <c r="AG52">
        <v>2</v>
      </c>
      <c r="AH52">
        <v>0</v>
      </c>
      <c r="AI52">
        <v>2</v>
      </c>
    </row>
    <row r="53" spans="1:35">
      <c r="A53">
        <v>22</v>
      </c>
      <c r="B53" t="str">
        <f t="shared" si="0"/>
        <v>Young Adults</v>
      </c>
      <c r="C53">
        <v>0</v>
      </c>
      <c r="D53" t="s">
        <v>36</v>
      </c>
      <c r="E53">
        <v>217</v>
      </c>
      <c r="F53" t="s">
        <v>45</v>
      </c>
      <c r="G53">
        <v>8</v>
      </c>
      <c r="H53" t="str" cm="1">
        <f t="array" ref="H53">_xlfn.IFS(G53&gt;15,"Long Commute",G53&gt;5,"Moderate",G53&lt;=5,"Near Office")</f>
        <v>Moderate</v>
      </c>
      <c r="I53" t="s">
        <v>78</v>
      </c>
      <c r="J53" t="s">
        <v>38</v>
      </c>
      <c r="K53">
        <v>2</v>
      </c>
      <c r="L53" t="s">
        <v>46</v>
      </c>
      <c r="M53">
        <v>94</v>
      </c>
      <c r="N53">
        <v>1</v>
      </c>
      <c r="O53">
        <v>1</v>
      </c>
      <c r="P53" t="s">
        <v>50</v>
      </c>
      <c r="Q53" t="s">
        <v>82</v>
      </c>
      <c r="R53" t="s">
        <v>48</v>
      </c>
      <c r="S53">
        <v>2451</v>
      </c>
      <c r="T53" t="str" cm="1">
        <f t="array" ref="T53">_xlfn.IFS(S53&gt;=10000,"High (&gt;10k)",S53&gt;=5000,"Medium (5k-10k)",S53&lt;5000,"Low (&lt;5k)")</f>
        <v>Low (&lt;5k)</v>
      </c>
      <c r="U53">
        <v>6881</v>
      </c>
      <c r="V53">
        <v>1</v>
      </c>
      <c r="W53" t="s">
        <v>43</v>
      </c>
      <c r="X53">
        <v>15</v>
      </c>
      <c r="Y53">
        <v>3</v>
      </c>
      <c r="Z53">
        <v>1</v>
      </c>
      <c r="AA53">
        <v>1</v>
      </c>
      <c r="AB53">
        <v>4</v>
      </c>
      <c r="AC53">
        <v>3</v>
      </c>
      <c r="AD53" t="s">
        <v>81</v>
      </c>
      <c r="AE53">
        <v>4</v>
      </c>
      <c r="AF53" t="str" cm="1">
        <f t="array" ref="AF53">_xlfn.IFS(AE53&gt;=10,"Veteran (10y+)",AE53&gt;=3,"Established (3-10y)",AE53&lt;3,"New Hire (&lt;3y)")</f>
        <v>Established (3-10y)</v>
      </c>
      <c r="AG53">
        <v>3</v>
      </c>
      <c r="AH53">
        <v>1</v>
      </c>
      <c r="AI53">
        <v>1</v>
      </c>
    </row>
    <row r="54" spans="1:35">
      <c r="A54">
        <v>22</v>
      </c>
      <c r="B54" t="str">
        <f t="shared" si="0"/>
        <v>Young Adults</v>
      </c>
      <c r="C54">
        <v>1</v>
      </c>
      <c r="D54" t="s">
        <v>44</v>
      </c>
      <c r="E54">
        <v>1256</v>
      </c>
      <c r="F54" t="s">
        <v>45</v>
      </c>
      <c r="G54">
        <v>3</v>
      </c>
      <c r="H54" t="str" cm="1">
        <f t="array" ref="H54">_xlfn.IFS(G54&gt;15,"Long Commute",G54&gt;5,"Moderate",G54&lt;=5,"Near Office")</f>
        <v>Near Office</v>
      </c>
      <c r="I54" t="s">
        <v>83</v>
      </c>
      <c r="J54" t="s">
        <v>38</v>
      </c>
      <c r="K54">
        <v>3</v>
      </c>
      <c r="L54" t="s">
        <v>46</v>
      </c>
      <c r="M54">
        <v>48</v>
      </c>
      <c r="N54">
        <v>2</v>
      </c>
      <c r="O54">
        <v>1</v>
      </c>
      <c r="P54" t="s">
        <v>47</v>
      </c>
      <c r="Q54" t="s">
        <v>77</v>
      </c>
      <c r="R54" t="s">
        <v>48</v>
      </c>
      <c r="S54">
        <v>2853</v>
      </c>
      <c r="T54" t="str" cm="1">
        <f t="array" ref="T54">_xlfn.IFS(S54&gt;=10000,"High (&gt;10k)",S54&gt;=5000,"Medium (5k-10k)",S54&lt;5000,"Low (&lt;5k)")</f>
        <v>Low (&lt;5k)</v>
      </c>
      <c r="U54">
        <v>4223</v>
      </c>
      <c r="V54">
        <v>0</v>
      </c>
      <c r="W54" t="s">
        <v>35</v>
      </c>
      <c r="X54">
        <v>11</v>
      </c>
      <c r="Y54">
        <v>3</v>
      </c>
      <c r="Z54">
        <v>2</v>
      </c>
      <c r="AA54">
        <v>1</v>
      </c>
      <c r="AB54">
        <v>1</v>
      </c>
      <c r="AC54">
        <v>5</v>
      </c>
      <c r="AD54" t="s">
        <v>74</v>
      </c>
      <c r="AE54">
        <v>0</v>
      </c>
      <c r="AF54" t="str" cm="1">
        <f t="array" ref="AF54">_xlfn.IFS(AE54&gt;=10,"Veteran (10y+)",AE54&gt;=3,"Established (3-10y)",AE54&lt;3,"New Hire (&lt;3y)")</f>
        <v>New Hire (&lt;3y)</v>
      </c>
      <c r="AG54">
        <v>0</v>
      </c>
      <c r="AH54">
        <v>0</v>
      </c>
      <c r="AI54">
        <v>0</v>
      </c>
    </row>
    <row r="55" spans="1:35">
      <c r="A55">
        <v>22</v>
      </c>
      <c r="B55" t="str">
        <f t="shared" si="0"/>
        <v>Young Adults</v>
      </c>
      <c r="C55">
        <v>0</v>
      </c>
      <c r="D55" t="s">
        <v>55</v>
      </c>
      <c r="E55">
        <v>457</v>
      </c>
      <c r="F55" t="s">
        <v>45</v>
      </c>
      <c r="G55">
        <v>26</v>
      </c>
      <c r="H55" t="str" cm="1">
        <f t="array" ref="H55">_xlfn.IFS(G55&gt;15,"Long Commute",G55&gt;5,"Moderate",G55&lt;=5,"Near Office")</f>
        <v>Long Commute</v>
      </c>
      <c r="I55" t="s">
        <v>76</v>
      </c>
      <c r="J55" t="s">
        <v>49</v>
      </c>
      <c r="K55">
        <v>2</v>
      </c>
      <c r="L55" t="s">
        <v>39</v>
      </c>
      <c r="M55">
        <v>85</v>
      </c>
      <c r="N55">
        <v>2</v>
      </c>
      <c r="O55">
        <v>1</v>
      </c>
      <c r="P55" t="s">
        <v>47</v>
      </c>
      <c r="Q55" t="s">
        <v>73</v>
      </c>
      <c r="R55" t="s">
        <v>48</v>
      </c>
      <c r="S55">
        <v>2814</v>
      </c>
      <c r="T55" t="str" cm="1">
        <f t="array" ref="T55">_xlfn.IFS(S55&gt;=10000,"High (&gt;10k)",S55&gt;=5000,"Medium (5k-10k)",S55&lt;5000,"Low (&lt;5k)")</f>
        <v>Low (&lt;5k)</v>
      </c>
      <c r="U55">
        <v>10293</v>
      </c>
      <c r="V55">
        <v>1</v>
      </c>
      <c r="W55" t="s">
        <v>35</v>
      </c>
      <c r="X55">
        <v>14</v>
      </c>
      <c r="Y55">
        <v>3</v>
      </c>
      <c r="Z55">
        <v>2</v>
      </c>
      <c r="AA55">
        <v>0</v>
      </c>
      <c r="AB55">
        <v>4</v>
      </c>
      <c r="AC55">
        <v>2</v>
      </c>
      <c r="AD55" t="s">
        <v>81</v>
      </c>
      <c r="AE55">
        <v>4</v>
      </c>
      <c r="AF55" t="str" cm="1">
        <f t="array" ref="AF55">_xlfn.IFS(AE55&gt;=10,"Veteran (10y+)",AE55&gt;=3,"Established (3-10y)",AE55&lt;3,"New Hire (&lt;3y)")</f>
        <v>Established (3-10y)</v>
      </c>
      <c r="AG55">
        <v>2</v>
      </c>
      <c r="AH55">
        <v>1</v>
      </c>
      <c r="AI55">
        <v>3</v>
      </c>
    </row>
    <row r="56" spans="1:35">
      <c r="A56">
        <v>22</v>
      </c>
      <c r="B56" t="str">
        <f t="shared" si="0"/>
        <v>Young Adults</v>
      </c>
      <c r="C56">
        <v>1</v>
      </c>
      <c r="D56" t="s">
        <v>36</v>
      </c>
      <c r="E56">
        <v>1294</v>
      </c>
      <c r="F56" t="s">
        <v>45</v>
      </c>
      <c r="G56">
        <v>8</v>
      </c>
      <c r="H56" t="str" cm="1">
        <f t="array" ref="H56">_xlfn.IFS(G56&gt;15,"Long Commute",G56&gt;5,"Moderate",G56&lt;=5,"Near Office")</f>
        <v>Moderate</v>
      </c>
      <c r="I56" t="s">
        <v>78</v>
      </c>
      <c r="J56" t="s">
        <v>51</v>
      </c>
      <c r="K56">
        <v>3</v>
      </c>
      <c r="L56" t="s">
        <v>39</v>
      </c>
      <c r="M56">
        <v>79</v>
      </c>
      <c r="N56">
        <v>3</v>
      </c>
      <c r="O56">
        <v>1</v>
      </c>
      <c r="P56" t="s">
        <v>50</v>
      </c>
      <c r="Q56" t="s">
        <v>82</v>
      </c>
      <c r="R56" t="s">
        <v>48</v>
      </c>
      <c r="S56">
        <v>2398</v>
      </c>
      <c r="T56" t="str" cm="1">
        <f t="array" ref="T56">_xlfn.IFS(S56&gt;=10000,"High (&gt;10k)",S56&gt;=5000,"Medium (5k-10k)",S56&lt;5000,"Low (&lt;5k)")</f>
        <v>Low (&lt;5k)</v>
      </c>
      <c r="U56">
        <v>15999</v>
      </c>
      <c r="V56">
        <v>1</v>
      </c>
      <c r="W56" t="s">
        <v>35</v>
      </c>
      <c r="X56">
        <v>17</v>
      </c>
      <c r="Y56">
        <v>3</v>
      </c>
      <c r="Z56">
        <v>3</v>
      </c>
      <c r="AA56">
        <v>0</v>
      </c>
      <c r="AB56">
        <v>1</v>
      </c>
      <c r="AC56">
        <v>6</v>
      </c>
      <c r="AD56" t="s">
        <v>74</v>
      </c>
      <c r="AE56">
        <v>1</v>
      </c>
      <c r="AF56" t="str" cm="1">
        <f t="array" ref="AF56">_xlfn.IFS(AE56&gt;=10,"Veteran (10y+)",AE56&gt;=3,"Established (3-10y)",AE56&lt;3,"New Hire (&lt;3y)")</f>
        <v>New Hire (&lt;3y)</v>
      </c>
      <c r="AG56">
        <v>0</v>
      </c>
      <c r="AH56">
        <v>0</v>
      </c>
      <c r="AI56">
        <v>0</v>
      </c>
    </row>
    <row r="57" spans="1:35">
      <c r="A57">
        <v>22</v>
      </c>
      <c r="B57" t="str">
        <f t="shared" si="0"/>
        <v>Young Adults</v>
      </c>
      <c r="C57">
        <v>1</v>
      </c>
      <c r="D57" t="s">
        <v>36</v>
      </c>
      <c r="E57">
        <v>391</v>
      </c>
      <c r="F57" t="s">
        <v>45</v>
      </c>
      <c r="G57">
        <v>7</v>
      </c>
      <c r="H57" t="str" cm="1">
        <f t="array" ref="H57">_xlfn.IFS(G57&gt;15,"Long Commute",G57&gt;5,"Moderate",G57&lt;=5,"Near Office")</f>
        <v>Moderate</v>
      </c>
      <c r="I57" t="s">
        <v>78</v>
      </c>
      <c r="J57" t="s">
        <v>38</v>
      </c>
      <c r="K57">
        <v>4</v>
      </c>
      <c r="L57" t="s">
        <v>46</v>
      </c>
      <c r="M57">
        <v>75</v>
      </c>
      <c r="N57">
        <v>3</v>
      </c>
      <c r="O57">
        <v>1</v>
      </c>
      <c r="P57" t="s">
        <v>47</v>
      </c>
      <c r="Q57" t="s">
        <v>75</v>
      </c>
      <c r="R57" t="s">
        <v>41</v>
      </c>
      <c r="S57">
        <v>2472</v>
      </c>
      <c r="T57" t="str" cm="1">
        <f t="array" ref="T57">_xlfn.IFS(S57&gt;=10000,"High (&gt;10k)",S57&gt;=5000,"Medium (5k-10k)",S57&lt;5000,"Low (&lt;5k)")</f>
        <v>Low (&lt;5k)</v>
      </c>
      <c r="U57">
        <v>26092</v>
      </c>
      <c r="V57">
        <v>1</v>
      </c>
      <c r="W57" t="s">
        <v>35</v>
      </c>
      <c r="X57">
        <v>23</v>
      </c>
      <c r="Y57">
        <v>4</v>
      </c>
      <c r="Z57">
        <v>1</v>
      </c>
      <c r="AA57">
        <v>0</v>
      </c>
      <c r="AB57">
        <v>1</v>
      </c>
      <c r="AC57">
        <v>2</v>
      </c>
      <c r="AD57" t="s">
        <v>74</v>
      </c>
      <c r="AE57">
        <v>1</v>
      </c>
      <c r="AF57" t="str" cm="1">
        <f t="array" ref="AF57">_xlfn.IFS(AE57&gt;=10,"Veteran (10y+)",AE57&gt;=3,"Established (3-10y)",AE57&lt;3,"New Hire (&lt;3y)")</f>
        <v>New Hire (&lt;3y)</v>
      </c>
      <c r="AG57">
        <v>0</v>
      </c>
      <c r="AH57">
        <v>0</v>
      </c>
      <c r="AI57">
        <v>0</v>
      </c>
    </row>
    <row r="58" spans="1:35">
      <c r="A58">
        <v>22</v>
      </c>
      <c r="B58" t="str">
        <f t="shared" si="0"/>
        <v>Young Adults</v>
      </c>
      <c r="C58">
        <v>0</v>
      </c>
      <c r="D58" t="s">
        <v>36</v>
      </c>
      <c r="E58">
        <v>581</v>
      </c>
      <c r="F58" t="s">
        <v>45</v>
      </c>
      <c r="G58">
        <v>1</v>
      </c>
      <c r="H58" t="str" cm="1">
        <f t="array" ref="H58">_xlfn.IFS(G58&gt;15,"Long Commute",G58&gt;5,"Moderate",G58&lt;=5,"Near Office")</f>
        <v>Near Office</v>
      </c>
      <c r="I58" t="s">
        <v>76</v>
      </c>
      <c r="J58" t="s">
        <v>38</v>
      </c>
      <c r="K58">
        <v>4</v>
      </c>
      <c r="L58" t="s">
        <v>46</v>
      </c>
      <c r="M58">
        <v>63</v>
      </c>
      <c r="N58">
        <v>3</v>
      </c>
      <c r="O58">
        <v>1</v>
      </c>
      <c r="P58" t="s">
        <v>47</v>
      </c>
      <c r="Q58" t="s">
        <v>73</v>
      </c>
      <c r="R58" t="s">
        <v>41</v>
      </c>
      <c r="S58">
        <v>3375</v>
      </c>
      <c r="T58" t="str" cm="1">
        <f t="array" ref="T58">_xlfn.IFS(S58&gt;=10000,"High (&gt;10k)",S58&gt;=5000,"Medium (5k-10k)",S58&lt;5000,"Low (&lt;5k)")</f>
        <v>Low (&lt;5k)</v>
      </c>
      <c r="U58">
        <v>17624</v>
      </c>
      <c r="V58">
        <v>0</v>
      </c>
      <c r="W58" t="s">
        <v>43</v>
      </c>
      <c r="X58">
        <v>12</v>
      </c>
      <c r="Y58">
        <v>3</v>
      </c>
      <c r="Z58">
        <v>4</v>
      </c>
      <c r="AA58">
        <v>0</v>
      </c>
      <c r="AB58">
        <v>4</v>
      </c>
      <c r="AC58">
        <v>2</v>
      </c>
      <c r="AD58" t="s">
        <v>79</v>
      </c>
      <c r="AE58">
        <v>3</v>
      </c>
      <c r="AF58" t="str" cm="1">
        <f t="array" ref="AF58">_xlfn.IFS(AE58&gt;=10,"Veteran (10y+)",AE58&gt;=3,"Established (3-10y)",AE58&lt;3,"New Hire (&lt;3y)")</f>
        <v>Established (3-10y)</v>
      </c>
      <c r="AG58">
        <v>2</v>
      </c>
      <c r="AH58">
        <v>1</v>
      </c>
      <c r="AI58">
        <v>2</v>
      </c>
    </row>
    <row r="59" spans="1:35">
      <c r="A59">
        <v>23</v>
      </c>
      <c r="B59" t="str">
        <f t="shared" si="0"/>
        <v>Young Adults</v>
      </c>
      <c r="C59">
        <v>0</v>
      </c>
      <c r="D59" t="s">
        <v>36</v>
      </c>
      <c r="E59">
        <v>541</v>
      </c>
      <c r="F59" t="s">
        <v>37</v>
      </c>
      <c r="G59">
        <v>2</v>
      </c>
      <c r="H59" t="str" cm="1">
        <f t="array" ref="H59">_xlfn.IFS(G59&gt;15,"Long Commute",G59&gt;5,"Moderate",G59&lt;=5,"Near Office")</f>
        <v>Near Office</v>
      </c>
      <c r="I59" t="s">
        <v>78</v>
      </c>
      <c r="J59" t="s">
        <v>60</v>
      </c>
      <c r="K59">
        <v>3</v>
      </c>
      <c r="L59" t="s">
        <v>46</v>
      </c>
      <c r="M59">
        <v>62</v>
      </c>
      <c r="N59">
        <v>3</v>
      </c>
      <c r="O59">
        <v>1</v>
      </c>
      <c r="P59" t="s">
        <v>57</v>
      </c>
      <c r="Q59" t="s">
        <v>82</v>
      </c>
      <c r="R59" t="s">
        <v>52</v>
      </c>
      <c r="S59">
        <v>2322</v>
      </c>
      <c r="T59" t="str" cm="1">
        <f t="array" ref="T59">_xlfn.IFS(S59&gt;=10000,"High (&gt;10k)",S59&gt;=5000,"Medium (5k-10k)",S59&lt;5000,"Low (&lt;5k)")</f>
        <v>Low (&lt;5k)</v>
      </c>
      <c r="U59">
        <v>9518</v>
      </c>
      <c r="V59">
        <v>3</v>
      </c>
      <c r="W59" t="s">
        <v>43</v>
      </c>
      <c r="X59">
        <v>13</v>
      </c>
      <c r="Y59">
        <v>3</v>
      </c>
      <c r="Z59">
        <v>3</v>
      </c>
      <c r="AA59">
        <v>1</v>
      </c>
      <c r="AB59">
        <v>3</v>
      </c>
      <c r="AC59">
        <v>3</v>
      </c>
      <c r="AD59" t="s">
        <v>74</v>
      </c>
      <c r="AE59">
        <v>0</v>
      </c>
      <c r="AF59" t="str" cm="1">
        <f t="array" ref="AF59">_xlfn.IFS(AE59&gt;=10,"Veteran (10y+)",AE59&gt;=3,"Established (3-10y)",AE59&lt;3,"New Hire (&lt;3y)")</f>
        <v>New Hire (&lt;3y)</v>
      </c>
      <c r="AG59">
        <v>0</v>
      </c>
      <c r="AH59">
        <v>0</v>
      </c>
      <c r="AI59">
        <v>0</v>
      </c>
    </row>
    <row r="60" spans="1:35">
      <c r="A60">
        <v>23</v>
      </c>
      <c r="B60" t="str">
        <f t="shared" si="0"/>
        <v>Young Adults</v>
      </c>
      <c r="C60">
        <v>0</v>
      </c>
      <c r="D60" t="s">
        <v>36</v>
      </c>
      <c r="E60">
        <v>1309</v>
      </c>
      <c r="F60" t="s">
        <v>45</v>
      </c>
      <c r="G60">
        <v>26</v>
      </c>
      <c r="H60" t="str" cm="1">
        <f t="array" ref="H60">_xlfn.IFS(G60&gt;15,"Long Commute",G60&gt;5,"Moderate",G60&lt;=5,"Near Office")</f>
        <v>Long Commute</v>
      </c>
      <c r="I60" t="s">
        <v>78</v>
      </c>
      <c r="J60" t="s">
        <v>38</v>
      </c>
      <c r="K60">
        <v>3</v>
      </c>
      <c r="L60" t="s">
        <v>46</v>
      </c>
      <c r="M60">
        <v>83</v>
      </c>
      <c r="N60">
        <v>3</v>
      </c>
      <c r="O60">
        <v>1</v>
      </c>
      <c r="P60" t="s">
        <v>47</v>
      </c>
      <c r="Q60" t="s">
        <v>77</v>
      </c>
      <c r="R60" t="s">
        <v>52</v>
      </c>
      <c r="S60">
        <v>2904</v>
      </c>
      <c r="T60" t="str" cm="1">
        <f t="array" ref="T60">_xlfn.IFS(S60&gt;=10000,"High (&gt;10k)",S60&gt;=5000,"Medium (5k-10k)",S60&lt;5000,"Low (&lt;5k)")</f>
        <v>Low (&lt;5k)</v>
      </c>
      <c r="U60">
        <v>16092</v>
      </c>
      <c r="V60">
        <v>1</v>
      </c>
      <c r="W60" t="s">
        <v>43</v>
      </c>
      <c r="X60">
        <v>12</v>
      </c>
      <c r="Y60">
        <v>3</v>
      </c>
      <c r="Z60">
        <v>3</v>
      </c>
      <c r="AA60">
        <v>2</v>
      </c>
      <c r="AB60">
        <v>4</v>
      </c>
      <c r="AC60">
        <v>2</v>
      </c>
      <c r="AD60" t="s">
        <v>81</v>
      </c>
      <c r="AE60">
        <v>4</v>
      </c>
      <c r="AF60" t="str" cm="1">
        <f t="array" ref="AF60">_xlfn.IFS(AE60&gt;=10,"Veteran (10y+)",AE60&gt;=3,"Established (3-10y)",AE60&lt;3,"New Hire (&lt;3y)")</f>
        <v>Established (3-10y)</v>
      </c>
      <c r="AG60">
        <v>2</v>
      </c>
      <c r="AH60">
        <v>0</v>
      </c>
      <c r="AI60">
        <v>2</v>
      </c>
    </row>
    <row r="61" spans="1:35">
      <c r="A61">
        <v>23</v>
      </c>
      <c r="B61" t="str">
        <f t="shared" si="0"/>
        <v>Young Adults</v>
      </c>
      <c r="C61">
        <v>0</v>
      </c>
      <c r="D61" t="s">
        <v>36</v>
      </c>
      <c r="E61">
        <v>885</v>
      </c>
      <c r="F61" t="s">
        <v>45</v>
      </c>
      <c r="G61">
        <v>4</v>
      </c>
      <c r="H61" t="str" cm="1">
        <f t="array" ref="H61">_xlfn.IFS(G61&gt;15,"Long Commute",G61&gt;5,"Moderate",G61&lt;=5,"Near Office")</f>
        <v>Near Office</v>
      </c>
      <c r="I61" t="s">
        <v>72</v>
      </c>
      <c r="J61" t="s">
        <v>51</v>
      </c>
      <c r="K61">
        <v>1</v>
      </c>
      <c r="L61" t="s">
        <v>46</v>
      </c>
      <c r="M61">
        <v>58</v>
      </c>
      <c r="N61">
        <v>4</v>
      </c>
      <c r="O61">
        <v>1</v>
      </c>
      <c r="P61" t="s">
        <v>47</v>
      </c>
      <c r="Q61" t="s">
        <v>82</v>
      </c>
      <c r="R61" t="s">
        <v>48</v>
      </c>
      <c r="S61">
        <v>2819</v>
      </c>
      <c r="T61" t="str" cm="1">
        <f t="array" ref="T61">_xlfn.IFS(S61&gt;=10000,"High (&gt;10k)",S61&gt;=5000,"Medium (5k-10k)",S61&lt;5000,"Low (&lt;5k)")</f>
        <v>Low (&lt;5k)</v>
      </c>
      <c r="U61">
        <v>8544</v>
      </c>
      <c r="V61">
        <v>2</v>
      </c>
      <c r="W61" t="s">
        <v>43</v>
      </c>
      <c r="X61">
        <v>16</v>
      </c>
      <c r="Y61">
        <v>3</v>
      </c>
      <c r="Z61">
        <v>1</v>
      </c>
      <c r="AA61">
        <v>1</v>
      </c>
      <c r="AB61">
        <v>5</v>
      </c>
      <c r="AC61">
        <v>3</v>
      </c>
      <c r="AD61" t="s">
        <v>79</v>
      </c>
      <c r="AE61">
        <v>3</v>
      </c>
      <c r="AF61" t="str" cm="1">
        <f t="array" ref="AF61">_xlfn.IFS(AE61&gt;=10,"Veteran (10y+)",AE61&gt;=3,"Established (3-10y)",AE61&lt;3,"New Hire (&lt;3y)")</f>
        <v>Established (3-10y)</v>
      </c>
      <c r="AG61">
        <v>2</v>
      </c>
      <c r="AH61">
        <v>0</v>
      </c>
      <c r="AI61">
        <v>2</v>
      </c>
    </row>
    <row r="62" spans="1:35">
      <c r="A62">
        <v>23</v>
      </c>
      <c r="B62" t="str">
        <f t="shared" si="0"/>
        <v>Young Adults</v>
      </c>
      <c r="C62">
        <v>0</v>
      </c>
      <c r="D62" t="s">
        <v>36</v>
      </c>
      <c r="E62">
        <v>650</v>
      </c>
      <c r="F62" t="s">
        <v>45</v>
      </c>
      <c r="G62">
        <v>9</v>
      </c>
      <c r="H62" t="str" cm="1">
        <f t="array" ref="H62">_xlfn.IFS(G62&gt;15,"Long Commute",G62&gt;5,"Moderate",G62&lt;=5,"Near Office")</f>
        <v>Moderate</v>
      </c>
      <c r="I62" t="s">
        <v>78</v>
      </c>
      <c r="J62" t="s">
        <v>51</v>
      </c>
      <c r="K62">
        <v>2</v>
      </c>
      <c r="L62" t="s">
        <v>46</v>
      </c>
      <c r="M62">
        <v>37</v>
      </c>
      <c r="N62">
        <v>3</v>
      </c>
      <c r="O62">
        <v>1</v>
      </c>
      <c r="P62" t="s">
        <v>50</v>
      </c>
      <c r="Q62" t="s">
        <v>82</v>
      </c>
      <c r="R62" t="s">
        <v>48</v>
      </c>
      <c r="S62">
        <v>2500</v>
      </c>
      <c r="T62" t="str" cm="1">
        <f t="array" ref="T62">_xlfn.IFS(S62&gt;=10000,"High (&gt;10k)",S62&gt;=5000,"Medium (5k-10k)",S62&lt;5000,"Low (&lt;5k)")</f>
        <v>Low (&lt;5k)</v>
      </c>
      <c r="U62">
        <v>4344</v>
      </c>
      <c r="V62">
        <v>1</v>
      </c>
      <c r="W62" t="s">
        <v>43</v>
      </c>
      <c r="X62">
        <v>14</v>
      </c>
      <c r="Y62">
        <v>3</v>
      </c>
      <c r="Z62">
        <v>4</v>
      </c>
      <c r="AA62">
        <v>1</v>
      </c>
      <c r="AB62">
        <v>5</v>
      </c>
      <c r="AC62">
        <v>2</v>
      </c>
      <c r="AD62" t="s">
        <v>79</v>
      </c>
      <c r="AE62">
        <v>4</v>
      </c>
      <c r="AF62" t="str" cm="1">
        <f t="array" ref="AF62">_xlfn.IFS(AE62&gt;=10,"Veteran (10y+)",AE62&gt;=3,"Established (3-10y)",AE62&lt;3,"New Hire (&lt;3y)")</f>
        <v>Established (3-10y)</v>
      </c>
      <c r="AG62">
        <v>3</v>
      </c>
      <c r="AH62">
        <v>0</v>
      </c>
      <c r="AI62">
        <v>2</v>
      </c>
    </row>
    <row r="63" spans="1:35">
      <c r="A63">
        <v>23</v>
      </c>
      <c r="B63" t="str">
        <f t="shared" si="0"/>
        <v>Young Adults</v>
      </c>
      <c r="C63">
        <v>0</v>
      </c>
      <c r="D63" t="s">
        <v>36</v>
      </c>
      <c r="E63">
        <v>310</v>
      </c>
      <c r="F63" t="s">
        <v>45</v>
      </c>
      <c r="G63">
        <v>10</v>
      </c>
      <c r="H63" t="str" cm="1">
        <f t="array" ref="H63">_xlfn.IFS(G63&gt;15,"Long Commute",G63&gt;5,"Moderate",G63&lt;=5,"Near Office")</f>
        <v>Moderate</v>
      </c>
      <c r="I63" t="s">
        <v>78</v>
      </c>
      <c r="J63" t="s">
        <v>51</v>
      </c>
      <c r="K63">
        <v>1</v>
      </c>
      <c r="L63" t="s">
        <v>46</v>
      </c>
      <c r="M63">
        <v>79</v>
      </c>
      <c r="N63">
        <v>4</v>
      </c>
      <c r="O63">
        <v>1</v>
      </c>
      <c r="P63" t="s">
        <v>47</v>
      </c>
      <c r="Q63" t="s">
        <v>73</v>
      </c>
      <c r="R63" t="s">
        <v>41</v>
      </c>
      <c r="S63">
        <v>3505</v>
      </c>
      <c r="T63" t="str" cm="1">
        <f t="array" ref="T63">_xlfn.IFS(S63&gt;=10000,"High (&gt;10k)",S63&gt;=5000,"Medium (5k-10k)",S63&lt;5000,"Low (&lt;5k)")</f>
        <v>Low (&lt;5k)</v>
      </c>
      <c r="U63">
        <v>19630</v>
      </c>
      <c r="V63">
        <v>1</v>
      </c>
      <c r="W63" t="s">
        <v>43</v>
      </c>
      <c r="X63">
        <v>18</v>
      </c>
      <c r="Y63">
        <v>3</v>
      </c>
      <c r="Z63">
        <v>4</v>
      </c>
      <c r="AA63">
        <v>0</v>
      </c>
      <c r="AB63">
        <v>2</v>
      </c>
      <c r="AC63">
        <v>3</v>
      </c>
      <c r="AD63" t="s">
        <v>74</v>
      </c>
      <c r="AE63">
        <v>2</v>
      </c>
      <c r="AF63" t="str" cm="1">
        <f t="array" ref="AF63">_xlfn.IFS(AE63&gt;=10,"Veteran (10y+)",AE63&gt;=3,"Established (3-10y)",AE63&lt;3,"New Hire (&lt;3y)")</f>
        <v>New Hire (&lt;3y)</v>
      </c>
      <c r="AG63">
        <v>2</v>
      </c>
      <c r="AH63">
        <v>0</v>
      </c>
      <c r="AI63">
        <v>2</v>
      </c>
    </row>
    <row r="64" spans="1:35">
      <c r="A64">
        <v>23</v>
      </c>
      <c r="B64" t="str">
        <f t="shared" si="0"/>
        <v>Young Adults</v>
      </c>
      <c r="C64">
        <v>1</v>
      </c>
      <c r="D64" t="s">
        <v>36</v>
      </c>
      <c r="E64">
        <v>1243</v>
      </c>
      <c r="F64" t="s">
        <v>45</v>
      </c>
      <c r="G64">
        <v>6</v>
      </c>
      <c r="H64" t="str" cm="1">
        <f t="array" ref="H64">_xlfn.IFS(G64&gt;15,"Long Commute",G64&gt;5,"Moderate",G64&lt;=5,"Near Office")</f>
        <v>Moderate</v>
      </c>
      <c r="I64" t="s">
        <v>72</v>
      </c>
      <c r="J64" t="s">
        <v>38</v>
      </c>
      <c r="K64">
        <v>3</v>
      </c>
      <c r="L64" t="s">
        <v>46</v>
      </c>
      <c r="M64">
        <v>63</v>
      </c>
      <c r="N64">
        <v>4</v>
      </c>
      <c r="O64">
        <v>1</v>
      </c>
      <c r="P64" t="s">
        <v>50</v>
      </c>
      <c r="Q64" t="s">
        <v>82</v>
      </c>
      <c r="R64" t="s">
        <v>48</v>
      </c>
      <c r="S64">
        <v>1601</v>
      </c>
      <c r="T64" t="str" cm="1">
        <f t="array" ref="T64">_xlfn.IFS(S64&gt;=10000,"High (&gt;10k)",S64&gt;=5000,"Medium (5k-10k)",S64&lt;5000,"Low (&lt;5k)")</f>
        <v>Low (&lt;5k)</v>
      </c>
      <c r="U64">
        <v>3445</v>
      </c>
      <c r="V64">
        <v>1</v>
      </c>
      <c r="W64" t="s">
        <v>35</v>
      </c>
      <c r="X64">
        <v>21</v>
      </c>
      <c r="Y64">
        <v>4</v>
      </c>
      <c r="Z64">
        <v>3</v>
      </c>
      <c r="AA64">
        <v>2</v>
      </c>
      <c r="AB64">
        <v>1</v>
      </c>
      <c r="AC64">
        <v>2</v>
      </c>
      <c r="AD64" t="s">
        <v>74</v>
      </c>
      <c r="AE64">
        <v>0</v>
      </c>
      <c r="AF64" t="str" cm="1">
        <f t="array" ref="AF64">_xlfn.IFS(AE64&gt;=10,"Veteran (10y+)",AE64&gt;=3,"Established (3-10y)",AE64&lt;3,"New Hire (&lt;3y)")</f>
        <v>New Hire (&lt;3y)</v>
      </c>
      <c r="AG64">
        <v>0</v>
      </c>
      <c r="AH64">
        <v>0</v>
      </c>
      <c r="AI64">
        <v>0</v>
      </c>
    </row>
    <row r="65" spans="1:35">
      <c r="A65">
        <v>23</v>
      </c>
      <c r="B65" t="str">
        <f t="shared" si="0"/>
        <v>Young Adults</v>
      </c>
      <c r="C65">
        <v>0</v>
      </c>
      <c r="D65" t="s">
        <v>36</v>
      </c>
      <c r="E65">
        <v>373</v>
      </c>
      <c r="F65" t="s">
        <v>45</v>
      </c>
      <c r="G65">
        <v>1</v>
      </c>
      <c r="H65" t="str" cm="1">
        <f t="array" ref="H65">_xlfn.IFS(G65&gt;15,"Long Commute",G65&gt;5,"Moderate",G65&lt;=5,"Near Office")</f>
        <v>Near Office</v>
      </c>
      <c r="I65" t="s">
        <v>76</v>
      </c>
      <c r="J65" t="s">
        <v>38</v>
      </c>
      <c r="K65">
        <v>4</v>
      </c>
      <c r="L65" t="s">
        <v>46</v>
      </c>
      <c r="M65">
        <v>47</v>
      </c>
      <c r="N65">
        <v>3</v>
      </c>
      <c r="O65">
        <v>1</v>
      </c>
      <c r="P65" t="s">
        <v>47</v>
      </c>
      <c r="Q65" t="s">
        <v>73</v>
      </c>
      <c r="R65" t="s">
        <v>48</v>
      </c>
      <c r="S65">
        <v>1223</v>
      </c>
      <c r="T65" t="str" cm="1">
        <f t="array" ref="T65">_xlfn.IFS(S65&gt;=10000,"High (&gt;10k)",S65&gt;=5000,"Medium (5k-10k)",S65&lt;5000,"Low (&lt;5k)")</f>
        <v>Low (&lt;5k)</v>
      </c>
      <c r="U65">
        <v>16901</v>
      </c>
      <c r="V65">
        <v>1</v>
      </c>
      <c r="W65" t="s">
        <v>43</v>
      </c>
      <c r="X65">
        <v>22</v>
      </c>
      <c r="Y65">
        <v>4</v>
      </c>
      <c r="Z65">
        <v>4</v>
      </c>
      <c r="AA65">
        <v>1</v>
      </c>
      <c r="AB65">
        <v>1</v>
      </c>
      <c r="AC65">
        <v>2</v>
      </c>
      <c r="AD65" t="s">
        <v>74</v>
      </c>
      <c r="AE65">
        <v>1</v>
      </c>
      <c r="AF65" t="str" cm="1">
        <f t="array" ref="AF65">_xlfn.IFS(AE65&gt;=10,"Veteran (10y+)",AE65&gt;=3,"Established (3-10y)",AE65&lt;3,"New Hire (&lt;3y)")</f>
        <v>New Hire (&lt;3y)</v>
      </c>
      <c r="AG65">
        <v>0</v>
      </c>
      <c r="AH65">
        <v>0</v>
      </c>
      <c r="AI65">
        <v>1</v>
      </c>
    </row>
    <row r="66" spans="1:35">
      <c r="A66">
        <v>23</v>
      </c>
      <c r="B66" t="str">
        <f t="shared" si="0"/>
        <v>Young Adults</v>
      </c>
      <c r="C66">
        <v>0</v>
      </c>
      <c r="D66" t="s">
        <v>36</v>
      </c>
      <c r="E66">
        <v>507</v>
      </c>
      <c r="F66" t="s">
        <v>45</v>
      </c>
      <c r="G66">
        <v>20</v>
      </c>
      <c r="H66" t="str" cm="1">
        <f t="array" ref="H66">_xlfn.IFS(G66&gt;15,"Long Commute",G66&gt;5,"Moderate",G66&lt;=5,"Near Office")</f>
        <v>Long Commute</v>
      </c>
      <c r="I66" t="s">
        <v>78</v>
      </c>
      <c r="J66" t="s">
        <v>38</v>
      </c>
      <c r="K66">
        <v>1</v>
      </c>
      <c r="L66" t="s">
        <v>46</v>
      </c>
      <c r="M66">
        <v>97</v>
      </c>
      <c r="N66">
        <v>3</v>
      </c>
      <c r="O66">
        <v>2</v>
      </c>
      <c r="P66" t="s">
        <v>50</v>
      </c>
      <c r="Q66" t="s">
        <v>73</v>
      </c>
      <c r="R66" t="s">
        <v>41</v>
      </c>
      <c r="S66">
        <v>2272</v>
      </c>
      <c r="T66" t="str" cm="1">
        <f t="array" ref="T66">_xlfn.IFS(S66&gt;=10000,"High (&gt;10k)",S66&gt;=5000,"Medium (5k-10k)",S66&lt;5000,"Low (&lt;5k)")</f>
        <v>Low (&lt;5k)</v>
      </c>
      <c r="U66">
        <v>24812</v>
      </c>
      <c r="V66">
        <v>0</v>
      </c>
      <c r="W66" t="s">
        <v>43</v>
      </c>
      <c r="X66">
        <v>14</v>
      </c>
      <c r="Y66">
        <v>3</v>
      </c>
      <c r="Z66">
        <v>2</v>
      </c>
      <c r="AA66">
        <v>0</v>
      </c>
      <c r="AB66">
        <v>5</v>
      </c>
      <c r="AC66">
        <v>2</v>
      </c>
      <c r="AD66" t="s">
        <v>74</v>
      </c>
      <c r="AE66">
        <v>4</v>
      </c>
      <c r="AF66" t="str" cm="1">
        <f t="array" ref="AF66">_xlfn.IFS(AE66&gt;=10,"Veteran (10y+)",AE66&gt;=3,"Established (3-10y)",AE66&lt;3,"New Hire (&lt;3y)")</f>
        <v>Established (3-10y)</v>
      </c>
      <c r="AG66">
        <v>3</v>
      </c>
      <c r="AH66">
        <v>1</v>
      </c>
      <c r="AI66">
        <v>2</v>
      </c>
    </row>
    <row r="67" spans="1:35">
      <c r="A67">
        <v>23</v>
      </c>
      <c r="B67" t="str">
        <f t="shared" ref="B67:B130" si="1">IF(A67&gt;=46,"Senior",IF(A67&gt;=30,"Middle Aged","Young Adults"))</f>
        <v>Young Adults</v>
      </c>
      <c r="C67">
        <v>0</v>
      </c>
      <c r="D67" t="s">
        <v>36</v>
      </c>
      <c r="E67">
        <v>977</v>
      </c>
      <c r="F67" t="s">
        <v>45</v>
      </c>
      <c r="G67">
        <v>10</v>
      </c>
      <c r="H67" t="str" cm="1">
        <f t="array" ref="H67">_xlfn.IFS(G67&gt;15,"Long Commute",G67&gt;5,"Moderate",G67&lt;=5,"Near Office")</f>
        <v>Moderate</v>
      </c>
      <c r="I67" t="s">
        <v>72</v>
      </c>
      <c r="J67" t="s">
        <v>60</v>
      </c>
      <c r="K67">
        <v>4</v>
      </c>
      <c r="L67" t="s">
        <v>46</v>
      </c>
      <c r="M67">
        <v>45</v>
      </c>
      <c r="N67">
        <v>4</v>
      </c>
      <c r="O67">
        <v>1</v>
      </c>
      <c r="P67" t="s">
        <v>47</v>
      </c>
      <c r="Q67" t="s">
        <v>73</v>
      </c>
      <c r="R67" t="s">
        <v>48</v>
      </c>
      <c r="S67">
        <v>2073</v>
      </c>
      <c r="T67" t="str" cm="1">
        <f t="array" ref="T67">_xlfn.IFS(S67&gt;=10000,"High (&gt;10k)",S67&gt;=5000,"Medium (5k-10k)",S67&lt;5000,"Low (&lt;5k)")</f>
        <v>Low (&lt;5k)</v>
      </c>
      <c r="U67">
        <v>12826</v>
      </c>
      <c r="V67">
        <v>2</v>
      </c>
      <c r="W67" t="s">
        <v>43</v>
      </c>
      <c r="X67">
        <v>16</v>
      </c>
      <c r="Y67">
        <v>3</v>
      </c>
      <c r="Z67">
        <v>4</v>
      </c>
      <c r="AA67">
        <v>1</v>
      </c>
      <c r="AB67">
        <v>4</v>
      </c>
      <c r="AC67">
        <v>2</v>
      </c>
      <c r="AD67" t="s">
        <v>74</v>
      </c>
      <c r="AE67">
        <v>2</v>
      </c>
      <c r="AF67" t="str" cm="1">
        <f t="array" ref="AF67">_xlfn.IFS(AE67&gt;=10,"Veteran (10y+)",AE67&gt;=3,"Established (3-10y)",AE67&lt;3,"New Hire (&lt;3y)")</f>
        <v>New Hire (&lt;3y)</v>
      </c>
      <c r="AG67">
        <v>2</v>
      </c>
      <c r="AH67">
        <v>2</v>
      </c>
      <c r="AI67">
        <v>2</v>
      </c>
    </row>
    <row r="68" spans="1:35">
      <c r="A68">
        <v>23</v>
      </c>
      <c r="B68" t="str">
        <f t="shared" si="1"/>
        <v>Young Adults</v>
      </c>
      <c r="C68">
        <v>1</v>
      </c>
      <c r="D68" t="s">
        <v>36</v>
      </c>
      <c r="E68">
        <v>1320</v>
      </c>
      <c r="F68" t="s">
        <v>45</v>
      </c>
      <c r="G68">
        <v>8</v>
      </c>
      <c r="H68" t="str" cm="1">
        <f t="array" ref="H68">_xlfn.IFS(G68&gt;15,"Long Commute",G68&gt;5,"Moderate",G68&lt;=5,"Near Office")</f>
        <v>Moderate</v>
      </c>
      <c r="I68" t="s">
        <v>78</v>
      </c>
      <c r="J68" t="s">
        <v>51</v>
      </c>
      <c r="K68">
        <v>4</v>
      </c>
      <c r="L68" t="s">
        <v>46</v>
      </c>
      <c r="M68">
        <v>93</v>
      </c>
      <c r="N68">
        <v>2</v>
      </c>
      <c r="O68">
        <v>1</v>
      </c>
      <c r="P68" t="s">
        <v>50</v>
      </c>
      <c r="Q68" t="s">
        <v>73</v>
      </c>
      <c r="R68" t="s">
        <v>41</v>
      </c>
      <c r="S68">
        <v>3989</v>
      </c>
      <c r="T68" t="str" cm="1">
        <f t="array" ref="T68">_xlfn.IFS(S68&gt;=10000,"High (&gt;10k)",S68&gt;=5000,"Medium (5k-10k)",S68&lt;5000,"Low (&lt;5k)")</f>
        <v>Low (&lt;5k)</v>
      </c>
      <c r="U68">
        <v>20586</v>
      </c>
      <c r="V68">
        <v>1</v>
      </c>
      <c r="W68" t="s">
        <v>35</v>
      </c>
      <c r="X68">
        <v>11</v>
      </c>
      <c r="Y68">
        <v>3</v>
      </c>
      <c r="Z68">
        <v>1</v>
      </c>
      <c r="AA68">
        <v>0</v>
      </c>
      <c r="AB68">
        <v>5</v>
      </c>
      <c r="AC68">
        <v>2</v>
      </c>
      <c r="AD68" t="s">
        <v>74</v>
      </c>
      <c r="AE68">
        <v>5</v>
      </c>
      <c r="AF68" t="str" cm="1">
        <f t="array" ref="AF68">_xlfn.IFS(AE68&gt;=10,"Veteran (10y+)",AE68&gt;=3,"Established (3-10y)",AE68&lt;3,"New Hire (&lt;3y)")</f>
        <v>Established (3-10y)</v>
      </c>
      <c r="AG68">
        <v>4</v>
      </c>
      <c r="AH68">
        <v>1</v>
      </c>
      <c r="AI68">
        <v>2</v>
      </c>
    </row>
    <row r="69" spans="1:35">
      <c r="A69">
        <v>23</v>
      </c>
      <c r="B69" t="str">
        <f t="shared" si="1"/>
        <v>Young Adults</v>
      </c>
      <c r="C69">
        <v>1</v>
      </c>
      <c r="D69" t="s">
        <v>36</v>
      </c>
      <c r="E69">
        <v>427</v>
      </c>
      <c r="F69" t="s">
        <v>37</v>
      </c>
      <c r="G69">
        <v>7</v>
      </c>
      <c r="H69" t="str" cm="1">
        <f t="array" ref="H69">_xlfn.IFS(G69&gt;15,"Long Commute",G69&gt;5,"Moderate",G69&lt;=5,"Near Office")</f>
        <v>Moderate</v>
      </c>
      <c r="I69" t="s">
        <v>72</v>
      </c>
      <c r="J69" t="s">
        <v>38</v>
      </c>
      <c r="K69">
        <v>3</v>
      </c>
      <c r="L69" t="s">
        <v>46</v>
      </c>
      <c r="M69">
        <v>99</v>
      </c>
      <c r="N69">
        <v>3</v>
      </c>
      <c r="O69">
        <v>1</v>
      </c>
      <c r="P69" t="s">
        <v>57</v>
      </c>
      <c r="Q69" t="s">
        <v>77</v>
      </c>
      <c r="R69" t="s">
        <v>52</v>
      </c>
      <c r="S69">
        <v>2275</v>
      </c>
      <c r="T69" t="str" cm="1">
        <f t="array" ref="T69">_xlfn.IFS(S69&gt;=10000,"High (&gt;10k)",S69&gt;=5000,"Medium (5k-10k)",S69&lt;5000,"Low (&lt;5k)")</f>
        <v>Low (&lt;5k)</v>
      </c>
      <c r="U69">
        <v>25103</v>
      </c>
      <c r="V69">
        <v>1</v>
      </c>
      <c r="W69" t="s">
        <v>35</v>
      </c>
      <c r="X69">
        <v>21</v>
      </c>
      <c r="Y69">
        <v>4</v>
      </c>
      <c r="Z69">
        <v>2</v>
      </c>
      <c r="AA69">
        <v>1</v>
      </c>
      <c r="AB69">
        <v>3</v>
      </c>
      <c r="AC69">
        <v>2</v>
      </c>
      <c r="AD69" t="s">
        <v>74</v>
      </c>
      <c r="AE69">
        <v>3</v>
      </c>
      <c r="AF69" t="str" cm="1">
        <f t="array" ref="AF69">_xlfn.IFS(AE69&gt;=10,"Veteran (10y+)",AE69&gt;=3,"Established (3-10y)",AE69&lt;3,"New Hire (&lt;3y)")</f>
        <v>Established (3-10y)</v>
      </c>
      <c r="AG69">
        <v>2</v>
      </c>
      <c r="AH69">
        <v>0</v>
      </c>
      <c r="AI69">
        <v>2</v>
      </c>
    </row>
    <row r="70" spans="1:35">
      <c r="A70">
        <v>23</v>
      </c>
      <c r="B70" t="str">
        <f t="shared" si="1"/>
        <v>Young Adults</v>
      </c>
      <c r="C70">
        <v>0</v>
      </c>
      <c r="D70" t="s">
        <v>36</v>
      </c>
      <c r="E70">
        <v>160</v>
      </c>
      <c r="F70" t="s">
        <v>45</v>
      </c>
      <c r="G70">
        <v>4</v>
      </c>
      <c r="H70" t="str" cm="1">
        <f t="array" ref="H70">_xlfn.IFS(G70&gt;15,"Long Commute",G70&gt;5,"Moderate",G70&lt;=5,"Near Office")</f>
        <v>Near Office</v>
      </c>
      <c r="I70" t="s">
        <v>78</v>
      </c>
      <c r="J70" t="s">
        <v>51</v>
      </c>
      <c r="K70">
        <v>3</v>
      </c>
      <c r="L70" t="s">
        <v>39</v>
      </c>
      <c r="M70">
        <v>51</v>
      </c>
      <c r="N70">
        <v>3</v>
      </c>
      <c r="O70">
        <v>1</v>
      </c>
      <c r="P70" t="s">
        <v>50</v>
      </c>
      <c r="Q70" t="s">
        <v>75</v>
      </c>
      <c r="R70" t="s">
        <v>41</v>
      </c>
      <c r="S70">
        <v>3295</v>
      </c>
      <c r="T70" t="str" cm="1">
        <f t="array" ref="T70">_xlfn.IFS(S70&gt;=10000,"High (&gt;10k)",S70&gt;=5000,"Medium (5k-10k)",S70&lt;5000,"Low (&lt;5k)")</f>
        <v>Low (&lt;5k)</v>
      </c>
      <c r="U70">
        <v>12862</v>
      </c>
      <c r="V70">
        <v>1</v>
      </c>
      <c r="W70" t="s">
        <v>43</v>
      </c>
      <c r="X70">
        <v>13</v>
      </c>
      <c r="Y70">
        <v>3</v>
      </c>
      <c r="Z70">
        <v>3</v>
      </c>
      <c r="AA70">
        <v>0</v>
      </c>
      <c r="AB70">
        <v>3</v>
      </c>
      <c r="AC70">
        <v>3</v>
      </c>
      <c r="AD70" t="s">
        <v>80</v>
      </c>
      <c r="AE70">
        <v>3</v>
      </c>
      <c r="AF70" t="str" cm="1">
        <f t="array" ref="AF70">_xlfn.IFS(AE70&gt;=10,"Veteran (10y+)",AE70&gt;=3,"Established (3-10y)",AE70&lt;3,"New Hire (&lt;3y)")</f>
        <v>Established (3-10y)</v>
      </c>
      <c r="AG70">
        <v>2</v>
      </c>
      <c r="AH70">
        <v>1</v>
      </c>
      <c r="AI70">
        <v>2</v>
      </c>
    </row>
    <row r="71" spans="1:35">
      <c r="A71">
        <v>23</v>
      </c>
      <c r="B71" t="str">
        <f t="shared" si="1"/>
        <v>Young Adults</v>
      </c>
      <c r="C71">
        <v>0</v>
      </c>
      <c r="D71" t="s">
        <v>36</v>
      </c>
      <c r="E71">
        <v>571</v>
      </c>
      <c r="F71" t="s">
        <v>45</v>
      </c>
      <c r="G71">
        <v>12</v>
      </c>
      <c r="H71" t="str" cm="1">
        <f t="array" ref="H71">_xlfn.IFS(G71&gt;15,"Long Commute",G71&gt;5,"Moderate",G71&lt;=5,"Near Office")</f>
        <v>Moderate</v>
      </c>
      <c r="I71" t="s">
        <v>76</v>
      </c>
      <c r="J71" t="s">
        <v>49</v>
      </c>
      <c r="K71">
        <v>4</v>
      </c>
      <c r="L71" t="s">
        <v>46</v>
      </c>
      <c r="M71">
        <v>78</v>
      </c>
      <c r="N71">
        <v>3</v>
      </c>
      <c r="O71">
        <v>1</v>
      </c>
      <c r="P71" t="s">
        <v>50</v>
      </c>
      <c r="Q71" t="s">
        <v>77</v>
      </c>
      <c r="R71" t="s">
        <v>41</v>
      </c>
      <c r="S71">
        <v>2647</v>
      </c>
      <c r="T71" t="str" cm="1">
        <f t="array" ref="T71">_xlfn.IFS(S71&gt;=10000,"High (&gt;10k)",S71&gt;=5000,"Medium (5k-10k)",S71&lt;5000,"Low (&lt;5k)")</f>
        <v>Low (&lt;5k)</v>
      </c>
      <c r="U71">
        <v>13672</v>
      </c>
      <c r="V71">
        <v>1</v>
      </c>
      <c r="W71" t="s">
        <v>43</v>
      </c>
      <c r="X71">
        <v>13</v>
      </c>
      <c r="Y71">
        <v>3</v>
      </c>
      <c r="Z71">
        <v>3</v>
      </c>
      <c r="AA71">
        <v>0</v>
      </c>
      <c r="AB71">
        <v>5</v>
      </c>
      <c r="AC71">
        <v>6</v>
      </c>
      <c r="AD71" t="s">
        <v>79</v>
      </c>
      <c r="AE71">
        <v>5</v>
      </c>
      <c r="AF71" t="str" cm="1">
        <f t="array" ref="AF71">_xlfn.IFS(AE71&gt;=10,"Veteran (10y+)",AE71&gt;=3,"Established (3-10y)",AE71&lt;3,"New Hire (&lt;3y)")</f>
        <v>Established (3-10y)</v>
      </c>
      <c r="AG71">
        <v>2</v>
      </c>
      <c r="AH71">
        <v>1</v>
      </c>
      <c r="AI71">
        <v>4</v>
      </c>
    </row>
    <row r="72" spans="1:35">
      <c r="A72">
        <v>23</v>
      </c>
      <c r="B72" t="str">
        <f t="shared" si="1"/>
        <v>Young Adults</v>
      </c>
      <c r="C72">
        <v>1</v>
      </c>
      <c r="D72" t="s">
        <v>44</v>
      </c>
      <c r="E72">
        <v>638</v>
      </c>
      <c r="F72" t="s">
        <v>37</v>
      </c>
      <c r="G72">
        <v>9</v>
      </c>
      <c r="H72" t="str" cm="1">
        <f t="array" ref="H72">_xlfn.IFS(G72&gt;15,"Long Commute",G72&gt;5,"Moderate",G72&lt;=5,"Near Office")</f>
        <v>Moderate</v>
      </c>
      <c r="I72" t="s">
        <v>72</v>
      </c>
      <c r="J72" t="s">
        <v>59</v>
      </c>
      <c r="K72">
        <v>4</v>
      </c>
      <c r="L72" t="s">
        <v>46</v>
      </c>
      <c r="M72">
        <v>33</v>
      </c>
      <c r="N72">
        <v>3</v>
      </c>
      <c r="O72">
        <v>1</v>
      </c>
      <c r="P72" t="s">
        <v>57</v>
      </c>
      <c r="Q72" t="s">
        <v>82</v>
      </c>
      <c r="R72" t="s">
        <v>48</v>
      </c>
      <c r="S72">
        <v>1790</v>
      </c>
      <c r="T72" t="str" cm="1">
        <f t="array" ref="T72">_xlfn.IFS(S72&gt;=10000,"High (&gt;10k)",S72&gt;=5000,"Medium (5k-10k)",S72&lt;5000,"Low (&lt;5k)")</f>
        <v>Low (&lt;5k)</v>
      </c>
      <c r="U72">
        <v>26956</v>
      </c>
      <c r="V72">
        <v>1</v>
      </c>
      <c r="W72" t="s">
        <v>43</v>
      </c>
      <c r="X72">
        <v>19</v>
      </c>
      <c r="Y72">
        <v>3</v>
      </c>
      <c r="Z72">
        <v>1</v>
      </c>
      <c r="AA72">
        <v>1</v>
      </c>
      <c r="AB72">
        <v>1</v>
      </c>
      <c r="AC72">
        <v>3</v>
      </c>
      <c r="AD72" t="s">
        <v>81</v>
      </c>
      <c r="AE72">
        <v>1</v>
      </c>
      <c r="AF72" t="str" cm="1">
        <f t="array" ref="AF72">_xlfn.IFS(AE72&gt;=10,"Veteran (10y+)",AE72&gt;=3,"Established (3-10y)",AE72&lt;3,"New Hire (&lt;3y)")</f>
        <v>New Hire (&lt;3y)</v>
      </c>
      <c r="AG72">
        <v>0</v>
      </c>
      <c r="AH72">
        <v>1</v>
      </c>
      <c r="AI72">
        <v>0</v>
      </c>
    </row>
    <row r="73" spans="1:35">
      <c r="A73">
        <v>24</v>
      </c>
      <c r="B73" t="str">
        <f t="shared" si="1"/>
        <v>Young Adults</v>
      </c>
      <c r="C73">
        <v>0</v>
      </c>
      <c r="D73" t="s">
        <v>55</v>
      </c>
      <c r="E73">
        <v>673</v>
      </c>
      <c r="F73" t="s">
        <v>45</v>
      </c>
      <c r="G73">
        <v>11</v>
      </c>
      <c r="H73" t="str" cm="1">
        <f t="array" ref="H73">_xlfn.IFS(G73&gt;15,"Long Commute",G73&gt;5,"Moderate",G73&lt;=5,"Near Office")</f>
        <v>Moderate</v>
      </c>
      <c r="I73" t="s">
        <v>76</v>
      </c>
      <c r="J73" t="s">
        <v>49</v>
      </c>
      <c r="K73">
        <v>1</v>
      </c>
      <c r="L73" t="s">
        <v>39</v>
      </c>
      <c r="M73">
        <v>96</v>
      </c>
      <c r="N73">
        <v>4</v>
      </c>
      <c r="O73">
        <v>2</v>
      </c>
      <c r="P73" t="s">
        <v>53</v>
      </c>
      <c r="Q73" t="s">
        <v>73</v>
      </c>
      <c r="R73" t="s">
        <v>52</v>
      </c>
      <c r="S73">
        <v>4011</v>
      </c>
      <c r="T73" t="str" cm="1">
        <f t="array" ref="T73">_xlfn.IFS(S73&gt;=10000,"High (&gt;10k)",S73&gt;=5000,"Medium (5k-10k)",S73&lt;5000,"Low (&lt;5k)")</f>
        <v>Low (&lt;5k)</v>
      </c>
      <c r="U73">
        <v>8232</v>
      </c>
      <c r="V73">
        <v>0</v>
      </c>
      <c r="W73" t="s">
        <v>43</v>
      </c>
      <c r="X73">
        <v>18</v>
      </c>
      <c r="Y73">
        <v>3</v>
      </c>
      <c r="Z73">
        <v>4</v>
      </c>
      <c r="AA73">
        <v>1</v>
      </c>
      <c r="AB73">
        <v>5</v>
      </c>
      <c r="AC73">
        <v>5</v>
      </c>
      <c r="AD73" t="s">
        <v>81</v>
      </c>
      <c r="AE73">
        <v>4</v>
      </c>
      <c r="AF73" t="str" cm="1">
        <f t="array" ref="AF73">_xlfn.IFS(AE73&gt;=10,"Veteran (10y+)",AE73&gt;=3,"Established (3-10y)",AE73&lt;3,"New Hire (&lt;3y)")</f>
        <v>Established (3-10y)</v>
      </c>
      <c r="AG73">
        <v>2</v>
      </c>
      <c r="AH73">
        <v>1</v>
      </c>
      <c r="AI73">
        <v>3</v>
      </c>
    </row>
    <row r="74" spans="1:35">
      <c r="A74">
        <v>24</v>
      </c>
      <c r="B74" t="str">
        <f t="shared" si="1"/>
        <v>Young Adults</v>
      </c>
      <c r="C74">
        <v>1</v>
      </c>
      <c r="D74" t="s">
        <v>36</v>
      </c>
      <c r="E74">
        <v>813</v>
      </c>
      <c r="F74" t="s">
        <v>45</v>
      </c>
      <c r="G74">
        <v>1</v>
      </c>
      <c r="H74" t="str" cm="1">
        <f t="array" ref="H74">_xlfn.IFS(G74&gt;15,"Long Commute",G74&gt;5,"Moderate",G74&lt;=5,"Near Office")</f>
        <v>Near Office</v>
      </c>
      <c r="I74" t="s">
        <v>72</v>
      </c>
      <c r="J74" t="s">
        <v>51</v>
      </c>
      <c r="K74">
        <v>2</v>
      </c>
      <c r="L74" t="s">
        <v>46</v>
      </c>
      <c r="M74">
        <v>61</v>
      </c>
      <c r="N74">
        <v>3</v>
      </c>
      <c r="O74">
        <v>1</v>
      </c>
      <c r="P74" t="s">
        <v>47</v>
      </c>
      <c r="Q74" t="s">
        <v>77</v>
      </c>
      <c r="R74" t="s">
        <v>48</v>
      </c>
      <c r="S74">
        <v>2293</v>
      </c>
      <c r="T74" t="str" cm="1">
        <f t="array" ref="T74">_xlfn.IFS(S74&gt;=10000,"High (&gt;10k)",S74&gt;=5000,"Medium (5k-10k)",S74&lt;5000,"Low (&lt;5k)")</f>
        <v>Low (&lt;5k)</v>
      </c>
      <c r="U74">
        <v>3020</v>
      </c>
      <c r="V74">
        <v>2</v>
      </c>
      <c r="W74" t="s">
        <v>35</v>
      </c>
      <c r="X74">
        <v>16</v>
      </c>
      <c r="Y74">
        <v>3</v>
      </c>
      <c r="Z74">
        <v>1</v>
      </c>
      <c r="AA74">
        <v>1</v>
      </c>
      <c r="AB74">
        <v>6</v>
      </c>
      <c r="AC74">
        <v>2</v>
      </c>
      <c r="AD74" t="s">
        <v>81</v>
      </c>
      <c r="AE74">
        <v>2</v>
      </c>
      <c r="AF74" t="str" cm="1">
        <f t="array" ref="AF74">_xlfn.IFS(AE74&gt;=10,"Veteran (10y+)",AE74&gt;=3,"Established (3-10y)",AE74&lt;3,"New Hire (&lt;3y)")</f>
        <v>New Hire (&lt;3y)</v>
      </c>
      <c r="AG74">
        <v>0</v>
      </c>
      <c r="AH74">
        <v>2</v>
      </c>
      <c r="AI74">
        <v>0</v>
      </c>
    </row>
    <row r="75" spans="1:35">
      <c r="A75">
        <v>24</v>
      </c>
      <c r="B75" t="str">
        <f t="shared" si="1"/>
        <v>Young Adults</v>
      </c>
      <c r="C75">
        <v>0</v>
      </c>
      <c r="D75" t="s">
        <v>36</v>
      </c>
      <c r="E75">
        <v>1353</v>
      </c>
      <c r="F75" t="s">
        <v>37</v>
      </c>
      <c r="G75">
        <v>3</v>
      </c>
      <c r="H75" t="str" cm="1">
        <f t="array" ref="H75">_xlfn.IFS(G75&gt;15,"Long Commute",G75&gt;5,"Moderate",G75&lt;=5,"Near Office")</f>
        <v>Near Office</v>
      </c>
      <c r="I75" t="s">
        <v>76</v>
      </c>
      <c r="J75" t="s">
        <v>49</v>
      </c>
      <c r="K75">
        <v>1</v>
      </c>
      <c r="L75" t="s">
        <v>39</v>
      </c>
      <c r="M75">
        <v>33</v>
      </c>
      <c r="N75">
        <v>3</v>
      </c>
      <c r="O75">
        <v>2</v>
      </c>
      <c r="P75" t="s">
        <v>40</v>
      </c>
      <c r="Q75" t="s">
        <v>73</v>
      </c>
      <c r="R75" t="s">
        <v>48</v>
      </c>
      <c r="S75">
        <v>4999</v>
      </c>
      <c r="T75" t="str" cm="1">
        <f t="array" ref="T75">_xlfn.IFS(S75&gt;=10000,"High (&gt;10k)",S75&gt;=5000,"Medium (5k-10k)",S75&lt;5000,"Low (&lt;5k)")</f>
        <v>Low (&lt;5k)</v>
      </c>
      <c r="U75">
        <v>17519</v>
      </c>
      <c r="V75">
        <v>0</v>
      </c>
      <c r="W75" t="s">
        <v>43</v>
      </c>
      <c r="X75">
        <v>21</v>
      </c>
      <c r="Y75">
        <v>4</v>
      </c>
      <c r="Z75">
        <v>1</v>
      </c>
      <c r="AA75">
        <v>1</v>
      </c>
      <c r="AB75">
        <v>4</v>
      </c>
      <c r="AC75">
        <v>2</v>
      </c>
      <c r="AD75" t="s">
        <v>81</v>
      </c>
      <c r="AE75">
        <v>3</v>
      </c>
      <c r="AF75" t="str" cm="1">
        <f t="array" ref="AF75">_xlfn.IFS(AE75&gt;=10,"Veteran (10y+)",AE75&gt;=3,"Established (3-10y)",AE75&lt;3,"New Hire (&lt;3y)")</f>
        <v>Established (3-10y)</v>
      </c>
      <c r="AG75">
        <v>2</v>
      </c>
      <c r="AH75">
        <v>0</v>
      </c>
      <c r="AI75">
        <v>2</v>
      </c>
    </row>
    <row r="76" spans="1:35">
      <c r="A76">
        <v>24</v>
      </c>
      <c r="B76" t="str">
        <f t="shared" si="1"/>
        <v>Young Adults</v>
      </c>
      <c r="C76">
        <v>0</v>
      </c>
      <c r="D76" t="s">
        <v>36</v>
      </c>
      <c r="E76">
        <v>1127</v>
      </c>
      <c r="F76" t="s">
        <v>45</v>
      </c>
      <c r="G76">
        <v>18</v>
      </c>
      <c r="H76" t="str" cm="1">
        <f t="array" ref="H76">_xlfn.IFS(G76&gt;15,"Long Commute",G76&gt;5,"Moderate",G76&lt;=5,"Near Office")</f>
        <v>Long Commute</v>
      </c>
      <c r="I76" t="s">
        <v>78</v>
      </c>
      <c r="J76" t="s">
        <v>38</v>
      </c>
      <c r="K76">
        <v>2</v>
      </c>
      <c r="L76" t="s">
        <v>46</v>
      </c>
      <c r="M76">
        <v>52</v>
      </c>
      <c r="N76">
        <v>3</v>
      </c>
      <c r="O76">
        <v>1</v>
      </c>
      <c r="P76" t="s">
        <v>50</v>
      </c>
      <c r="Q76" t="s">
        <v>73</v>
      </c>
      <c r="R76" t="s">
        <v>48</v>
      </c>
      <c r="S76">
        <v>2774</v>
      </c>
      <c r="T76" t="str" cm="1">
        <f t="array" ref="T76">_xlfn.IFS(S76&gt;=10000,"High (&gt;10k)",S76&gt;=5000,"Medium (5k-10k)",S76&lt;5000,"Low (&lt;5k)")</f>
        <v>Low (&lt;5k)</v>
      </c>
      <c r="U76">
        <v>13257</v>
      </c>
      <c r="V76">
        <v>0</v>
      </c>
      <c r="W76" t="s">
        <v>43</v>
      </c>
      <c r="X76">
        <v>12</v>
      </c>
      <c r="Y76">
        <v>3</v>
      </c>
      <c r="Z76">
        <v>3</v>
      </c>
      <c r="AA76">
        <v>1</v>
      </c>
      <c r="AB76">
        <v>6</v>
      </c>
      <c r="AC76">
        <v>2</v>
      </c>
      <c r="AD76" t="s">
        <v>74</v>
      </c>
      <c r="AE76">
        <v>5</v>
      </c>
      <c r="AF76" t="str" cm="1">
        <f t="array" ref="AF76">_xlfn.IFS(AE76&gt;=10,"Veteran (10y+)",AE76&gt;=3,"Established (3-10y)",AE76&lt;3,"New Hire (&lt;3y)")</f>
        <v>Established (3-10y)</v>
      </c>
      <c r="AG76">
        <v>3</v>
      </c>
      <c r="AH76">
        <v>1</v>
      </c>
      <c r="AI76">
        <v>2</v>
      </c>
    </row>
    <row r="77" spans="1:35">
      <c r="A77">
        <v>24</v>
      </c>
      <c r="B77" t="str">
        <f t="shared" si="1"/>
        <v>Young Adults</v>
      </c>
      <c r="C77">
        <v>0</v>
      </c>
      <c r="D77" t="s">
        <v>36</v>
      </c>
      <c r="E77">
        <v>1371</v>
      </c>
      <c r="F77" t="s">
        <v>37</v>
      </c>
      <c r="G77">
        <v>10</v>
      </c>
      <c r="H77" t="str" cm="1">
        <f t="array" ref="H77">_xlfn.IFS(G77&gt;15,"Long Commute",G77&gt;5,"Moderate",G77&lt;=5,"Near Office")</f>
        <v>Moderate</v>
      </c>
      <c r="I77" t="s">
        <v>83</v>
      </c>
      <c r="J77" t="s">
        <v>59</v>
      </c>
      <c r="K77">
        <v>4</v>
      </c>
      <c r="L77" t="s">
        <v>39</v>
      </c>
      <c r="M77">
        <v>77</v>
      </c>
      <c r="N77">
        <v>3</v>
      </c>
      <c r="O77">
        <v>2</v>
      </c>
      <c r="P77" t="s">
        <v>40</v>
      </c>
      <c r="Q77" t="s">
        <v>73</v>
      </c>
      <c r="R77" t="s">
        <v>52</v>
      </c>
      <c r="S77">
        <v>4260</v>
      </c>
      <c r="T77" t="str" cm="1">
        <f t="array" ref="T77">_xlfn.IFS(S77&gt;=10000,"High (&gt;10k)",S77&gt;=5000,"Medium (5k-10k)",S77&lt;5000,"Low (&lt;5k)")</f>
        <v>Low (&lt;5k)</v>
      </c>
      <c r="U77">
        <v>5915</v>
      </c>
      <c r="V77">
        <v>1</v>
      </c>
      <c r="W77" t="s">
        <v>35</v>
      </c>
      <c r="X77">
        <v>12</v>
      </c>
      <c r="Y77">
        <v>3</v>
      </c>
      <c r="Z77">
        <v>4</v>
      </c>
      <c r="AA77">
        <v>1</v>
      </c>
      <c r="AB77">
        <v>5</v>
      </c>
      <c r="AC77">
        <v>2</v>
      </c>
      <c r="AD77" t="s">
        <v>79</v>
      </c>
      <c r="AE77">
        <v>5</v>
      </c>
      <c r="AF77" t="str" cm="1">
        <f t="array" ref="AF77">_xlfn.IFS(AE77&gt;=10,"Veteran (10y+)",AE77&gt;=3,"Established (3-10y)",AE77&lt;3,"New Hire (&lt;3y)")</f>
        <v>Established (3-10y)</v>
      </c>
      <c r="AG77">
        <v>2</v>
      </c>
      <c r="AH77">
        <v>0</v>
      </c>
      <c r="AI77">
        <v>3</v>
      </c>
    </row>
    <row r="78" spans="1:35">
      <c r="A78">
        <v>24</v>
      </c>
      <c r="B78" t="str">
        <f t="shared" si="1"/>
        <v>Young Adults</v>
      </c>
      <c r="C78">
        <v>1</v>
      </c>
      <c r="D78" t="s">
        <v>36</v>
      </c>
      <c r="E78">
        <v>1448</v>
      </c>
      <c r="F78" t="s">
        <v>37</v>
      </c>
      <c r="G78">
        <v>1</v>
      </c>
      <c r="H78" t="str" cm="1">
        <f t="array" ref="H78">_xlfn.IFS(G78&gt;15,"Long Commute",G78&gt;5,"Moderate",G78&lt;=5,"Near Office")</f>
        <v>Near Office</v>
      </c>
      <c r="I78" t="s">
        <v>78</v>
      </c>
      <c r="J78" t="s">
        <v>60</v>
      </c>
      <c r="K78">
        <v>1</v>
      </c>
      <c r="L78" t="s">
        <v>39</v>
      </c>
      <c r="M78">
        <v>62</v>
      </c>
      <c r="N78">
        <v>3</v>
      </c>
      <c r="O78">
        <v>1</v>
      </c>
      <c r="P78" t="s">
        <v>57</v>
      </c>
      <c r="Q78" t="s">
        <v>75</v>
      </c>
      <c r="R78" t="s">
        <v>41</v>
      </c>
      <c r="S78">
        <v>3202</v>
      </c>
      <c r="T78" t="str" cm="1">
        <f t="array" ref="T78">_xlfn.IFS(S78&gt;=10000,"High (&gt;10k)",S78&gt;=5000,"Medium (5k-10k)",S78&lt;5000,"Low (&lt;5k)")</f>
        <v>Low (&lt;5k)</v>
      </c>
      <c r="U78">
        <v>21972</v>
      </c>
      <c r="V78">
        <v>1</v>
      </c>
      <c r="W78" t="s">
        <v>35</v>
      </c>
      <c r="X78">
        <v>16</v>
      </c>
      <c r="Y78">
        <v>3</v>
      </c>
      <c r="Z78">
        <v>2</v>
      </c>
      <c r="AA78">
        <v>0</v>
      </c>
      <c r="AB78">
        <v>6</v>
      </c>
      <c r="AC78">
        <v>4</v>
      </c>
      <c r="AD78" t="s">
        <v>74</v>
      </c>
      <c r="AE78">
        <v>5</v>
      </c>
      <c r="AF78" t="str" cm="1">
        <f t="array" ref="AF78">_xlfn.IFS(AE78&gt;=10,"Veteran (10y+)",AE78&gt;=3,"Established (3-10y)",AE78&lt;3,"New Hire (&lt;3y)")</f>
        <v>Established (3-10y)</v>
      </c>
      <c r="AG78">
        <v>3</v>
      </c>
      <c r="AH78">
        <v>1</v>
      </c>
      <c r="AI78">
        <v>4</v>
      </c>
    </row>
    <row r="79" spans="1:35">
      <c r="A79">
        <v>24</v>
      </c>
      <c r="B79" t="str">
        <f t="shared" si="1"/>
        <v>Young Adults</v>
      </c>
      <c r="C79">
        <v>0</v>
      </c>
      <c r="D79" t="s">
        <v>44</v>
      </c>
      <c r="E79">
        <v>535</v>
      </c>
      <c r="F79" t="s">
        <v>37</v>
      </c>
      <c r="G79">
        <v>24</v>
      </c>
      <c r="H79" t="str" cm="1">
        <f t="array" ref="H79">_xlfn.IFS(G79&gt;15,"Long Commute",G79&gt;5,"Moderate",G79&lt;=5,"Near Office")</f>
        <v>Long Commute</v>
      </c>
      <c r="I79" t="s">
        <v>72</v>
      </c>
      <c r="J79" t="s">
        <v>51</v>
      </c>
      <c r="K79">
        <v>4</v>
      </c>
      <c r="L79" t="s">
        <v>46</v>
      </c>
      <c r="M79">
        <v>38</v>
      </c>
      <c r="N79">
        <v>3</v>
      </c>
      <c r="O79">
        <v>1</v>
      </c>
      <c r="P79" t="s">
        <v>57</v>
      </c>
      <c r="Q79" t="s">
        <v>77</v>
      </c>
      <c r="R79" t="s">
        <v>48</v>
      </c>
      <c r="S79">
        <v>2400</v>
      </c>
      <c r="T79" t="str" cm="1">
        <f t="array" ref="T79">_xlfn.IFS(S79&gt;=10000,"High (&gt;10k)",S79&gt;=5000,"Medium (5k-10k)",S79&lt;5000,"Low (&lt;5k)")</f>
        <v>Low (&lt;5k)</v>
      </c>
      <c r="U79">
        <v>5530</v>
      </c>
      <c r="V79">
        <v>0</v>
      </c>
      <c r="W79" t="s">
        <v>43</v>
      </c>
      <c r="X79">
        <v>13</v>
      </c>
      <c r="Y79">
        <v>3</v>
      </c>
      <c r="Z79">
        <v>3</v>
      </c>
      <c r="AA79">
        <v>2</v>
      </c>
      <c r="AB79">
        <v>3</v>
      </c>
      <c r="AC79">
        <v>3</v>
      </c>
      <c r="AD79" t="s">
        <v>74</v>
      </c>
      <c r="AE79">
        <v>2</v>
      </c>
      <c r="AF79" t="str" cm="1">
        <f t="array" ref="AF79">_xlfn.IFS(AE79&gt;=10,"Veteran (10y+)",AE79&gt;=3,"Established (3-10y)",AE79&lt;3,"New Hire (&lt;3y)")</f>
        <v>New Hire (&lt;3y)</v>
      </c>
      <c r="AG79">
        <v>2</v>
      </c>
      <c r="AH79">
        <v>2</v>
      </c>
      <c r="AI79">
        <v>1</v>
      </c>
    </row>
    <row r="80" spans="1:35">
      <c r="A80">
        <v>24</v>
      </c>
      <c r="B80" t="str">
        <f t="shared" si="1"/>
        <v>Young Adults</v>
      </c>
      <c r="C80">
        <v>0</v>
      </c>
      <c r="D80" t="s">
        <v>36</v>
      </c>
      <c r="E80">
        <v>691</v>
      </c>
      <c r="F80" t="s">
        <v>45</v>
      </c>
      <c r="G80">
        <v>23</v>
      </c>
      <c r="H80" t="str" cm="1">
        <f t="array" ref="H80">_xlfn.IFS(G80&gt;15,"Long Commute",G80&gt;5,"Moderate",G80&lt;=5,"Near Office")</f>
        <v>Long Commute</v>
      </c>
      <c r="I80" t="s">
        <v>72</v>
      </c>
      <c r="J80" t="s">
        <v>51</v>
      </c>
      <c r="K80">
        <v>2</v>
      </c>
      <c r="L80" t="s">
        <v>46</v>
      </c>
      <c r="M80">
        <v>89</v>
      </c>
      <c r="N80">
        <v>4</v>
      </c>
      <c r="O80">
        <v>1</v>
      </c>
      <c r="P80" t="s">
        <v>47</v>
      </c>
      <c r="Q80" t="s">
        <v>77</v>
      </c>
      <c r="R80" t="s">
        <v>48</v>
      </c>
      <c r="S80">
        <v>2725</v>
      </c>
      <c r="T80" t="str" cm="1">
        <f t="array" ref="T80">_xlfn.IFS(S80&gt;=10000,"High (&gt;10k)",S80&gt;=5000,"Medium (5k-10k)",S80&lt;5000,"Low (&lt;5k)")</f>
        <v>Low (&lt;5k)</v>
      </c>
      <c r="U80">
        <v>21630</v>
      </c>
      <c r="V80">
        <v>1</v>
      </c>
      <c r="W80" t="s">
        <v>35</v>
      </c>
      <c r="X80">
        <v>11</v>
      </c>
      <c r="Y80">
        <v>3</v>
      </c>
      <c r="Z80">
        <v>2</v>
      </c>
      <c r="AA80">
        <v>2</v>
      </c>
      <c r="AB80">
        <v>6</v>
      </c>
      <c r="AC80">
        <v>3</v>
      </c>
      <c r="AD80" t="s">
        <v>74</v>
      </c>
      <c r="AE80">
        <v>6</v>
      </c>
      <c r="AF80" t="str" cm="1">
        <f t="array" ref="AF80">_xlfn.IFS(AE80&gt;=10,"Veteran (10y+)",AE80&gt;=3,"Established (3-10y)",AE80&lt;3,"New Hire (&lt;3y)")</f>
        <v>Established (3-10y)</v>
      </c>
      <c r="AG80">
        <v>5</v>
      </c>
      <c r="AH80">
        <v>1</v>
      </c>
      <c r="AI80">
        <v>4</v>
      </c>
    </row>
    <row r="81" spans="1:35">
      <c r="A81">
        <v>24</v>
      </c>
      <c r="B81" t="str">
        <f t="shared" si="1"/>
        <v>Young Adults</v>
      </c>
      <c r="C81">
        <v>0</v>
      </c>
      <c r="D81" t="s">
        <v>36</v>
      </c>
      <c r="E81">
        <v>823</v>
      </c>
      <c r="F81" t="s">
        <v>45</v>
      </c>
      <c r="G81">
        <v>17</v>
      </c>
      <c r="H81" t="str" cm="1">
        <f t="array" ref="H81">_xlfn.IFS(G81&gt;15,"Long Commute",G81&gt;5,"Moderate",G81&lt;=5,"Near Office")</f>
        <v>Long Commute</v>
      </c>
      <c r="I81" t="s">
        <v>76</v>
      </c>
      <c r="J81" t="s">
        <v>49</v>
      </c>
      <c r="K81">
        <v>4</v>
      </c>
      <c r="L81" t="s">
        <v>46</v>
      </c>
      <c r="M81">
        <v>94</v>
      </c>
      <c r="N81">
        <v>2</v>
      </c>
      <c r="O81">
        <v>1</v>
      </c>
      <c r="P81" t="s">
        <v>50</v>
      </c>
      <c r="Q81" t="s">
        <v>75</v>
      </c>
      <c r="R81" t="s">
        <v>48</v>
      </c>
      <c r="S81">
        <v>2127</v>
      </c>
      <c r="T81" t="str" cm="1">
        <f t="array" ref="T81">_xlfn.IFS(S81&gt;=10000,"High (&gt;10k)",S81&gt;=5000,"Medium (5k-10k)",S81&lt;5000,"Low (&lt;5k)")</f>
        <v>Low (&lt;5k)</v>
      </c>
      <c r="U81">
        <v>9100</v>
      </c>
      <c r="V81">
        <v>1</v>
      </c>
      <c r="W81" t="s">
        <v>43</v>
      </c>
      <c r="X81">
        <v>21</v>
      </c>
      <c r="Y81">
        <v>4</v>
      </c>
      <c r="Z81">
        <v>4</v>
      </c>
      <c r="AA81">
        <v>1</v>
      </c>
      <c r="AB81">
        <v>1</v>
      </c>
      <c r="AC81">
        <v>2</v>
      </c>
      <c r="AD81" t="s">
        <v>74</v>
      </c>
      <c r="AE81">
        <v>1</v>
      </c>
      <c r="AF81" t="str" cm="1">
        <f t="array" ref="AF81">_xlfn.IFS(AE81&gt;=10,"Veteran (10y+)",AE81&gt;=3,"Established (3-10y)",AE81&lt;3,"New Hire (&lt;3y)")</f>
        <v>New Hire (&lt;3y)</v>
      </c>
      <c r="AG81">
        <v>0</v>
      </c>
      <c r="AH81">
        <v>0</v>
      </c>
      <c r="AI81">
        <v>0</v>
      </c>
    </row>
    <row r="82" spans="1:35">
      <c r="A82">
        <v>24</v>
      </c>
      <c r="B82" t="str">
        <f t="shared" si="1"/>
        <v>Young Adults</v>
      </c>
      <c r="C82">
        <v>1</v>
      </c>
      <c r="D82" t="s">
        <v>44</v>
      </c>
      <c r="E82">
        <v>1287</v>
      </c>
      <c r="F82" t="s">
        <v>45</v>
      </c>
      <c r="G82">
        <v>7</v>
      </c>
      <c r="H82" t="str" cm="1">
        <f t="array" ref="H82">_xlfn.IFS(G82&gt;15,"Long Commute",G82&gt;5,"Moderate",G82&lt;=5,"Near Office")</f>
        <v>Moderate</v>
      </c>
      <c r="I82" t="s">
        <v>72</v>
      </c>
      <c r="J82" t="s">
        <v>38</v>
      </c>
      <c r="K82">
        <v>1</v>
      </c>
      <c r="L82" t="s">
        <v>39</v>
      </c>
      <c r="M82">
        <v>55</v>
      </c>
      <c r="N82">
        <v>3</v>
      </c>
      <c r="O82">
        <v>1</v>
      </c>
      <c r="P82" t="s">
        <v>50</v>
      </c>
      <c r="Q82" t="s">
        <v>73</v>
      </c>
      <c r="R82" t="s">
        <v>48</v>
      </c>
      <c r="S82">
        <v>2886</v>
      </c>
      <c r="T82" t="str" cm="1">
        <f t="array" ref="T82">_xlfn.IFS(S82&gt;=10000,"High (&gt;10k)",S82&gt;=5000,"Medium (5k-10k)",S82&lt;5000,"Low (&lt;5k)")</f>
        <v>Low (&lt;5k)</v>
      </c>
      <c r="U82">
        <v>14168</v>
      </c>
      <c r="V82">
        <v>1</v>
      </c>
      <c r="W82" t="s">
        <v>35</v>
      </c>
      <c r="X82">
        <v>16</v>
      </c>
      <c r="Y82">
        <v>3</v>
      </c>
      <c r="Z82">
        <v>4</v>
      </c>
      <c r="AA82">
        <v>1</v>
      </c>
      <c r="AB82">
        <v>6</v>
      </c>
      <c r="AC82">
        <v>4</v>
      </c>
      <c r="AD82" t="s">
        <v>74</v>
      </c>
      <c r="AE82">
        <v>6</v>
      </c>
      <c r="AF82" t="str" cm="1">
        <f t="array" ref="AF82">_xlfn.IFS(AE82&gt;=10,"Veteran (10y+)",AE82&gt;=3,"Established (3-10y)",AE82&lt;3,"New Hire (&lt;3y)")</f>
        <v>Established (3-10y)</v>
      </c>
      <c r="AG82">
        <v>3</v>
      </c>
      <c r="AH82">
        <v>1</v>
      </c>
      <c r="AI82">
        <v>2</v>
      </c>
    </row>
    <row r="83" spans="1:35">
      <c r="A83">
        <v>24</v>
      </c>
      <c r="B83" t="str">
        <f t="shared" si="1"/>
        <v>Young Adults</v>
      </c>
      <c r="C83">
        <v>1</v>
      </c>
      <c r="D83" t="s">
        <v>36</v>
      </c>
      <c r="E83">
        <v>693</v>
      </c>
      <c r="F83" t="s">
        <v>37</v>
      </c>
      <c r="G83">
        <v>3</v>
      </c>
      <c r="H83" t="str" cm="1">
        <f t="array" ref="H83">_xlfn.IFS(G83&gt;15,"Long Commute",G83&gt;5,"Moderate",G83&lt;=5,"Near Office")</f>
        <v>Near Office</v>
      </c>
      <c r="I83" t="s">
        <v>76</v>
      </c>
      <c r="J83" t="s">
        <v>38</v>
      </c>
      <c r="K83">
        <v>1</v>
      </c>
      <c r="L83" t="s">
        <v>39</v>
      </c>
      <c r="M83">
        <v>65</v>
      </c>
      <c r="N83">
        <v>3</v>
      </c>
      <c r="O83">
        <v>2</v>
      </c>
      <c r="P83" t="s">
        <v>40</v>
      </c>
      <c r="Q83" t="s">
        <v>73</v>
      </c>
      <c r="R83" t="s">
        <v>41</v>
      </c>
      <c r="S83">
        <v>4577</v>
      </c>
      <c r="T83" t="str" cm="1">
        <f t="array" ref="T83">_xlfn.IFS(S83&gt;=10000,"High (&gt;10k)",S83&gt;=5000,"Medium (5k-10k)",S83&lt;5000,"Low (&lt;5k)")</f>
        <v>Low (&lt;5k)</v>
      </c>
      <c r="U83">
        <v>24785</v>
      </c>
      <c r="V83">
        <v>9</v>
      </c>
      <c r="W83" t="s">
        <v>43</v>
      </c>
      <c r="X83">
        <v>14</v>
      </c>
      <c r="Y83">
        <v>3</v>
      </c>
      <c r="Z83">
        <v>1</v>
      </c>
      <c r="AA83">
        <v>0</v>
      </c>
      <c r="AB83">
        <v>4</v>
      </c>
      <c r="AC83">
        <v>3</v>
      </c>
      <c r="AD83" t="s">
        <v>74</v>
      </c>
      <c r="AE83">
        <v>2</v>
      </c>
      <c r="AF83" t="str" cm="1">
        <f t="array" ref="AF83">_xlfn.IFS(AE83&gt;=10,"Veteran (10y+)",AE83&gt;=3,"Established (3-10y)",AE83&lt;3,"New Hire (&lt;3y)")</f>
        <v>New Hire (&lt;3y)</v>
      </c>
      <c r="AG83">
        <v>2</v>
      </c>
      <c r="AH83">
        <v>2</v>
      </c>
      <c r="AI83">
        <v>0</v>
      </c>
    </row>
    <row r="84" spans="1:35">
      <c r="A84">
        <v>24</v>
      </c>
      <c r="B84" t="str">
        <f t="shared" si="1"/>
        <v>Young Adults</v>
      </c>
      <c r="C84">
        <v>0</v>
      </c>
      <c r="D84" t="s">
        <v>55</v>
      </c>
      <c r="E84">
        <v>1092</v>
      </c>
      <c r="F84" t="s">
        <v>45</v>
      </c>
      <c r="G84">
        <v>9</v>
      </c>
      <c r="H84" t="str" cm="1">
        <f t="array" ref="H84">_xlfn.IFS(G84&gt;15,"Long Commute",G84&gt;5,"Moderate",G84&lt;=5,"Near Office")</f>
        <v>Moderate</v>
      </c>
      <c r="I84" t="s">
        <v>72</v>
      </c>
      <c r="J84" t="s">
        <v>38</v>
      </c>
      <c r="K84">
        <v>3</v>
      </c>
      <c r="L84" t="s">
        <v>46</v>
      </c>
      <c r="M84">
        <v>60</v>
      </c>
      <c r="N84">
        <v>2</v>
      </c>
      <c r="O84">
        <v>1</v>
      </c>
      <c r="P84" t="s">
        <v>50</v>
      </c>
      <c r="Q84" t="s">
        <v>75</v>
      </c>
      <c r="R84" t="s">
        <v>52</v>
      </c>
      <c r="S84">
        <v>2694</v>
      </c>
      <c r="T84" t="str" cm="1">
        <f t="array" ref="T84">_xlfn.IFS(S84&gt;=10000,"High (&gt;10k)",S84&gt;=5000,"Medium (5k-10k)",S84&lt;5000,"Low (&lt;5k)")</f>
        <v>Low (&lt;5k)</v>
      </c>
      <c r="U84">
        <v>26551</v>
      </c>
      <c r="V84">
        <v>1</v>
      </c>
      <c r="W84" t="s">
        <v>43</v>
      </c>
      <c r="X84">
        <v>11</v>
      </c>
      <c r="Y84">
        <v>3</v>
      </c>
      <c r="Z84">
        <v>3</v>
      </c>
      <c r="AA84">
        <v>3</v>
      </c>
      <c r="AB84">
        <v>1</v>
      </c>
      <c r="AC84">
        <v>4</v>
      </c>
      <c r="AD84" t="s">
        <v>74</v>
      </c>
      <c r="AE84">
        <v>1</v>
      </c>
      <c r="AF84" t="str" cm="1">
        <f t="array" ref="AF84">_xlfn.IFS(AE84&gt;=10,"Veteran (10y+)",AE84&gt;=3,"Established (3-10y)",AE84&lt;3,"New Hire (&lt;3y)")</f>
        <v>New Hire (&lt;3y)</v>
      </c>
      <c r="AG84">
        <v>0</v>
      </c>
      <c r="AH84">
        <v>0</v>
      </c>
      <c r="AI84">
        <v>0</v>
      </c>
    </row>
    <row r="85" spans="1:35">
      <c r="A85">
        <v>24</v>
      </c>
      <c r="B85" t="str">
        <f t="shared" si="1"/>
        <v>Young Adults</v>
      </c>
      <c r="C85">
        <v>0</v>
      </c>
      <c r="D85" t="s">
        <v>55</v>
      </c>
      <c r="E85">
        <v>1269</v>
      </c>
      <c r="F85" t="s">
        <v>45</v>
      </c>
      <c r="G85">
        <v>4</v>
      </c>
      <c r="H85" t="str" cm="1">
        <f t="array" ref="H85">_xlfn.IFS(G85&gt;15,"Long Commute",G85&gt;5,"Moderate",G85&lt;=5,"Near Office")</f>
        <v>Near Office</v>
      </c>
      <c r="I85" t="s">
        <v>78</v>
      </c>
      <c r="J85" t="s">
        <v>38</v>
      </c>
      <c r="K85">
        <v>1</v>
      </c>
      <c r="L85" t="s">
        <v>46</v>
      </c>
      <c r="M85">
        <v>46</v>
      </c>
      <c r="N85">
        <v>2</v>
      </c>
      <c r="O85">
        <v>1</v>
      </c>
      <c r="P85" t="s">
        <v>50</v>
      </c>
      <c r="Q85" t="s">
        <v>77</v>
      </c>
      <c r="R85" t="s">
        <v>48</v>
      </c>
      <c r="S85">
        <v>3162</v>
      </c>
      <c r="T85" t="str" cm="1">
        <f t="array" ref="T85">_xlfn.IFS(S85&gt;=10000,"High (&gt;10k)",S85&gt;=5000,"Medium (5k-10k)",S85&lt;5000,"Low (&lt;5k)")</f>
        <v>Low (&lt;5k)</v>
      </c>
      <c r="U85">
        <v>10778</v>
      </c>
      <c r="V85">
        <v>0</v>
      </c>
      <c r="W85" t="s">
        <v>43</v>
      </c>
      <c r="X85">
        <v>17</v>
      </c>
      <c r="Y85">
        <v>3</v>
      </c>
      <c r="Z85">
        <v>4</v>
      </c>
      <c r="AA85">
        <v>0</v>
      </c>
      <c r="AB85">
        <v>6</v>
      </c>
      <c r="AC85">
        <v>2</v>
      </c>
      <c r="AD85" t="s">
        <v>81</v>
      </c>
      <c r="AE85">
        <v>5</v>
      </c>
      <c r="AF85" t="str" cm="1">
        <f t="array" ref="AF85">_xlfn.IFS(AE85&gt;=10,"Veteran (10y+)",AE85&gt;=3,"Established (3-10y)",AE85&lt;3,"New Hire (&lt;3y)")</f>
        <v>Established (3-10y)</v>
      </c>
      <c r="AG85">
        <v>2</v>
      </c>
      <c r="AH85">
        <v>3</v>
      </c>
      <c r="AI85">
        <v>4</v>
      </c>
    </row>
    <row r="86" spans="1:35">
      <c r="A86">
        <v>24</v>
      </c>
      <c r="B86" t="str">
        <f t="shared" si="1"/>
        <v>Young Adults</v>
      </c>
      <c r="C86">
        <v>0</v>
      </c>
      <c r="D86" t="s">
        <v>36</v>
      </c>
      <c r="E86">
        <v>1206</v>
      </c>
      <c r="F86" t="s">
        <v>45</v>
      </c>
      <c r="G86">
        <v>17</v>
      </c>
      <c r="H86" t="str" cm="1">
        <f t="array" ref="H86">_xlfn.IFS(G86&gt;15,"Long Commute",G86&gt;5,"Moderate",G86&lt;=5,"Near Office")</f>
        <v>Long Commute</v>
      </c>
      <c r="I86" t="s">
        <v>78</v>
      </c>
      <c r="J86" t="s">
        <v>51</v>
      </c>
      <c r="K86">
        <v>4</v>
      </c>
      <c r="L86" t="s">
        <v>39</v>
      </c>
      <c r="M86">
        <v>41</v>
      </c>
      <c r="N86">
        <v>2</v>
      </c>
      <c r="O86">
        <v>2</v>
      </c>
      <c r="P86" t="s">
        <v>53</v>
      </c>
      <c r="Q86" t="s">
        <v>73</v>
      </c>
      <c r="R86" t="s">
        <v>52</v>
      </c>
      <c r="S86">
        <v>4377</v>
      </c>
      <c r="T86" t="str" cm="1">
        <f t="array" ref="T86">_xlfn.IFS(S86&gt;=10000,"High (&gt;10k)",S86&gt;=5000,"Medium (5k-10k)",S86&lt;5000,"Low (&lt;5k)")</f>
        <v>Low (&lt;5k)</v>
      </c>
      <c r="U86">
        <v>24117</v>
      </c>
      <c r="V86">
        <v>1</v>
      </c>
      <c r="W86" t="s">
        <v>43</v>
      </c>
      <c r="X86">
        <v>15</v>
      </c>
      <c r="Y86">
        <v>3</v>
      </c>
      <c r="Z86">
        <v>2</v>
      </c>
      <c r="AA86">
        <v>2</v>
      </c>
      <c r="AB86">
        <v>5</v>
      </c>
      <c r="AC86">
        <v>6</v>
      </c>
      <c r="AD86" t="s">
        <v>74</v>
      </c>
      <c r="AE86">
        <v>4</v>
      </c>
      <c r="AF86" t="str" cm="1">
        <f t="array" ref="AF86">_xlfn.IFS(AE86&gt;=10,"Veteran (10y+)",AE86&gt;=3,"Established (3-10y)",AE86&lt;3,"New Hire (&lt;3y)")</f>
        <v>Established (3-10y)</v>
      </c>
      <c r="AG86">
        <v>2</v>
      </c>
      <c r="AH86">
        <v>3</v>
      </c>
      <c r="AI86">
        <v>2</v>
      </c>
    </row>
    <row r="87" spans="1:35">
      <c r="A87">
        <v>24</v>
      </c>
      <c r="B87" t="str">
        <f t="shared" si="1"/>
        <v>Young Adults</v>
      </c>
      <c r="C87">
        <v>0</v>
      </c>
      <c r="D87" t="s">
        <v>36</v>
      </c>
      <c r="E87">
        <v>477</v>
      </c>
      <c r="F87" t="s">
        <v>45</v>
      </c>
      <c r="G87">
        <v>24</v>
      </c>
      <c r="H87" t="str" cm="1">
        <f t="array" ref="H87">_xlfn.IFS(G87&gt;15,"Long Commute",G87&gt;5,"Moderate",G87&lt;=5,"Near Office")</f>
        <v>Long Commute</v>
      </c>
      <c r="I87" t="s">
        <v>72</v>
      </c>
      <c r="J87" t="s">
        <v>51</v>
      </c>
      <c r="K87">
        <v>4</v>
      </c>
      <c r="L87" t="s">
        <v>46</v>
      </c>
      <c r="M87">
        <v>49</v>
      </c>
      <c r="N87">
        <v>3</v>
      </c>
      <c r="O87">
        <v>1</v>
      </c>
      <c r="P87" t="s">
        <v>50</v>
      </c>
      <c r="Q87" t="s">
        <v>75</v>
      </c>
      <c r="R87" t="s">
        <v>41</v>
      </c>
      <c r="S87">
        <v>3597</v>
      </c>
      <c r="T87" t="str" cm="1">
        <f t="array" ref="T87">_xlfn.IFS(S87&gt;=10000,"High (&gt;10k)",S87&gt;=5000,"Medium (5k-10k)",S87&lt;5000,"Low (&lt;5k)")</f>
        <v>Low (&lt;5k)</v>
      </c>
      <c r="U87">
        <v>6409</v>
      </c>
      <c r="V87">
        <v>8</v>
      </c>
      <c r="W87" t="s">
        <v>43</v>
      </c>
      <c r="X87">
        <v>22</v>
      </c>
      <c r="Y87">
        <v>4</v>
      </c>
      <c r="Z87">
        <v>4</v>
      </c>
      <c r="AA87">
        <v>0</v>
      </c>
      <c r="AB87">
        <v>6</v>
      </c>
      <c r="AC87">
        <v>2</v>
      </c>
      <c r="AD87" t="s">
        <v>74</v>
      </c>
      <c r="AE87">
        <v>4</v>
      </c>
      <c r="AF87" t="str" cm="1">
        <f t="array" ref="AF87">_xlfn.IFS(AE87&gt;=10,"Veteran (10y+)",AE87&gt;=3,"Established (3-10y)",AE87&lt;3,"New Hire (&lt;3y)")</f>
        <v>Established (3-10y)</v>
      </c>
      <c r="AG87">
        <v>3</v>
      </c>
      <c r="AH87">
        <v>1</v>
      </c>
      <c r="AI87">
        <v>2</v>
      </c>
    </row>
    <row r="88" spans="1:35">
      <c r="A88">
        <v>24</v>
      </c>
      <c r="B88" t="str">
        <f t="shared" si="1"/>
        <v>Young Adults</v>
      </c>
      <c r="C88">
        <v>1</v>
      </c>
      <c r="D88" t="s">
        <v>36</v>
      </c>
      <c r="E88">
        <v>984</v>
      </c>
      <c r="F88" t="s">
        <v>45</v>
      </c>
      <c r="G88">
        <v>17</v>
      </c>
      <c r="H88" t="str" cm="1">
        <f t="array" ref="H88">_xlfn.IFS(G88&gt;15,"Long Commute",G88&gt;5,"Moderate",G88&lt;=5,"Near Office")</f>
        <v>Long Commute</v>
      </c>
      <c r="I88" t="s">
        <v>76</v>
      </c>
      <c r="J88" t="s">
        <v>38</v>
      </c>
      <c r="K88">
        <v>4</v>
      </c>
      <c r="L88" t="s">
        <v>39</v>
      </c>
      <c r="M88">
        <v>97</v>
      </c>
      <c r="N88">
        <v>3</v>
      </c>
      <c r="O88">
        <v>1</v>
      </c>
      <c r="P88" t="s">
        <v>50</v>
      </c>
      <c r="Q88" t="s">
        <v>75</v>
      </c>
      <c r="R88" t="s">
        <v>48</v>
      </c>
      <c r="S88">
        <v>2210</v>
      </c>
      <c r="T88" t="str" cm="1">
        <f t="array" ref="T88">_xlfn.IFS(S88&gt;=10000,"High (&gt;10k)",S88&gt;=5000,"Medium (5k-10k)",S88&lt;5000,"Low (&lt;5k)")</f>
        <v>Low (&lt;5k)</v>
      </c>
      <c r="U88">
        <v>3372</v>
      </c>
      <c r="V88">
        <v>1</v>
      </c>
      <c r="W88" t="s">
        <v>43</v>
      </c>
      <c r="X88">
        <v>13</v>
      </c>
      <c r="Y88">
        <v>3</v>
      </c>
      <c r="Z88">
        <v>1</v>
      </c>
      <c r="AA88">
        <v>1</v>
      </c>
      <c r="AB88">
        <v>1</v>
      </c>
      <c r="AC88">
        <v>3</v>
      </c>
      <c r="AD88" t="s">
        <v>80</v>
      </c>
      <c r="AE88">
        <v>1</v>
      </c>
      <c r="AF88" t="str" cm="1">
        <f t="array" ref="AF88">_xlfn.IFS(AE88&gt;=10,"Veteran (10y+)",AE88&gt;=3,"Established (3-10y)",AE88&lt;3,"New Hire (&lt;3y)")</f>
        <v>New Hire (&lt;3y)</v>
      </c>
      <c r="AG88">
        <v>0</v>
      </c>
      <c r="AH88">
        <v>0</v>
      </c>
      <c r="AI88">
        <v>0</v>
      </c>
    </row>
    <row r="89" spans="1:35">
      <c r="A89">
        <v>24</v>
      </c>
      <c r="B89" t="str">
        <f t="shared" si="1"/>
        <v>Young Adults</v>
      </c>
      <c r="C89">
        <v>0</v>
      </c>
      <c r="D89" t="s">
        <v>36</v>
      </c>
      <c r="E89">
        <v>1476</v>
      </c>
      <c r="F89" t="s">
        <v>37</v>
      </c>
      <c r="G89">
        <v>4</v>
      </c>
      <c r="H89" t="str" cm="1">
        <f t="array" ref="H89">_xlfn.IFS(G89&gt;15,"Long Commute",G89&gt;5,"Moderate",G89&lt;=5,"Near Office")</f>
        <v>Near Office</v>
      </c>
      <c r="I89" t="s">
        <v>78</v>
      </c>
      <c r="J89" t="s">
        <v>51</v>
      </c>
      <c r="K89">
        <v>4</v>
      </c>
      <c r="L89" t="s">
        <v>39</v>
      </c>
      <c r="M89">
        <v>42</v>
      </c>
      <c r="N89">
        <v>3</v>
      </c>
      <c r="O89">
        <v>2</v>
      </c>
      <c r="P89" t="s">
        <v>40</v>
      </c>
      <c r="Q89" t="s">
        <v>73</v>
      </c>
      <c r="R89" t="s">
        <v>48</v>
      </c>
      <c r="S89">
        <v>4162</v>
      </c>
      <c r="T89" t="str" cm="1">
        <f t="array" ref="T89">_xlfn.IFS(S89&gt;=10000,"High (&gt;10k)",S89&gt;=5000,"Medium (5k-10k)",S89&lt;5000,"Low (&lt;5k)")</f>
        <v>Low (&lt;5k)</v>
      </c>
      <c r="U89">
        <v>15211</v>
      </c>
      <c r="V89">
        <v>1</v>
      </c>
      <c r="W89" t="s">
        <v>35</v>
      </c>
      <c r="X89">
        <v>12</v>
      </c>
      <c r="Y89">
        <v>3</v>
      </c>
      <c r="Z89">
        <v>3</v>
      </c>
      <c r="AA89">
        <v>2</v>
      </c>
      <c r="AB89">
        <v>5</v>
      </c>
      <c r="AC89">
        <v>3</v>
      </c>
      <c r="AD89" t="s">
        <v>74</v>
      </c>
      <c r="AE89">
        <v>5</v>
      </c>
      <c r="AF89" t="str" cm="1">
        <f t="array" ref="AF89">_xlfn.IFS(AE89&gt;=10,"Veteran (10y+)",AE89&gt;=3,"Established (3-10y)",AE89&lt;3,"New Hire (&lt;3y)")</f>
        <v>Established (3-10y)</v>
      </c>
      <c r="AG89">
        <v>4</v>
      </c>
      <c r="AH89">
        <v>0</v>
      </c>
      <c r="AI89">
        <v>3</v>
      </c>
    </row>
    <row r="90" spans="1:35">
      <c r="A90">
        <v>24</v>
      </c>
      <c r="B90" t="str">
        <f t="shared" si="1"/>
        <v>Young Adults</v>
      </c>
      <c r="C90">
        <v>1</v>
      </c>
      <c r="D90" t="s">
        <v>44</v>
      </c>
      <c r="E90">
        <v>381</v>
      </c>
      <c r="F90" t="s">
        <v>45</v>
      </c>
      <c r="G90">
        <v>9</v>
      </c>
      <c r="H90" t="str" cm="1">
        <f t="array" ref="H90">_xlfn.IFS(G90&gt;15,"Long Commute",G90&gt;5,"Moderate",G90&lt;=5,"Near Office")</f>
        <v>Moderate</v>
      </c>
      <c r="I90" t="s">
        <v>72</v>
      </c>
      <c r="J90" t="s">
        <v>51</v>
      </c>
      <c r="K90">
        <v>2</v>
      </c>
      <c r="L90" t="s">
        <v>46</v>
      </c>
      <c r="M90">
        <v>89</v>
      </c>
      <c r="N90">
        <v>3</v>
      </c>
      <c r="O90">
        <v>1</v>
      </c>
      <c r="P90" t="s">
        <v>50</v>
      </c>
      <c r="Q90" t="s">
        <v>82</v>
      </c>
      <c r="R90" t="s">
        <v>41</v>
      </c>
      <c r="S90">
        <v>3172</v>
      </c>
      <c r="T90" t="str" cm="1">
        <f t="array" ref="T90">_xlfn.IFS(S90&gt;=10000,"High (&gt;10k)",S90&gt;=5000,"Medium (5k-10k)",S90&lt;5000,"Low (&lt;5k)")</f>
        <v>Low (&lt;5k)</v>
      </c>
      <c r="U90">
        <v>16998</v>
      </c>
      <c r="V90">
        <v>2</v>
      </c>
      <c r="W90" t="s">
        <v>35</v>
      </c>
      <c r="X90">
        <v>11</v>
      </c>
      <c r="Y90">
        <v>3</v>
      </c>
      <c r="Z90">
        <v>3</v>
      </c>
      <c r="AA90">
        <v>0</v>
      </c>
      <c r="AB90">
        <v>4</v>
      </c>
      <c r="AC90">
        <v>2</v>
      </c>
      <c r="AD90" t="s">
        <v>81</v>
      </c>
      <c r="AE90">
        <v>0</v>
      </c>
      <c r="AF90" t="str" cm="1">
        <f t="array" ref="AF90">_xlfn.IFS(AE90&gt;=10,"Veteran (10y+)",AE90&gt;=3,"Established (3-10y)",AE90&lt;3,"New Hire (&lt;3y)")</f>
        <v>New Hire (&lt;3y)</v>
      </c>
      <c r="AG90">
        <v>0</v>
      </c>
      <c r="AH90">
        <v>0</v>
      </c>
      <c r="AI90">
        <v>0</v>
      </c>
    </row>
    <row r="91" spans="1:35">
      <c r="A91">
        <v>24</v>
      </c>
      <c r="B91" t="str">
        <f t="shared" si="1"/>
        <v>Young Adults</v>
      </c>
      <c r="C91">
        <v>0</v>
      </c>
      <c r="D91" t="s">
        <v>55</v>
      </c>
      <c r="E91">
        <v>830</v>
      </c>
      <c r="F91" t="s">
        <v>37</v>
      </c>
      <c r="G91">
        <v>13</v>
      </c>
      <c r="H91" t="str" cm="1">
        <f t="array" ref="H91">_xlfn.IFS(G91&gt;15,"Long Commute",G91&gt;5,"Moderate",G91&lt;=5,"Near Office")</f>
        <v>Moderate</v>
      </c>
      <c r="I91" t="s">
        <v>76</v>
      </c>
      <c r="J91" t="s">
        <v>38</v>
      </c>
      <c r="K91">
        <v>4</v>
      </c>
      <c r="L91" t="s">
        <v>39</v>
      </c>
      <c r="M91">
        <v>78</v>
      </c>
      <c r="N91">
        <v>3</v>
      </c>
      <c r="O91">
        <v>1</v>
      </c>
      <c r="P91" t="s">
        <v>57</v>
      </c>
      <c r="Q91" t="s">
        <v>75</v>
      </c>
      <c r="R91" t="s">
        <v>48</v>
      </c>
      <c r="S91">
        <v>2033</v>
      </c>
      <c r="T91" t="str" cm="1">
        <f t="array" ref="T91">_xlfn.IFS(S91&gt;=10000,"High (&gt;10k)",S91&gt;=5000,"Medium (5k-10k)",S91&lt;5000,"Low (&lt;5k)")</f>
        <v>Low (&lt;5k)</v>
      </c>
      <c r="U91">
        <v>7103</v>
      </c>
      <c r="V91">
        <v>1</v>
      </c>
      <c r="W91" t="s">
        <v>43</v>
      </c>
      <c r="X91">
        <v>13</v>
      </c>
      <c r="Y91">
        <v>3</v>
      </c>
      <c r="Z91">
        <v>3</v>
      </c>
      <c r="AA91">
        <v>1</v>
      </c>
      <c r="AB91">
        <v>1</v>
      </c>
      <c r="AC91">
        <v>2</v>
      </c>
      <c r="AD91" t="s">
        <v>74</v>
      </c>
      <c r="AE91">
        <v>1</v>
      </c>
      <c r="AF91" t="str" cm="1">
        <f t="array" ref="AF91">_xlfn.IFS(AE91&gt;=10,"Veteran (10y+)",AE91&gt;=3,"Established (3-10y)",AE91&lt;3,"New Hire (&lt;3y)")</f>
        <v>New Hire (&lt;3y)</v>
      </c>
      <c r="AG91">
        <v>0</v>
      </c>
      <c r="AH91">
        <v>0</v>
      </c>
      <c r="AI91">
        <v>0</v>
      </c>
    </row>
    <row r="92" spans="1:35">
      <c r="A92">
        <v>24</v>
      </c>
      <c r="B92" t="str">
        <f t="shared" si="1"/>
        <v>Young Adults</v>
      </c>
      <c r="C92">
        <v>0</v>
      </c>
      <c r="D92" t="s">
        <v>36</v>
      </c>
      <c r="E92">
        <v>350</v>
      </c>
      <c r="F92" t="s">
        <v>45</v>
      </c>
      <c r="G92">
        <v>21</v>
      </c>
      <c r="H92" t="str" cm="1">
        <f t="array" ref="H92">_xlfn.IFS(G92&gt;15,"Long Commute",G92&gt;5,"Moderate",G92&lt;=5,"Near Office")</f>
        <v>Long Commute</v>
      </c>
      <c r="I92" t="s">
        <v>76</v>
      </c>
      <c r="J92" t="s">
        <v>60</v>
      </c>
      <c r="K92">
        <v>3</v>
      </c>
      <c r="L92" t="s">
        <v>46</v>
      </c>
      <c r="M92">
        <v>57</v>
      </c>
      <c r="N92">
        <v>2</v>
      </c>
      <c r="O92">
        <v>1</v>
      </c>
      <c r="P92" t="s">
        <v>50</v>
      </c>
      <c r="Q92" t="s">
        <v>82</v>
      </c>
      <c r="R92" t="s">
        <v>52</v>
      </c>
      <c r="S92">
        <v>2296</v>
      </c>
      <c r="T92" t="str" cm="1">
        <f t="array" ref="T92">_xlfn.IFS(S92&gt;=10000,"High (&gt;10k)",S92&gt;=5000,"Medium (5k-10k)",S92&lt;5000,"Low (&lt;5k)")</f>
        <v>Low (&lt;5k)</v>
      </c>
      <c r="U92">
        <v>10036</v>
      </c>
      <c r="V92">
        <v>0</v>
      </c>
      <c r="W92" t="s">
        <v>43</v>
      </c>
      <c r="X92">
        <v>14</v>
      </c>
      <c r="Y92">
        <v>3</v>
      </c>
      <c r="Z92">
        <v>2</v>
      </c>
      <c r="AA92">
        <v>3</v>
      </c>
      <c r="AB92">
        <v>2</v>
      </c>
      <c r="AC92">
        <v>3</v>
      </c>
      <c r="AD92" t="s">
        <v>74</v>
      </c>
      <c r="AE92">
        <v>1</v>
      </c>
      <c r="AF92" t="str" cm="1">
        <f t="array" ref="AF92">_xlfn.IFS(AE92&gt;=10,"Veteran (10y+)",AE92&gt;=3,"Established (3-10y)",AE92&lt;3,"New Hire (&lt;3y)")</f>
        <v>New Hire (&lt;3y)</v>
      </c>
      <c r="AG92">
        <v>1</v>
      </c>
      <c r="AH92">
        <v>0</v>
      </c>
      <c r="AI92">
        <v>0</v>
      </c>
    </row>
    <row r="93" spans="1:35">
      <c r="A93">
        <v>24</v>
      </c>
      <c r="B93" t="str">
        <f t="shared" si="1"/>
        <v>Young Adults</v>
      </c>
      <c r="C93">
        <v>0</v>
      </c>
      <c r="D93" t="s">
        <v>44</v>
      </c>
      <c r="E93">
        <v>567</v>
      </c>
      <c r="F93" t="s">
        <v>45</v>
      </c>
      <c r="G93">
        <v>2</v>
      </c>
      <c r="H93" t="str" cm="1">
        <f t="array" ref="H93">_xlfn.IFS(G93&gt;15,"Long Commute",G93&gt;5,"Moderate",G93&lt;=5,"Near Office")</f>
        <v>Near Office</v>
      </c>
      <c r="I93" t="s">
        <v>78</v>
      </c>
      <c r="J93" t="s">
        <v>60</v>
      </c>
      <c r="K93">
        <v>1</v>
      </c>
      <c r="L93" t="s">
        <v>39</v>
      </c>
      <c r="M93">
        <v>32</v>
      </c>
      <c r="N93">
        <v>3</v>
      </c>
      <c r="O93">
        <v>1</v>
      </c>
      <c r="P93" t="s">
        <v>47</v>
      </c>
      <c r="Q93" t="s">
        <v>77</v>
      </c>
      <c r="R93" t="s">
        <v>41</v>
      </c>
      <c r="S93">
        <v>3760</v>
      </c>
      <c r="T93" t="str" cm="1">
        <f t="array" ref="T93">_xlfn.IFS(S93&gt;=10000,"High (&gt;10k)",S93&gt;=5000,"Medium (5k-10k)",S93&lt;5000,"Low (&lt;5k)")</f>
        <v>Low (&lt;5k)</v>
      </c>
      <c r="U93">
        <v>17218</v>
      </c>
      <c r="V93">
        <v>1</v>
      </c>
      <c r="W93" t="s">
        <v>35</v>
      </c>
      <c r="X93">
        <v>13</v>
      </c>
      <c r="Y93">
        <v>3</v>
      </c>
      <c r="Z93">
        <v>3</v>
      </c>
      <c r="AA93">
        <v>0</v>
      </c>
      <c r="AB93">
        <v>6</v>
      </c>
      <c r="AC93">
        <v>2</v>
      </c>
      <c r="AD93" t="s">
        <v>74</v>
      </c>
      <c r="AE93">
        <v>6</v>
      </c>
      <c r="AF93" t="str" cm="1">
        <f t="array" ref="AF93">_xlfn.IFS(AE93&gt;=10,"Veteran (10y+)",AE93&gt;=3,"Established (3-10y)",AE93&lt;3,"New Hire (&lt;3y)")</f>
        <v>Established (3-10y)</v>
      </c>
      <c r="AG93">
        <v>3</v>
      </c>
      <c r="AH93">
        <v>1</v>
      </c>
      <c r="AI93">
        <v>3</v>
      </c>
    </row>
    <row r="94" spans="1:35">
      <c r="A94">
        <v>24</v>
      </c>
      <c r="B94" t="str">
        <f t="shared" si="1"/>
        <v>Young Adults</v>
      </c>
      <c r="C94">
        <v>0</v>
      </c>
      <c r="D94" t="s">
        <v>36</v>
      </c>
      <c r="E94">
        <v>581</v>
      </c>
      <c r="F94" t="s">
        <v>45</v>
      </c>
      <c r="G94">
        <v>9</v>
      </c>
      <c r="H94" t="str" cm="1">
        <f t="array" ref="H94">_xlfn.IFS(G94&gt;15,"Long Commute",G94&gt;5,"Moderate",G94&lt;=5,"Near Office")</f>
        <v>Moderate</v>
      </c>
      <c r="I94" t="s">
        <v>72</v>
      </c>
      <c r="J94" t="s">
        <v>51</v>
      </c>
      <c r="K94">
        <v>3</v>
      </c>
      <c r="L94" t="s">
        <v>46</v>
      </c>
      <c r="M94">
        <v>62</v>
      </c>
      <c r="N94">
        <v>4</v>
      </c>
      <c r="O94">
        <v>1</v>
      </c>
      <c r="P94" t="s">
        <v>47</v>
      </c>
      <c r="Q94" t="s">
        <v>73</v>
      </c>
      <c r="R94" t="s">
        <v>48</v>
      </c>
      <c r="S94">
        <v>4401</v>
      </c>
      <c r="T94" t="str" cm="1">
        <f t="array" ref="T94">_xlfn.IFS(S94&gt;=10000,"High (&gt;10k)",S94&gt;=5000,"Medium (5k-10k)",S94&lt;5000,"Low (&lt;5k)")</f>
        <v>Low (&lt;5k)</v>
      </c>
      <c r="U94">
        <v>17616</v>
      </c>
      <c r="V94">
        <v>1</v>
      </c>
      <c r="W94" t="s">
        <v>43</v>
      </c>
      <c r="X94">
        <v>16</v>
      </c>
      <c r="Y94">
        <v>3</v>
      </c>
      <c r="Z94">
        <v>4</v>
      </c>
      <c r="AA94">
        <v>1</v>
      </c>
      <c r="AB94">
        <v>5</v>
      </c>
      <c r="AC94">
        <v>1</v>
      </c>
      <c r="AD94" t="s">
        <v>74</v>
      </c>
      <c r="AE94">
        <v>5</v>
      </c>
      <c r="AF94" t="str" cm="1">
        <f t="array" ref="AF94">_xlfn.IFS(AE94&gt;=10,"Veteran (10y+)",AE94&gt;=3,"Established (3-10y)",AE94&lt;3,"New Hire (&lt;3y)")</f>
        <v>Established (3-10y)</v>
      </c>
      <c r="AG94">
        <v>3</v>
      </c>
      <c r="AH94">
        <v>0</v>
      </c>
      <c r="AI94">
        <v>4</v>
      </c>
    </row>
    <row r="95" spans="1:35">
      <c r="A95">
        <v>24</v>
      </c>
      <c r="B95" t="str">
        <f t="shared" si="1"/>
        <v>Young Adults</v>
      </c>
      <c r="C95">
        <v>1</v>
      </c>
      <c r="D95" t="s">
        <v>36</v>
      </c>
      <c r="E95">
        <v>240</v>
      </c>
      <c r="F95" t="s">
        <v>61</v>
      </c>
      <c r="G95">
        <v>22</v>
      </c>
      <c r="H95" t="str" cm="1">
        <f t="array" ref="H95">_xlfn.IFS(G95&gt;15,"Long Commute",G95&gt;5,"Moderate",G95&lt;=5,"Near Office")</f>
        <v>Long Commute</v>
      </c>
      <c r="I95" t="s">
        <v>78</v>
      </c>
      <c r="J95" t="s">
        <v>61</v>
      </c>
      <c r="K95">
        <v>4</v>
      </c>
      <c r="L95" t="s">
        <v>46</v>
      </c>
      <c r="M95">
        <v>58</v>
      </c>
      <c r="N95">
        <v>1</v>
      </c>
      <c r="O95">
        <v>1</v>
      </c>
      <c r="P95" t="s">
        <v>61</v>
      </c>
      <c r="Q95" t="s">
        <v>73</v>
      </c>
      <c r="R95" t="s">
        <v>48</v>
      </c>
      <c r="S95">
        <v>1555</v>
      </c>
      <c r="T95" t="str" cm="1">
        <f t="array" ref="T95">_xlfn.IFS(S95&gt;=10000,"High (&gt;10k)",S95&gt;=5000,"Medium (5k-10k)",S95&lt;5000,"Low (&lt;5k)")</f>
        <v>Low (&lt;5k)</v>
      </c>
      <c r="U95">
        <v>11585</v>
      </c>
      <c r="V95">
        <v>1</v>
      </c>
      <c r="W95" t="s">
        <v>43</v>
      </c>
      <c r="X95">
        <v>11</v>
      </c>
      <c r="Y95">
        <v>3</v>
      </c>
      <c r="Z95">
        <v>3</v>
      </c>
      <c r="AA95">
        <v>1</v>
      </c>
      <c r="AB95">
        <v>1</v>
      </c>
      <c r="AC95">
        <v>2</v>
      </c>
      <c r="AD95" t="s">
        <v>74</v>
      </c>
      <c r="AE95">
        <v>1</v>
      </c>
      <c r="AF95" t="str" cm="1">
        <f t="array" ref="AF95">_xlfn.IFS(AE95&gt;=10,"Veteran (10y+)",AE95&gt;=3,"Established (3-10y)",AE95&lt;3,"New Hire (&lt;3y)")</f>
        <v>New Hire (&lt;3y)</v>
      </c>
      <c r="AG95">
        <v>0</v>
      </c>
      <c r="AH95">
        <v>0</v>
      </c>
      <c r="AI95">
        <v>0</v>
      </c>
    </row>
    <row r="96" spans="1:35">
      <c r="A96">
        <v>24</v>
      </c>
      <c r="B96" t="str">
        <f t="shared" si="1"/>
        <v>Young Adults</v>
      </c>
      <c r="C96">
        <v>0</v>
      </c>
      <c r="D96" t="s">
        <v>36</v>
      </c>
      <c r="E96">
        <v>506</v>
      </c>
      <c r="F96" t="s">
        <v>45</v>
      </c>
      <c r="G96">
        <v>29</v>
      </c>
      <c r="H96" t="str" cm="1">
        <f t="array" ref="H96">_xlfn.IFS(G96&gt;15,"Long Commute",G96&gt;5,"Moderate",G96&lt;=5,"Near Office")</f>
        <v>Long Commute</v>
      </c>
      <c r="I96" t="s">
        <v>78</v>
      </c>
      <c r="J96" t="s">
        <v>51</v>
      </c>
      <c r="K96">
        <v>2</v>
      </c>
      <c r="L96" t="s">
        <v>46</v>
      </c>
      <c r="M96">
        <v>91</v>
      </c>
      <c r="N96">
        <v>3</v>
      </c>
      <c r="O96">
        <v>1</v>
      </c>
      <c r="P96" t="s">
        <v>50</v>
      </c>
      <c r="Q96" t="s">
        <v>82</v>
      </c>
      <c r="R96" t="s">
        <v>52</v>
      </c>
      <c r="S96">
        <v>3907</v>
      </c>
      <c r="T96" t="str" cm="1">
        <f t="array" ref="T96">_xlfn.IFS(S96&gt;=10000,"High (&gt;10k)",S96&gt;=5000,"Medium (5k-10k)",S96&lt;5000,"Low (&lt;5k)")</f>
        <v>Low (&lt;5k)</v>
      </c>
      <c r="U96">
        <v>3622</v>
      </c>
      <c r="V96">
        <v>1</v>
      </c>
      <c r="W96" t="s">
        <v>43</v>
      </c>
      <c r="X96">
        <v>13</v>
      </c>
      <c r="Y96">
        <v>3</v>
      </c>
      <c r="Z96">
        <v>2</v>
      </c>
      <c r="AA96">
        <v>3</v>
      </c>
      <c r="AB96">
        <v>6</v>
      </c>
      <c r="AC96">
        <v>2</v>
      </c>
      <c r="AD96" t="s">
        <v>79</v>
      </c>
      <c r="AE96">
        <v>6</v>
      </c>
      <c r="AF96" t="str" cm="1">
        <f t="array" ref="AF96">_xlfn.IFS(AE96&gt;=10,"Veteran (10y+)",AE96&gt;=3,"Established (3-10y)",AE96&lt;3,"New Hire (&lt;3y)")</f>
        <v>Established (3-10y)</v>
      </c>
      <c r="AG96">
        <v>2</v>
      </c>
      <c r="AH96">
        <v>1</v>
      </c>
      <c r="AI96">
        <v>2</v>
      </c>
    </row>
    <row r="97" spans="1:35">
      <c r="A97">
        <v>24</v>
      </c>
      <c r="B97" t="str">
        <f t="shared" si="1"/>
        <v>Young Adults</v>
      </c>
      <c r="C97">
        <v>0</v>
      </c>
      <c r="D97" t="s">
        <v>44</v>
      </c>
      <c r="E97">
        <v>897</v>
      </c>
      <c r="F97" t="s">
        <v>61</v>
      </c>
      <c r="G97">
        <v>10</v>
      </c>
      <c r="H97" t="str" cm="1">
        <f t="array" ref="H97">_xlfn.IFS(G97&gt;15,"Long Commute",G97&gt;5,"Moderate",G97&lt;=5,"Near Office")</f>
        <v>Moderate</v>
      </c>
      <c r="I97" t="s">
        <v>72</v>
      </c>
      <c r="J97" t="s">
        <v>51</v>
      </c>
      <c r="K97">
        <v>1</v>
      </c>
      <c r="L97" t="s">
        <v>46</v>
      </c>
      <c r="M97">
        <v>59</v>
      </c>
      <c r="N97">
        <v>3</v>
      </c>
      <c r="O97">
        <v>1</v>
      </c>
      <c r="P97" t="s">
        <v>61</v>
      </c>
      <c r="Q97" t="s">
        <v>77</v>
      </c>
      <c r="R97" t="s">
        <v>48</v>
      </c>
      <c r="S97">
        <v>2145</v>
      </c>
      <c r="T97" t="str" cm="1">
        <f t="array" ref="T97">_xlfn.IFS(S97&gt;=10000,"High (&gt;10k)",S97&gt;=5000,"Medium (5k-10k)",S97&lt;5000,"Low (&lt;5k)")</f>
        <v>Low (&lt;5k)</v>
      </c>
      <c r="U97">
        <v>2097</v>
      </c>
      <c r="V97">
        <v>0</v>
      </c>
      <c r="W97" t="s">
        <v>43</v>
      </c>
      <c r="X97">
        <v>14</v>
      </c>
      <c r="Y97">
        <v>3</v>
      </c>
      <c r="Z97">
        <v>4</v>
      </c>
      <c r="AA97">
        <v>1</v>
      </c>
      <c r="AB97">
        <v>3</v>
      </c>
      <c r="AC97">
        <v>2</v>
      </c>
      <c r="AD97" t="s">
        <v>74</v>
      </c>
      <c r="AE97">
        <v>2</v>
      </c>
      <c r="AF97" t="str" cm="1">
        <f t="array" ref="AF97">_xlfn.IFS(AE97&gt;=10,"Veteran (10y+)",AE97&gt;=3,"Established (3-10y)",AE97&lt;3,"New Hire (&lt;3y)")</f>
        <v>New Hire (&lt;3y)</v>
      </c>
      <c r="AG97">
        <v>2</v>
      </c>
      <c r="AH97">
        <v>2</v>
      </c>
      <c r="AI97">
        <v>1</v>
      </c>
    </row>
    <row r="98" spans="1:35">
      <c r="A98">
        <v>24</v>
      </c>
      <c r="B98" t="str">
        <f t="shared" si="1"/>
        <v>Young Adults</v>
      </c>
      <c r="C98">
        <v>0</v>
      </c>
      <c r="D98" t="s">
        <v>36</v>
      </c>
      <c r="E98">
        <v>771</v>
      </c>
      <c r="F98" t="s">
        <v>45</v>
      </c>
      <c r="G98">
        <v>1</v>
      </c>
      <c r="H98" t="str" cm="1">
        <f t="array" ref="H98">_xlfn.IFS(G98&gt;15,"Long Commute",G98&gt;5,"Moderate",G98&lt;=5,"Near Office")</f>
        <v>Near Office</v>
      </c>
      <c r="I98" t="s">
        <v>76</v>
      </c>
      <c r="J98" t="s">
        <v>38</v>
      </c>
      <c r="K98">
        <v>2</v>
      </c>
      <c r="L98" t="s">
        <v>46</v>
      </c>
      <c r="M98">
        <v>45</v>
      </c>
      <c r="N98">
        <v>2</v>
      </c>
      <c r="O98">
        <v>2</v>
      </c>
      <c r="P98" t="s">
        <v>54</v>
      </c>
      <c r="Q98" t="s">
        <v>73</v>
      </c>
      <c r="R98" t="s">
        <v>41</v>
      </c>
      <c r="S98">
        <v>4617</v>
      </c>
      <c r="T98" t="str" cm="1">
        <f t="array" ref="T98">_xlfn.IFS(S98&gt;=10000,"High (&gt;10k)",S98&gt;=5000,"Medium (5k-10k)",S98&lt;5000,"Low (&lt;5k)")</f>
        <v>Low (&lt;5k)</v>
      </c>
      <c r="U98">
        <v>14120</v>
      </c>
      <c r="V98">
        <v>1</v>
      </c>
      <c r="W98" t="s">
        <v>43</v>
      </c>
      <c r="X98">
        <v>12</v>
      </c>
      <c r="Y98">
        <v>3</v>
      </c>
      <c r="Z98">
        <v>2</v>
      </c>
      <c r="AA98">
        <v>0</v>
      </c>
      <c r="AB98">
        <v>4</v>
      </c>
      <c r="AC98">
        <v>2</v>
      </c>
      <c r="AD98" t="s">
        <v>81</v>
      </c>
      <c r="AE98">
        <v>4</v>
      </c>
      <c r="AF98" t="str" cm="1">
        <f t="array" ref="AF98">_xlfn.IFS(AE98&gt;=10,"Veteran (10y+)",AE98&gt;=3,"Established (3-10y)",AE98&lt;3,"New Hire (&lt;3y)")</f>
        <v>Established (3-10y)</v>
      </c>
      <c r="AG98">
        <v>3</v>
      </c>
      <c r="AH98">
        <v>1</v>
      </c>
      <c r="AI98">
        <v>2</v>
      </c>
    </row>
    <row r="99" spans="1:35">
      <c r="A99">
        <v>25</v>
      </c>
      <c r="B99" t="str">
        <f t="shared" si="1"/>
        <v>Young Adults</v>
      </c>
      <c r="C99">
        <v>1</v>
      </c>
      <c r="D99" t="s">
        <v>36</v>
      </c>
      <c r="E99">
        <v>240</v>
      </c>
      <c r="F99" t="s">
        <v>37</v>
      </c>
      <c r="G99">
        <v>5</v>
      </c>
      <c r="H99" t="str" cm="1">
        <f t="array" ref="H99">_xlfn.IFS(G99&gt;15,"Long Commute",G99&gt;5,"Moderate",G99&lt;=5,"Near Office")</f>
        <v>Near Office</v>
      </c>
      <c r="I99" t="s">
        <v>72</v>
      </c>
      <c r="J99" t="s">
        <v>59</v>
      </c>
      <c r="K99">
        <v>3</v>
      </c>
      <c r="L99" t="s">
        <v>46</v>
      </c>
      <c r="M99">
        <v>46</v>
      </c>
      <c r="N99">
        <v>2</v>
      </c>
      <c r="O99">
        <v>2</v>
      </c>
      <c r="P99" t="s">
        <v>40</v>
      </c>
      <c r="Q99" t="s">
        <v>73</v>
      </c>
      <c r="R99" t="s">
        <v>41</v>
      </c>
      <c r="S99">
        <v>5744</v>
      </c>
      <c r="T99" t="str" cm="1">
        <f t="array" ref="T99">_xlfn.IFS(S99&gt;=10000,"High (&gt;10k)",S99&gt;=5000,"Medium (5k-10k)",S99&lt;5000,"Low (&lt;5k)")</f>
        <v>Medium (5k-10k)</v>
      </c>
      <c r="U99">
        <v>26959</v>
      </c>
      <c r="V99">
        <v>1</v>
      </c>
      <c r="W99" t="s">
        <v>35</v>
      </c>
      <c r="X99">
        <v>11</v>
      </c>
      <c r="Y99">
        <v>3</v>
      </c>
      <c r="Z99">
        <v>4</v>
      </c>
      <c r="AA99">
        <v>0</v>
      </c>
      <c r="AB99">
        <v>6</v>
      </c>
      <c r="AC99">
        <v>1</v>
      </c>
      <c r="AD99" t="s">
        <v>74</v>
      </c>
      <c r="AE99">
        <v>6</v>
      </c>
      <c r="AF99" t="str" cm="1">
        <f t="array" ref="AF99">_xlfn.IFS(AE99&gt;=10,"Veteran (10y+)",AE99&gt;=3,"Established (3-10y)",AE99&lt;3,"New Hire (&lt;3y)")</f>
        <v>Established (3-10y)</v>
      </c>
      <c r="AG99">
        <v>4</v>
      </c>
      <c r="AH99">
        <v>0</v>
      </c>
      <c r="AI99">
        <v>3</v>
      </c>
    </row>
    <row r="100" spans="1:35">
      <c r="A100">
        <v>25</v>
      </c>
      <c r="B100" t="str">
        <f t="shared" si="1"/>
        <v>Young Adults</v>
      </c>
      <c r="C100">
        <v>0</v>
      </c>
      <c r="D100" t="s">
        <v>36</v>
      </c>
      <c r="E100">
        <v>1280</v>
      </c>
      <c r="F100" t="s">
        <v>45</v>
      </c>
      <c r="G100">
        <v>7</v>
      </c>
      <c r="H100" t="str" cm="1">
        <f t="array" ref="H100">_xlfn.IFS(G100&gt;15,"Long Commute",G100&gt;5,"Moderate",G100&lt;=5,"Near Office")</f>
        <v>Moderate</v>
      </c>
      <c r="I100" t="s">
        <v>78</v>
      </c>
      <c r="J100" t="s">
        <v>51</v>
      </c>
      <c r="K100">
        <v>4</v>
      </c>
      <c r="L100" t="s">
        <v>46</v>
      </c>
      <c r="M100">
        <v>64</v>
      </c>
      <c r="N100">
        <v>2</v>
      </c>
      <c r="O100">
        <v>1</v>
      </c>
      <c r="P100" t="s">
        <v>47</v>
      </c>
      <c r="Q100" t="s">
        <v>77</v>
      </c>
      <c r="R100" t="s">
        <v>48</v>
      </c>
      <c r="S100">
        <v>2889</v>
      </c>
      <c r="T100" t="str" cm="1">
        <f t="array" ref="T100">_xlfn.IFS(S100&gt;=10000,"High (&gt;10k)",S100&gt;=5000,"Medium (5k-10k)",S100&lt;5000,"Low (&lt;5k)")</f>
        <v>Low (&lt;5k)</v>
      </c>
      <c r="U100">
        <v>26897</v>
      </c>
      <c r="V100">
        <v>1</v>
      </c>
      <c r="W100" t="s">
        <v>43</v>
      </c>
      <c r="X100">
        <v>11</v>
      </c>
      <c r="Y100">
        <v>3</v>
      </c>
      <c r="Z100">
        <v>3</v>
      </c>
      <c r="AA100">
        <v>2</v>
      </c>
      <c r="AB100">
        <v>2</v>
      </c>
      <c r="AC100">
        <v>2</v>
      </c>
      <c r="AD100" t="s">
        <v>74</v>
      </c>
      <c r="AE100">
        <v>2</v>
      </c>
      <c r="AF100" t="str" cm="1">
        <f t="array" ref="AF100">_xlfn.IFS(AE100&gt;=10,"Veteran (10y+)",AE100&gt;=3,"Established (3-10y)",AE100&lt;3,"New Hire (&lt;3y)")</f>
        <v>New Hire (&lt;3y)</v>
      </c>
      <c r="AG100">
        <v>2</v>
      </c>
      <c r="AH100">
        <v>2</v>
      </c>
      <c r="AI100">
        <v>1</v>
      </c>
    </row>
    <row r="101" spans="1:35">
      <c r="A101">
        <v>25</v>
      </c>
      <c r="B101" t="str">
        <f t="shared" si="1"/>
        <v>Young Adults</v>
      </c>
      <c r="C101">
        <v>0</v>
      </c>
      <c r="D101" t="s">
        <v>36</v>
      </c>
      <c r="E101">
        <v>959</v>
      </c>
      <c r="F101" t="s">
        <v>37</v>
      </c>
      <c r="G101">
        <v>28</v>
      </c>
      <c r="H101" t="str" cm="1">
        <f t="array" ref="H101">_xlfn.IFS(G101&gt;15,"Long Commute",G101&gt;5,"Moderate",G101&lt;=5,"Near Office")</f>
        <v>Long Commute</v>
      </c>
      <c r="I101" t="s">
        <v>72</v>
      </c>
      <c r="J101" t="s">
        <v>38</v>
      </c>
      <c r="K101">
        <v>1</v>
      </c>
      <c r="L101" t="s">
        <v>46</v>
      </c>
      <c r="M101">
        <v>41</v>
      </c>
      <c r="N101">
        <v>2</v>
      </c>
      <c r="O101">
        <v>2</v>
      </c>
      <c r="P101" t="s">
        <v>40</v>
      </c>
      <c r="Q101" t="s">
        <v>73</v>
      </c>
      <c r="R101" t="s">
        <v>48</v>
      </c>
      <c r="S101">
        <v>8639</v>
      </c>
      <c r="T101" t="str" cm="1">
        <f t="array" ref="T101">_xlfn.IFS(S101&gt;=10000,"High (&gt;10k)",S101&gt;=5000,"Medium (5k-10k)",S101&lt;5000,"Low (&lt;5k)")</f>
        <v>Medium (5k-10k)</v>
      </c>
      <c r="U101">
        <v>24835</v>
      </c>
      <c r="V101">
        <v>2</v>
      </c>
      <c r="W101" t="s">
        <v>43</v>
      </c>
      <c r="X101">
        <v>18</v>
      </c>
      <c r="Y101">
        <v>3</v>
      </c>
      <c r="Z101">
        <v>4</v>
      </c>
      <c r="AA101">
        <v>0</v>
      </c>
      <c r="AB101">
        <v>6</v>
      </c>
      <c r="AC101">
        <v>3</v>
      </c>
      <c r="AD101" t="s">
        <v>74</v>
      </c>
      <c r="AE101">
        <v>2</v>
      </c>
      <c r="AF101" t="str" cm="1">
        <f t="array" ref="AF101">_xlfn.IFS(AE101&gt;=10,"Veteran (10y+)",AE101&gt;=3,"Established (3-10y)",AE101&lt;3,"New Hire (&lt;3y)")</f>
        <v>New Hire (&lt;3y)</v>
      </c>
      <c r="AG101">
        <v>2</v>
      </c>
      <c r="AH101">
        <v>2</v>
      </c>
      <c r="AI101">
        <v>2</v>
      </c>
    </row>
    <row r="102" spans="1:35">
      <c r="A102">
        <v>25</v>
      </c>
      <c r="B102" t="str">
        <f t="shared" si="1"/>
        <v>Young Adults</v>
      </c>
      <c r="C102">
        <v>0</v>
      </c>
      <c r="D102" t="s">
        <v>36</v>
      </c>
      <c r="E102">
        <v>685</v>
      </c>
      <c r="F102" t="s">
        <v>45</v>
      </c>
      <c r="G102">
        <v>1</v>
      </c>
      <c r="H102" t="str" cm="1">
        <f t="array" ref="H102">_xlfn.IFS(G102&gt;15,"Long Commute",G102&gt;5,"Moderate",G102&lt;=5,"Near Office")</f>
        <v>Near Office</v>
      </c>
      <c r="I102" t="s">
        <v>72</v>
      </c>
      <c r="J102" t="s">
        <v>38</v>
      </c>
      <c r="K102">
        <v>1</v>
      </c>
      <c r="L102" t="s">
        <v>39</v>
      </c>
      <c r="M102">
        <v>62</v>
      </c>
      <c r="N102">
        <v>3</v>
      </c>
      <c r="O102">
        <v>2</v>
      </c>
      <c r="P102" t="s">
        <v>53</v>
      </c>
      <c r="Q102" t="s">
        <v>73</v>
      </c>
      <c r="R102" t="s">
        <v>48</v>
      </c>
      <c r="S102">
        <v>4898</v>
      </c>
      <c r="T102" t="str" cm="1">
        <f t="array" ref="T102">_xlfn.IFS(S102&gt;=10000,"High (&gt;10k)",S102&gt;=5000,"Medium (5k-10k)",S102&lt;5000,"Low (&lt;5k)")</f>
        <v>Low (&lt;5k)</v>
      </c>
      <c r="U102">
        <v>7505</v>
      </c>
      <c r="V102">
        <v>0</v>
      </c>
      <c r="W102" t="s">
        <v>43</v>
      </c>
      <c r="X102">
        <v>12</v>
      </c>
      <c r="Y102">
        <v>3</v>
      </c>
      <c r="Z102">
        <v>4</v>
      </c>
      <c r="AA102">
        <v>2</v>
      </c>
      <c r="AB102">
        <v>5</v>
      </c>
      <c r="AC102">
        <v>3</v>
      </c>
      <c r="AD102" t="s">
        <v>74</v>
      </c>
      <c r="AE102">
        <v>4</v>
      </c>
      <c r="AF102" t="str" cm="1">
        <f t="array" ref="AF102">_xlfn.IFS(AE102&gt;=10,"Veteran (10y+)",AE102&gt;=3,"Established (3-10y)",AE102&lt;3,"New Hire (&lt;3y)")</f>
        <v>Established (3-10y)</v>
      </c>
      <c r="AG102">
        <v>2</v>
      </c>
      <c r="AH102">
        <v>1</v>
      </c>
      <c r="AI102">
        <v>2</v>
      </c>
    </row>
    <row r="103" spans="1:35">
      <c r="A103">
        <v>25</v>
      </c>
      <c r="B103" t="str">
        <f t="shared" si="1"/>
        <v>Young Adults</v>
      </c>
      <c r="C103">
        <v>0</v>
      </c>
      <c r="D103" t="s">
        <v>55</v>
      </c>
      <c r="E103">
        <v>675</v>
      </c>
      <c r="F103" t="s">
        <v>45</v>
      </c>
      <c r="G103">
        <v>5</v>
      </c>
      <c r="H103" t="str" cm="1">
        <f t="array" ref="H103">_xlfn.IFS(G103&gt;15,"Long Commute",G103&gt;5,"Moderate",G103&lt;=5,"Near Office")</f>
        <v>Near Office</v>
      </c>
      <c r="I103" t="s">
        <v>76</v>
      </c>
      <c r="J103" t="s">
        <v>38</v>
      </c>
      <c r="K103">
        <v>2</v>
      </c>
      <c r="L103" t="s">
        <v>46</v>
      </c>
      <c r="M103">
        <v>85</v>
      </c>
      <c r="N103">
        <v>4</v>
      </c>
      <c r="O103">
        <v>2</v>
      </c>
      <c r="P103" t="s">
        <v>54</v>
      </c>
      <c r="Q103" t="s">
        <v>82</v>
      </c>
      <c r="R103" t="s">
        <v>52</v>
      </c>
      <c r="S103">
        <v>4000</v>
      </c>
      <c r="T103" t="str" cm="1">
        <f t="array" ref="T103">_xlfn.IFS(S103&gt;=10000,"High (&gt;10k)",S103&gt;=5000,"Medium (5k-10k)",S103&lt;5000,"Low (&lt;5k)")</f>
        <v>Low (&lt;5k)</v>
      </c>
      <c r="U103">
        <v>18384</v>
      </c>
      <c r="V103">
        <v>1</v>
      </c>
      <c r="W103" t="s">
        <v>43</v>
      </c>
      <c r="X103">
        <v>12</v>
      </c>
      <c r="Y103">
        <v>3</v>
      </c>
      <c r="Z103">
        <v>4</v>
      </c>
      <c r="AA103">
        <v>2</v>
      </c>
      <c r="AB103">
        <v>6</v>
      </c>
      <c r="AC103">
        <v>2</v>
      </c>
      <c r="AD103" t="s">
        <v>74</v>
      </c>
      <c r="AE103">
        <v>6</v>
      </c>
      <c r="AF103" t="str" cm="1">
        <f t="array" ref="AF103">_xlfn.IFS(AE103&gt;=10,"Veteran (10y+)",AE103&gt;=3,"Established (3-10y)",AE103&lt;3,"New Hire (&lt;3y)")</f>
        <v>Established (3-10y)</v>
      </c>
      <c r="AG103">
        <v>3</v>
      </c>
      <c r="AH103">
        <v>1</v>
      </c>
      <c r="AI103">
        <v>5</v>
      </c>
    </row>
    <row r="104" spans="1:35">
      <c r="A104">
        <v>25</v>
      </c>
      <c r="B104" t="str">
        <f t="shared" si="1"/>
        <v>Young Adults</v>
      </c>
      <c r="C104">
        <v>0</v>
      </c>
      <c r="D104" t="s">
        <v>36</v>
      </c>
      <c r="E104">
        <v>891</v>
      </c>
      <c r="F104" t="s">
        <v>37</v>
      </c>
      <c r="G104">
        <v>4</v>
      </c>
      <c r="H104" t="str" cm="1">
        <f t="array" ref="H104">_xlfn.IFS(G104&gt;15,"Long Commute",G104&gt;5,"Moderate",G104&lt;=5,"Near Office")</f>
        <v>Near Office</v>
      </c>
      <c r="I104" t="s">
        <v>76</v>
      </c>
      <c r="J104" t="s">
        <v>38</v>
      </c>
      <c r="K104">
        <v>2</v>
      </c>
      <c r="L104" t="s">
        <v>39</v>
      </c>
      <c r="M104">
        <v>99</v>
      </c>
      <c r="N104">
        <v>2</v>
      </c>
      <c r="O104">
        <v>2</v>
      </c>
      <c r="P104" t="s">
        <v>40</v>
      </c>
      <c r="Q104" t="s">
        <v>77</v>
      </c>
      <c r="R104" t="s">
        <v>41</v>
      </c>
      <c r="S104">
        <v>4487</v>
      </c>
      <c r="T104" t="str" cm="1">
        <f t="array" ref="T104">_xlfn.IFS(S104&gt;=10000,"High (&gt;10k)",S104&gt;=5000,"Medium (5k-10k)",S104&lt;5000,"Low (&lt;5k)")</f>
        <v>Low (&lt;5k)</v>
      </c>
      <c r="U104">
        <v>12090</v>
      </c>
      <c r="V104">
        <v>1</v>
      </c>
      <c r="W104" t="s">
        <v>35</v>
      </c>
      <c r="X104">
        <v>11</v>
      </c>
      <c r="Y104">
        <v>3</v>
      </c>
      <c r="Z104">
        <v>2</v>
      </c>
      <c r="AA104">
        <v>0</v>
      </c>
      <c r="AB104">
        <v>5</v>
      </c>
      <c r="AC104">
        <v>3</v>
      </c>
      <c r="AD104" t="s">
        <v>74</v>
      </c>
      <c r="AE104">
        <v>5</v>
      </c>
      <c r="AF104" t="str" cm="1">
        <f t="array" ref="AF104">_xlfn.IFS(AE104&gt;=10,"Veteran (10y+)",AE104&gt;=3,"Established (3-10y)",AE104&lt;3,"New Hire (&lt;3y)")</f>
        <v>Established (3-10y)</v>
      </c>
      <c r="AG104">
        <v>4</v>
      </c>
      <c r="AH104">
        <v>1</v>
      </c>
      <c r="AI104">
        <v>3</v>
      </c>
    </row>
    <row r="105" spans="1:35">
      <c r="A105">
        <v>25</v>
      </c>
      <c r="B105" t="str">
        <f t="shared" si="1"/>
        <v>Young Adults</v>
      </c>
      <c r="C105">
        <v>1</v>
      </c>
      <c r="D105" t="s">
        <v>36</v>
      </c>
      <c r="E105">
        <v>688</v>
      </c>
      <c r="F105" t="s">
        <v>45</v>
      </c>
      <c r="G105">
        <v>3</v>
      </c>
      <c r="H105" t="str" cm="1">
        <f t="array" ref="H105">_xlfn.IFS(G105&gt;15,"Long Commute",G105&gt;5,"Moderate",G105&lt;=5,"Near Office")</f>
        <v>Near Office</v>
      </c>
      <c r="I105" t="s">
        <v>72</v>
      </c>
      <c r="J105" t="s">
        <v>51</v>
      </c>
      <c r="K105">
        <v>1</v>
      </c>
      <c r="L105" t="s">
        <v>46</v>
      </c>
      <c r="M105">
        <v>91</v>
      </c>
      <c r="N105">
        <v>3</v>
      </c>
      <c r="O105">
        <v>1</v>
      </c>
      <c r="P105" t="s">
        <v>50</v>
      </c>
      <c r="Q105" t="s">
        <v>82</v>
      </c>
      <c r="R105" t="s">
        <v>48</v>
      </c>
      <c r="S105">
        <v>4031</v>
      </c>
      <c r="T105" t="str" cm="1">
        <f t="array" ref="T105">_xlfn.IFS(S105&gt;=10000,"High (&gt;10k)",S105&gt;=5000,"Medium (5k-10k)",S105&lt;5000,"Low (&lt;5k)")</f>
        <v>Low (&lt;5k)</v>
      </c>
      <c r="U105">
        <v>9396</v>
      </c>
      <c r="V105">
        <v>5</v>
      </c>
      <c r="W105" t="s">
        <v>43</v>
      </c>
      <c r="X105">
        <v>13</v>
      </c>
      <c r="Y105">
        <v>3</v>
      </c>
      <c r="Z105">
        <v>3</v>
      </c>
      <c r="AA105">
        <v>1</v>
      </c>
      <c r="AB105">
        <v>6</v>
      </c>
      <c r="AC105">
        <v>5</v>
      </c>
      <c r="AD105" t="s">
        <v>74</v>
      </c>
      <c r="AE105">
        <v>2</v>
      </c>
      <c r="AF105" t="str" cm="1">
        <f t="array" ref="AF105">_xlfn.IFS(AE105&gt;=10,"Veteran (10y+)",AE105&gt;=3,"Established (3-10y)",AE105&lt;3,"New Hire (&lt;3y)")</f>
        <v>New Hire (&lt;3y)</v>
      </c>
      <c r="AG105">
        <v>2</v>
      </c>
      <c r="AH105">
        <v>0</v>
      </c>
      <c r="AI105">
        <v>2</v>
      </c>
    </row>
    <row r="106" spans="1:35">
      <c r="A106">
        <v>25</v>
      </c>
      <c r="B106" t="str">
        <f t="shared" si="1"/>
        <v>Young Adults</v>
      </c>
      <c r="C106">
        <v>0</v>
      </c>
      <c r="D106" t="s">
        <v>36</v>
      </c>
      <c r="E106">
        <v>622</v>
      </c>
      <c r="F106" t="s">
        <v>37</v>
      </c>
      <c r="G106">
        <v>13</v>
      </c>
      <c r="H106" t="str" cm="1">
        <f t="array" ref="H106">_xlfn.IFS(G106&gt;15,"Long Commute",G106&gt;5,"Moderate",G106&lt;=5,"Near Office")</f>
        <v>Moderate</v>
      </c>
      <c r="I106" t="s">
        <v>78</v>
      </c>
      <c r="J106" t="s">
        <v>51</v>
      </c>
      <c r="K106">
        <v>2</v>
      </c>
      <c r="L106" t="s">
        <v>46</v>
      </c>
      <c r="M106">
        <v>40</v>
      </c>
      <c r="N106">
        <v>3</v>
      </c>
      <c r="O106">
        <v>1</v>
      </c>
      <c r="P106" t="s">
        <v>57</v>
      </c>
      <c r="Q106" t="s">
        <v>73</v>
      </c>
      <c r="R106" t="s">
        <v>48</v>
      </c>
      <c r="S106">
        <v>2096</v>
      </c>
      <c r="T106" t="str" cm="1">
        <f t="array" ref="T106">_xlfn.IFS(S106&gt;=10000,"High (&gt;10k)",S106&gt;=5000,"Medium (5k-10k)",S106&lt;5000,"Low (&lt;5k)")</f>
        <v>Low (&lt;5k)</v>
      </c>
      <c r="U106">
        <v>26376</v>
      </c>
      <c r="V106">
        <v>1</v>
      </c>
      <c r="W106" t="s">
        <v>43</v>
      </c>
      <c r="X106">
        <v>11</v>
      </c>
      <c r="Y106">
        <v>3</v>
      </c>
      <c r="Z106">
        <v>3</v>
      </c>
      <c r="AA106">
        <v>0</v>
      </c>
      <c r="AB106">
        <v>7</v>
      </c>
      <c r="AC106">
        <v>1</v>
      </c>
      <c r="AD106" t="s">
        <v>74</v>
      </c>
      <c r="AE106">
        <v>7</v>
      </c>
      <c r="AF106" t="str" cm="1">
        <f t="array" ref="AF106">_xlfn.IFS(AE106&gt;=10,"Veteran (10y+)",AE106&gt;=3,"Established (3-10y)",AE106&lt;3,"New Hire (&lt;3y)")</f>
        <v>Established (3-10y)</v>
      </c>
      <c r="AG106">
        <v>4</v>
      </c>
      <c r="AH106">
        <v>0</v>
      </c>
      <c r="AI106">
        <v>6</v>
      </c>
    </row>
    <row r="107" spans="1:35">
      <c r="A107">
        <v>25</v>
      </c>
      <c r="B107" t="str">
        <f t="shared" si="1"/>
        <v>Young Adults</v>
      </c>
      <c r="C107">
        <v>0</v>
      </c>
      <c r="D107" t="s">
        <v>36</v>
      </c>
      <c r="E107">
        <v>810</v>
      </c>
      <c r="F107" t="s">
        <v>37</v>
      </c>
      <c r="G107">
        <v>8</v>
      </c>
      <c r="H107" t="str" cm="1">
        <f t="array" ref="H107">_xlfn.IFS(G107&gt;15,"Long Commute",G107&gt;5,"Moderate",G107&lt;=5,"Near Office")</f>
        <v>Moderate</v>
      </c>
      <c r="I107" t="s">
        <v>72</v>
      </c>
      <c r="J107" t="s">
        <v>38</v>
      </c>
      <c r="K107">
        <v>4</v>
      </c>
      <c r="L107" t="s">
        <v>46</v>
      </c>
      <c r="M107">
        <v>57</v>
      </c>
      <c r="N107">
        <v>4</v>
      </c>
      <c r="O107">
        <v>2</v>
      </c>
      <c r="P107" t="s">
        <v>40</v>
      </c>
      <c r="Q107" t="s">
        <v>75</v>
      </c>
      <c r="R107" t="s">
        <v>48</v>
      </c>
      <c r="S107">
        <v>4851</v>
      </c>
      <c r="T107" t="str" cm="1">
        <f t="array" ref="T107">_xlfn.IFS(S107&gt;=10000,"High (&gt;10k)",S107&gt;=5000,"Medium (5k-10k)",S107&lt;5000,"Low (&lt;5k)")</f>
        <v>Low (&lt;5k)</v>
      </c>
      <c r="U107">
        <v>15678</v>
      </c>
      <c r="V107">
        <v>0</v>
      </c>
      <c r="W107" t="s">
        <v>43</v>
      </c>
      <c r="X107">
        <v>22</v>
      </c>
      <c r="Y107">
        <v>4</v>
      </c>
      <c r="Z107">
        <v>3</v>
      </c>
      <c r="AA107">
        <v>1</v>
      </c>
      <c r="AB107">
        <v>4</v>
      </c>
      <c r="AC107">
        <v>4</v>
      </c>
      <c r="AD107" t="s">
        <v>74</v>
      </c>
      <c r="AE107">
        <v>3</v>
      </c>
      <c r="AF107" t="str" cm="1">
        <f t="array" ref="AF107">_xlfn.IFS(AE107&gt;=10,"Veteran (10y+)",AE107&gt;=3,"Established (3-10y)",AE107&lt;3,"New Hire (&lt;3y)")</f>
        <v>Established (3-10y)</v>
      </c>
      <c r="AG107">
        <v>2</v>
      </c>
      <c r="AH107">
        <v>1</v>
      </c>
      <c r="AI107">
        <v>2</v>
      </c>
    </row>
    <row r="108" spans="1:35">
      <c r="A108">
        <v>25</v>
      </c>
      <c r="B108" t="str">
        <f t="shared" si="1"/>
        <v>Young Adults</v>
      </c>
      <c r="C108">
        <v>0</v>
      </c>
      <c r="D108" t="s">
        <v>36</v>
      </c>
      <c r="E108">
        <v>883</v>
      </c>
      <c r="F108" t="s">
        <v>37</v>
      </c>
      <c r="G108">
        <v>26</v>
      </c>
      <c r="H108" t="str" cm="1">
        <f t="array" ref="H108">_xlfn.IFS(G108&gt;15,"Long Commute",G108&gt;5,"Moderate",G108&lt;=5,"Near Office")</f>
        <v>Long Commute</v>
      </c>
      <c r="I108" t="s">
        <v>78</v>
      </c>
      <c r="J108" t="s">
        <v>51</v>
      </c>
      <c r="K108">
        <v>3</v>
      </c>
      <c r="L108" t="s">
        <v>39</v>
      </c>
      <c r="M108">
        <v>32</v>
      </c>
      <c r="N108">
        <v>3</v>
      </c>
      <c r="O108">
        <v>2</v>
      </c>
      <c r="P108" t="s">
        <v>40</v>
      </c>
      <c r="Q108" t="s">
        <v>77</v>
      </c>
      <c r="R108" t="s">
        <v>41</v>
      </c>
      <c r="S108">
        <v>6180</v>
      </c>
      <c r="T108" t="str" cm="1">
        <f t="array" ref="T108">_xlfn.IFS(S108&gt;=10000,"High (&gt;10k)",S108&gt;=5000,"Medium (5k-10k)",S108&lt;5000,"Low (&lt;5k)")</f>
        <v>Medium (5k-10k)</v>
      </c>
      <c r="U108">
        <v>22807</v>
      </c>
      <c r="V108">
        <v>1</v>
      </c>
      <c r="W108" t="s">
        <v>43</v>
      </c>
      <c r="X108">
        <v>23</v>
      </c>
      <c r="Y108">
        <v>4</v>
      </c>
      <c r="Z108">
        <v>2</v>
      </c>
      <c r="AA108">
        <v>0</v>
      </c>
      <c r="AB108">
        <v>6</v>
      </c>
      <c r="AC108">
        <v>5</v>
      </c>
      <c r="AD108" t="s">
        <v>81</v>
      </c>
      <c r="AE108">
        <v>6</v>
      </c>
      <c r="AF108" t="str" cm="1">
        <f t="array" ref="AF108">_xlfn.IFS(AE108&gt;=10,"Veteran (10y+)",AE108&gt;=3,"Established (3-10y)",AE108&lt;3,"New Hire (&lt;3y)")</f>
        <v>Established (3-10y)</v>
      </c>
      <c r="AG108">
        <v>5</v>
      </c>
      <c r="AH108">
        <v>1</v>
      </c>
      <c r="AI108">
        <v>4</v>
      </c>
    </row>
    <row r="109" spans="1:35">
      <c r="A109">
        <v>25</v>
      </c>
      <c r="B109" t="str">
        <f t="shared" si="1"/>
        <v>Young Adults</v>
      </c>
      <c r="C109">
        <v>0</v>
      </c>
      <c r="D109" t="s">
        <v>36</v>
      </c>
      <c r="E109">
        <v>180</v>
      </c>
      <c r="F109" t="s">
        <v>45</v>
      </c>
      <c r="G109">
        <v>2</v>
      </c>
      <c r="H109" t="str" cm="1">
        <f t="array" ref="H109">_xlfn.IFS(G109&gt;15,"Long Commute",G109&gt;5,"Moderate",G109&lt;=5,"Near Office")</f>
        <v>Near Office</v>
      </c>
      <c r="I109" t="s">
        <v>78</v>
      </c>
      <c r="J109" t="s">
        <v>51</v>
      </c>
      <c r="K109">
        <v>1</v>
      </c>
      <c r="L109" t="s">
        <v>46</v>
      </c>
      <c r="M109">
        <v>65</v>
      </c>
      <c r="N109">
        <v>4</v>
      </c>
      <c r="O109">
        <v>1</v>
      </c>
      <c r="P109" t="s">
        <v>47</v>
      </c>
      <c r="Q109" t="s">
        <v>82</v>
      </c>
      <c r="R109" t="s">
        <v>41</v>
      </c>
      <c r="S109">
        <v>3424</v>
      </c>
      <c r="T109" t="str" cm="1">
        <f t="array" ref="T109">_xlfn.IFS(S109&gt;=10000,"High (&gt;10k)",S109&gt;=5000,"Medium (5k-10k)",S109&lt;5000,"Low (&lt;5k)")</f>
        <v>Low (&lt;5k)</v>
      </c>
      <c r="U109">
        <v>21632</v>
      </c>
      <c r="V109">
        <v>7</v>
      </c>
      <c r="W109" t="s">
        <v>43</v>
      </c>
      <c r="X109">
        <v>13</v>
      </c>
      <c r="Y109">
        <v>3</v>
      </c>
      <c r="Z109">
        <v>3</v>
      </c>
      <c r="AA109">
        <v>0</v>
      </c>
      <c r="AB109">
        <v>6</v>
      </c>
      <c r="AC109">
        <v>3</v>
      </c>
      <c r="AD109" t="s">
        <v>81</v>
      </c>
      <c r="AE109">
        <v>4</v>
      </c>
      <c r="AF109" t="str" cm="1">
        <f t="array" ref="AF109">_xlfn.IFS(AE109&gt;=10,"Veteran (10y+)",AE109&gt;=3,"Established (3-10y)",AE109&lt;3,"New Hire (&lt;3y)")</f>
        <v>Established (3-10y)</v>
      </c>
      <c r="AG109">
        <v>3</v>
      </c>
      <c r="AH109">
        <v>0</v>
      </c>
      <c r="AI109">
        <v>1</v>
      </c>
    </row>
    <row r="110" spans="1:35">
      <c r="A110">
        <v>25</v>
      </c>
      <c r="B110" t="str">
        <f t="shared" si="1"/>
        <v>Young Adults</v>
      </c>
      <c r="C110">
        <v>0</v>
      </c>
      <c r="D110" t="s">
        <v>36</v>
      </c>
      <c r="E110">
        <v>141</v>
      </c>
      <c r="F110" t="s">
        <v>37</v>
      </c>
      <c r="G110">
        <v>3</v>
      </c>
      <c r="H110" t="str" cm="1">
        <f t="array" ref="H110">_xlfn.IFS(G110&gt;15,"Long Commute",G110&gt;5,"Moderate",G110&lt;=5,"Near Office")</f>
        <v>Near Office</v>
      </c>
      <c r="I110" t="s">
        <v>78</v>
      </c>
      <c r="J110" t="s">
        <v>49</v>
      </c>
      <c r="K110">
        <v>3</v>
      </c>
      <c r="L110" t="s">
        <v>46</v>
      </c>
      <c r="M110">
        <v>98</v>
      </c>
      <c r="N110">
        <v>3</v>
      </c>
      <c r="O110">
        <v>2</v>
      </c>
      <c r="P110" t="s">
        <v>40</v>
      </c>
      <c r="Q110" t="s">
        <v>82</v>
      </c>
      <c r="R110" t="s">
        <v>48</v>
      </c>
      <c r="S110">
        <v>4194</v>
      </c>
      <c r="T110" t="str" cm="1">
        <f t="array" ref="T110">_xlfn.IFS(S110&gt;=10000,"High (&gt;10k)",S110&gt;=5000,"Medium (5k-10k)",S110&lt;5000,"Low (&lt;5k)")</f>
        <v>Low (&lt;5k)</v>
      </c>
      <c r="U110">
        <v>14363</v>
      </c>
      <c r="V110">
        <v>1</v>
      </c>
      <c r="W110" t="s">
        <v>35</v>
      </c>
      <c r="X110">
        <v>18</v>
      </c>
      <c r="Y110">
        <v>3</v>
      </c>
      <c r="Z110">
        <v>4</v>
      </c>
      <c r="AA110">
        <v>0</v>
      </c>
      <c r="AB110">
        <v>5</v>
      </c>
      <c r="AC110">
        <v>3</v>
      </c>
      <c r="AD110" t="s">
        <v>74</v>
      </c>
      <c r="AE110">
        <v>5</v>
      </c>
      <c r="AF110" t="str" cm="1">
        <f t="array" ref="AF110">_xlfn.IFS(AE110&gt;=10,"Veteran (10y+)",AE110&gt;=3,"Established (3-10y)",AE110&lt;3,"New Hire (&lt;3y)")</f>
        <v>Established (3-10y)</v>
      </c>
      <c r="AG110">
        <v>3</v>
      </c>
      <c r="AH110">
        <v>0</v>
      </c>
      <c r="AI110">
        <v>3</v>
      </c>
    </row>
    <row r="111" spans="1:35">
      <c r="A111">
        <v>25</v>
      </c>
      <c r="B111" t="str">
        <f t="shared" si="1"/>
        <v>Young Adults</v>
      </c>
      <c r="C111">
        <v>0</v>
      </c>
      <c r="D111" t="s">
        <v>36</v>
      </c>
      <c r="E111">
        <v>583</v>
      </c>
      <c r="F111" t="s">
        <v>37</v>
      </c>
      <c r="G111">
        <v>4</v>
      </c>
      <c r="H111" t="str" cm="1">
        <f t="array" ref="H111">_xlfn.IFS(G111&gt;15,"Long Commute",G111&gt;5,"Moderate",G111&lt;=5,"Near Office")</f>
        <v>Near Office</v>
      </c>
      <c r="I111" t="s">
        <v>78</v>
      </c>
      <c r="J111" t="s">
        <v>59</v>
      </c>
      <c r="K111">
        <v>3</v>
      </c>
      <c r="L111" t="s">
        <v>46</v>
      </c>
      <c r="M111">
        <v>87</v>
      </c>
      <c r="N111">
        <v>2</v>
      </c>
      <c r="O111">
        <v>2</v>
      </c>
      <c r="P111" t="s">
        <v>40</v>
      </c>
      <c r="Q111" t="s">
        <v>82</v>
      </c>
      <c r="R111" t="s">
        <v>48</v>
      </c>
      <c r="S111">
        <v>4256</v>
      </c>
      <c r="T111" t="str" cm="1">
        <f t="array" ref="T111">_xlfn.IFS(S111&gt;=10000,"High (&gt;10k)",S111&gt;=5000,"Medium (5k-10k)",S111&lt;5000,"Low (&lt;5k)")</f>
        <v>Low (&lt;5k)</v>
      </c>
      <c r="U111">
        <v>18154</v>
      </c>
      <c r="V111">
        <v>1</v>
      </c>
      <c r="W111" t="s">
        <v>43</v>
      </c>
      <c r="X111">
        <v>12</v>
      </c>
      <c r="Y111">
        <v>3</v>
      </c>
      <c r="Z111">
        <v>1</v>
      </c>
      <c r="AA111">
        <v>0</v>
      </c>
      <c r="AB111">
        <v>5</v>
      </c>
      <c r="AC111">
        <v>1</v>
      </c>
      <c r="AD111" t="s">
        <v>79</v>
      </c>
      <c r="AE111">
        <v>5</v>
      </c>
      <c r="AF111" t="str" cm="1">
        <f t="array" ref="AF111">_xlfn.IFS(AE111&gt;=10,"Veteran (10y+)",AE111&gt;=3,"Established (3-10y)",AE111&lt;3,"New Hire (&lt;3y)")</f>
        <v>Established (3-10y)</v>
      </c>
      <c r="AG111">
        <v>2</v>
      </c>
      <c r="AH111">
        <v>0</v>
      </c>
      <c r="AI111">
        <v>3</v>
      </c>
    </row>
    <row r="112" spans="1:35">
      <c r="A112">
        <v>25</v>
      </c>
      <c r="B112" t="str">
        <f t="shared" si="1"/>
        <v>Young Adults</v>
      </c>
      <c r="C112">
        <v>1</v>
      </c>
      <c r="D112" t="s">
        <v>36</v>
      </c>
      <c r="E112">
        <v>867</v>
      </c>
      <c r="F112" t="s">
        <v>37</v>
      </c>
      <c r="G112">
        <v>19</v>
      </c>
      <c r="H112" t="str" cm="1">
        <f t="array" ref="H112">_xlfn.IFS(G112&gt;15,"Long Commute",G112&gt;5,"Moderate",G112&lt;=5,"Near Office")</f>
        <v>Long Commute</v>
      </c>
      <c r="I112" t="s">
        <v>76</v>
      </c>
      <c r="J112" t="s">
        <v>59</v>
      </c>
      <c r="K112">
        <v>3</v>
      </c>
      <c r="L112" t="s">
        <v>46</v>
      </c>
      <c r="M112">
        <v>36</v>
      </c>
      <c r="N112">
        <v>2</v>
      </c>
      <c r="O112">
        <v>1</v>
      </c>
      <c r="P112" t="s">
        <v>57</v>
      </c>
      <c r="Q112" t="s">
        <v>75</v>
      </c>
      <c r="R112" t="s">
        <v>48</v>
      </c>
      <c r="S112">
        <v>2413</v>
      </c>
      <c r="T112" t="str" cm="1">
        <f t="array" ref="T112">_xlfn.IFS(S112&gt;=10000,"High (&gt;10k)",S112&gt;=5000,"Medium (5k-10k)",S112&lt;5000,"Low (&lt;5k)")</f>
        <v>Low (&lt;5k)</v>
      </c>
      <c r="U112">
        <v>18798</v>
      </c>
      <c r="V112">
        <v>1</v>
      </c>
      <c r="W112" t="s">
        <v>35</v>
      </c>
      <c r="X112">
        <v>18</v>
      </c>
      <c r="Y112">
        <v>3</v>
      </c>
      <c r="Z112">
        <v>3</v>
      </c>
      <c r="AA112">
        <v>3</v>
      </c>
      <c r="AB112">
        <v>1</v>
      </c>
      <c r="AC112">
        <v>2</v>
      </c>
      <c r="AD112" t="s">
        <v>74</v>
      </c>
      <c r="AE112">
        <v>1</v>
      </c>
      <c r="AF112" t="str" cm="1">
        <f t="array" ref="AF112">_xlfn.IFS(AE112&gt;=10,"Veteran (10y+)",AE112&gt;=3,"Established (3-10y)",AE112&lt;3,"New Hire (&lt;3y)")</f>
        <v>New Hire (&lt;3y)</v>
      </c>
      <c r="AG112">
        <v>0</v>
      </c>
      <c r="AH112">
        <v>0</v>
      </c>
      <c r="AI112">
        <v>0</v>
      </c>
    </row>
    <row r="113" spans="1:35">
      <c r="A113">
        <v>25</v>
      </c>
      <c r="B113" t="str">
        <f t="shared" si="1"/>
        <v>Young Adults</v>
      </c>
      <c r="C113">
        <v>1</v>
      </c>
      <c r="D113" t="s">
        <v>36</v>
      </c>
      <c r="E113">
        <v>1219</v>
      </c>
      <c r="F113" t="s">
        <v>45</v>
      </c>
      <c r="G113">
        <v>4</v>
      </c>
      <c r="H113" t="str" cm="1">
        <f t="array" ref="H113">_xlfn.IFS(G113&gt;15,"Long Commute",G113&gt;5,"Moderate",G113&lt;=5,"Near Office")</f>
        <v>Near Office</v>
      </c>
      <c r="I113" t="s">
        <v>78</v>
      </c>
      <c r="J113" t="s">
        <v>60</v>
      </c>
      <c r="K113">
        <v>4</v>
      </c>
      <c r="L113" t="s">
        <v>46</v>
      </c>
      <c r="M113">
        <v>32</v>
      </c>
      <c r="N113">
        <v>3</v>
      </c>
      <c r="O113">
        <v>1</v>
      </c>
      <c r="P113" t="s">
        <v>50</v>
      </c>
      <c r="Q113" t="s">
        <v>77</v>
      </c>
      <c r="R113" t="s">
        <v>48</v>
      </c>
      <c r="S113">
        <v>3691</v>
      </c>
      <c r="T113" t="str" cm="1">
        <f t="array" ref="T113">_xlfn.IFS(S113&gt;=10000,"High (&gt;10k)",S113&gt;=5000,"Medium (5k-10k)",S113&lt;5000,"Low (&lt;5k)")</f>
        <v>Low (&lt;5k)</v>
      </c>
      <c r="U113">
        <v>4605</v>
      </c>
      <c r="V113">
        <v>1</v>
      </c>
      <c r="W113" t="s">
        <v>35</v>
      </c>
      <c r="X113">
        <v>15</v>
      </c>
      <c r="Y113">
        <v>3</v>
      </c>
      <c r="Z113">
        <v>2</v>
      </c>
      <c r="AA113">
        <v>1</v>
      </c>
      <c r="AB113">
        <v>7</v>
      </c>
      <c r="AC113">
        <v>3</v>
      </c>
      <c r="AD113" t="s">
        <v>79</v>
      </c>
      <c r="AE113">
        <v>7</v>
      </c>
      <c r="AF113" t="str" cm="1">
        <f t="array" ref="AF113">_xlfn.IFS(AE113&gt;=10,"Veteran (10y+)",AE113&gt;=3,"Established (3-10y)",AE113&lt;3,"New Hire (&lt;3y)")</f>
        <v>Established (3-10y)</v>
      </c>
      <c r="AG113">
        <v>7</v>
      </c>
      <c r="AH113">
        <v>5</v>
      </c>
      <c r="AI113">
        <v>6</v>
      </c>
    </row>
    <row r="114" spans="1:35">
      <c r="A114">
        <v>25</v>
      </c>
      <c r="B114" t="str">
        <f t="shared" si="1"/>
        <v>Young Adults</v>
      </c>
      <c r="C114">
        <v>0</v>
      </c>
      <c r="D114" t="s">
        <v>36</v>
      </c>
      <c r="E114">
        <v>1356</v>
      </c>
      <c r="F114" t="s">
        <v>37</v>
      </c>
      <c r="G114">
        <v>10</v>
      </c>
      <c r="H114" t="str" cm="1">
        <f t="array" ref="H114">_xlfn.IFS(G114&gt;15,"Long Commute",G114&gt;5,"Moderate",G114&lt;=5,"Near Office")</f>
        <v>Moderate</v>
      </c>
      <c r="I114" t="s">
        <v>83</v>
      </c>
      <c r="J114" t="s">
        <v>38</v>
      </c>
      <c r="K114">
        <v>3</v>
      </c>
      <c r="L114" t="s">
        <v>46</v>
      </c>
      <c r="M114">
        <v>57</v>
      </c>
      <c r="N114">
        <v>3</v>
      </c>
      <c r="O114">
        <v>2</v>
      </c>
      <c r="P114" t="s">
        <v>40</v>
      </c>
      <c r="Q114" t="s">
        <v>77</v>
      </c>
      <c r="R114" t="s">
        <v>41</v>
      </c>
      <c r="S114">
        <v>4950</v>
      </c>
      <c r="T114" t="str" cm="1">
        <f t="array" ref="T114">_xlfn.IFS(S114&gt;=10000,"High (&gt;10k)",S114&gt;=5000,"Medium (5k-10k)",S114&lt;5000,"Low (&lt;5k)")</f>
        <v>Low (&lt;5k)</v>
      </c>
      <c r="U114">
        <v>20623</v>
      </c>
      <c r="V114">
        <v>0</v>
      </c>
      <c r="W114" t="s">
        <v>43</v>
      </c>
      <c r="X114">
        <v>14</v>
      </c>
      <c r="Y114">
        <v>3</v>
      </c>
      <c r="Z114">
        <v>2</v>
      </c>
      <c r="AA114">
        <v>0</v>
      </c>
      <c r="AB114">
        <v>5</v>
      </c>
      <c r="AC114">
        <v>4</v>
      </c>
      <c r="AD114" t="s">
        <v>74</v>
      </c>
      <c r="AE114">
        <v>4</v>
      </c>
      <c r="AF114" t="str" cm="1">
        <f t="array" ref="AF114">_xlfn.IFS(AE114&gt;=10,"Veteran (10y+)",AE114&gt;=3,"Established (3-10y)",AE114&lt;3,"New Hire (&lt;3y)")</f>
        <v>Established (3-10y)</v>
      </c>
      <c r="AG114">
        <v>3</v>
      </c>
      <c r="AH114">
        <v>1</v>
      </c>
      <c r="AI114">
        <v>1</v>
      </c>
    </row>
    <row r="115" spans="1:35">
      <c r="A115">
        <v>25</v>
      </c>
      <c r="B115" t="str">
        <f t="shared" si="1"/>
        <v>Young Adults</v>
      </c>
      <c r="C115">
        <v>1</v>
      </c>
      <c r="D115" t="s">
        <v>44</v>
      </c>
      <c r="E115">
        <v>599</v>
      </c>
      <c r="F115" t="s">
        <v>37</v>
      </c>
      <c r="G115">
        <v>24</v>
      </c>
      <c r="H115" t="str" cm="1">
        <f t="array" ref="H115">_xlfn.IFS(G115&gt;15,"Long Commute",G115&gt;5,"Moderate",G115&lt;=5,"Near Office")</f>
        <v>Long Commute</v>
      </c>
      <c r="I115" t="s">
        <v>78</v>
      </c>
      <c r="J115" t="s">
        <v>38</v>
      </c>
      <c r="K115">
        <v>3</v>
      </c>
      <c r="L115" t="s">
        <v>46</v>
      </c>
      <c r="M115">
        <v>73</v>
      </c>
      <c r="N115">
        <v>1</v>
      </c>
      <c r="O115">
        <v>1</v>
      </c>
      <c r="P115" t="s">
        <v>57</v>
      </c>
      <c r="Q115" t="s">
        <v>77</v>
      </c>
      <c r="R115" t="s">
        <v>41</v>
      </c>
      <c r="S115">
        <v>1118</v>
      </c>
      <c r="T115" t="str" cm="1">
        <f t="array" ref="T115">_xlfn.IFS(S115&gt;=10000,"High (&gt;10k)",S115&gt;=5000,"Medium (5k-10k)",S115&lt;5000,"Low (&lt;5k)")</f>
        <v>Low (&lt;5k)</v>
      </c>
      <c r="U115">
        <v>8040</v>
      </c>
      <c r="V115">
        <v>1</v>
      </c>
      <c r="W115" t="s">
        <v>35</v>
      </c>
      <c r="X115">
        <v>14</v>
      </c>
      <c r="Y115">
        <v>3</v>
      </c>
      <c r="Z115">
        <v>4</v>
      </c>
      <c r="AA115">
        <v>0</v>
      </c>
      <c r="AB115">
        <v>1</v>
      </c>
      <c r="AC115">
        <v>4</v>
      </c>
      <c r="AD115" t="s">
        <v>74</v>
      </c>
      <c r="AE115">
        <v>1</v>
      </c>
      <c r="AF115" t="str" cm="1">
        <f t="array" ref="AF115">_xlfn.IFS(AE115&gt;=10,"Veteran (10y+)",AE115&gt;=3,"Established (3-10y)",AE115&lt;3,"New Hire (&lt;3y)")</f>
        <v>New Hire (&lt;3y)</v>
      </c>
      <c r="AG115">
        <v>0</v>
      </c>
      <c r="AH115">
        <v>1</v>
      </c>
      <c r="AI115">
        <v>0</v>
      </c>
    </row>
    <row r="116" spans="1:35">
      <c r="A116">
        <v>25</v>
      </c>
      <c r="B116" t="str">
        <f t="shared" si="1"/>
        <v>Young Adults</v>
      </c>
      <c r="C116">
        <v>0</v>
      </c>
      <c r="D116" t="s">
        <v>36</v>
      </c>
      <c r="E116">
        <v>266</v>
      </c>
      <c r="F116" t="s">
        <v>45</v>
      </c>
      <c r="G116">
        <v>1</v>
      </c>
      <c r="H116" t="str" cm="1">
        <f t="array" ref="H116">_xlfn.IFS(G116&gt;15,"Long Commute",G116&gt;5,"Moderate",G116&lt;=5,"Near Office")</f>
        <v>Near Office</v>
      </c>
      <c r="I116" t="s">
        <v>72</v>
      </c>
      <c r="J116" t="s">
        <v>51</v>
      </c>
      <c r="K116">
        <v>4</v>
      </c>
      <c r="L116" t="s">
        <v>39</v>
      </c>
      <c r="M116">
        <v>40</v>
      </c>
      <c r="N116">
        <v>3</v>
      </c>
      <c r="O116">
        <v>1</v>
      </c>
      <c r="P116" t="s">
        <v>47</v>
      </c>
      <c r="Q116" t="s">
        <v>75</v>
      </c>
      <c r="R116" t="s">
        <v>41</v>
      </c>
      <c r="S116">
        <v>2096</v>
      </c>
      <c r="T116" t="str" cm="1">
        <f t="array" ref="T116">_xlfn.IFS(S116&gt;=10000,"High (&gt;10k)",S116&gt;=5000,"Medium (5k-10k)",S116&lt;5000,"Low (&lt;5k)")</f>
        <v>Low (&lt;5k)</v>
      </c>
      <c r="U116">
        <v>18830</v>
      </c>
      <c r="V116">
        <v>1</v>
      </c>
      <c r="W116" t="s">
        <v>43</v>
      </c>
      <c r="X116">
        <v>18</v>
      </c>
      <c r="Y116">
        <v>3</v>
      </c>
      <c r="Z116">
        <v>4</v>
      </c>
      <c r="AA116">
        <v>0</v>
      </c>
      <c r="AB116">
        <v>2</v>
      </c>
      <c r="AC116">
        <v>3</v>
      </c>
      <c r="AD116" t="s">
        <v>81</v>
      </c>
      <c r="AE116">
        <v>2</v>
      </c>
      <c r="AF116" t="str" cm="1">
        <f t="array" ref="AF116">_xlfn.IFS(AE116&gt;=10,"Veteran (10y+)",AE116&gt;=3,"Established (3-10y)",AE116&lt;3,"New Hire (&lt;3y)")</f>
        <v>New Hire (&lt;3y)</v>
      </c>
      <c r="AG116">
        <v>2</v>
      </c>
      <c r="AH116">
        <v>2</v>
      </c>
      <c r="AI116">
        <v>1</v>
      </c>
    </row>
    <row r="117" spans="1:35">
      <c r="A117">
        <v>25</v>
      </c>
      <c r="B117" t="str">
        <f t="shared" si="1"/>
        <v>Young Adults</v>
      </c>
      <c r="C117">
        <v>0</v>
      </c>
      <c r="D117" t="s">
        <v>36</v>
      </c>
      <c r="E117">
        <v>882</v>
      </c>
      <c r="F117" t="s">
        <v>45</v>
      </c>
      <c r="G117">
        <v>19</v>
      </c>
      <c r="H117" t="str" cm="1">
        <f t="array" ref="H117">_xlfn.IFS(G117&gt;15,"Long Commute",G117&gt;5,"Moderate",G117&lt;=5,"Near Office")</f>
        <v>Long Commute</v>
      </c>
      <c r="I117" t="s">
        <v>78</v>
      </c>
      <c r="J117" t="s">
        <v>51</v>
      </c>
      <c r="K117">
        <v>4</v>
      </c>
      <c r="L117" t="s">
        <v>46</v>
      </c>
      <c r="M117">
        <v>67</v>
      </c>
      <c r="N117">
        <v>3</v>
      </c>
      <c r="O117">
        <v>1</v>
      </c>
      <c r="P117" t="s">
        <v>50</v>
      </c>
      <c r="Q117" t="s">
        <v>77</v>
      </c>
      <c r="R117" t="s">
        <v>48</v>
      </c>
      <c r="S117">
        <v>3669</v>
      </c>
      <c r="T117" t="str" cm="1">
        <f t="array" ref="T117">_xlfn.IFS(S117&gt;=10000,"High (&gt;10k)",S117&gt;=5000,"Medium (5k-10k)",S117&lt;5000,"Low (&lt;5k)")</f>
        <v>Low (&lt;5k)</v>
      </c>
      <c r="U117">
        <v>9075</v>
      </c>
      <c r="V117">
        <v>3</v>
      </c>
      <c r="W117" t="s">
        <v>43</v>
      </c>
      <c r="X117">
        <v>11</v>
      </c>
      <c r="Y117">
        <v>3</v>
      </c>
      <c r="Z117">
        <v>3</v>
      </c>
      <c r="AA117">
        <v>3</v>
      </c>
      <c r="AB117">
        <v>7</v>
      </c>
      <c r="AC117">
        <v>6</v>
      </c>
      <c r="AD117" t="s">
        <v>81</v>
      </c>
      <c r="AE117">
        <v>3</v>
      </c>
      <c r="AF117" t="str" cm="1">
        <f t="array" ref="AF117">_xlfn.IFS(AE117&gt;=10,"Veteran (10y+)",AE117&gt;=3,"Established (3-10y)",AE117&lt;3,"New Hire (&lt;3y)")</f>
        <v>Established (3-10y)</v>
      </c>
      <c r="AG117">
        <v>2</v>
      </c>
      <c r="AH117">
        <v>1</v>
      </c>
      <c r="AI117">
        <v>2</v>
      </c>
    </row>
    <row r="118" spans="1:35">
      <c r="A118">
        <v>25</v>
      </c>
      <c r="B118" t="str">
        <f t="shared" si="1"/>
        <v>Young Adults</v>
      </c>
      <c r="C118">
        <v>0</v>
      </c>
      <c r="D118" t="s">
        <v>36</v>
      </c>
      <c r="E118">
        <v>1372</v>
      </c>
      <c r="F118" t="s">
        <v>37</v>
      </c>
      <c r="G118">
        <v>18</v>
      </c>
      <c r="H118" t="str" cm="1">
        <f t="array" ref="H118">_xlfn.IFS(G118&gt;15,"Long Commute",G118&gt;5,"Moderate",G118&lt;=5,"Near Office")</f>
        <v>Long Commute</v>
      </c>
      <c r="I118" t="s">
        <v>78</v>
      </c>
      <c r="J118" t="s">
        <v>38</v>
      </c>
      <c r="K118">
        <v>1</v>
      </c>
      <c r="L118" t="s">
        <v>46</v>
      </c>
      <c r="M118">
        <v>93</v>
      </c>
      <c r="N118">
        <v>4</v>
      </c>
      <c r="O118">
        <v>2</v>
      </c>
      <c r="P118" t="s">
        <v>40</v>
      </c>
      <c r="Q118" t="s">
        <v>73</v>
      </c>
      <c r="R118" t="s">
        <v>48</v>
      </c>
      <c r="S118">
        <v>6232</v>
      </c>
      <c r="T118" t="str" cm="1">
        <f t="array" ref="T118">_xlfn.IFS(S118&gt;=10000,"High (&gt;10k)",S118&gt;=5000,"Medium (5k-10k)",S118&lt;5000,"Low (&lt;5k)")</f>
        <v>Medium (5k-10k)</v>
      </c>
      <c r="U118">
        <v>12477</v>
      </c>
      <c r="V118">
        <v>2</v>
      </c>
      <c r="W118" t="s">
        <v>43</v>
      </c>
      <c r="X118">
        <v>11</v>
      </c>
      <c r="Y118">
        <v>3</v>
      </c>
      <c r="Z118">
        <v>2</v>
      </c>
      <c r="AA118">
        <v>0</v>
      </c>
      <c r="AB118">
        <v>6</v>
      </c>
      <c r="AC118">
        <v>3</v>
      </c>
      <c r="AD118" t="s">
        <v>81</v>
      </c>
      <c r="AE118">
        <v>3</v>
      </c>
      <c r="AF118" t="str" cm="1">
        <f t="array" ref="AF118">_xlfn.IFS(AE118&gt;=10,"Veteran (10y+)",AE118&gt;=3,"Established (3-10y)",AE118&lt;3,"New Hire (&lt;3y)")</f>
        <v>Established (3-10y)</v>
      </c>
      <c r="AG118">
        <v>2</v>
      </c>
      <c r="AH118">
        <v>1</v>
      </c>
      <c r="AI118">
        <v>2</v>
      </c>
    </row>
    <row r="119" spans="1:35">
      <c r="A119">
        <v>25</v>
      </c>
      <c r="B119" t="str">
        <f t="shared" si="1"/>
        <v>Young Adults</v>
      </c>
      <c r="C119">
        <v>0</v>
      </c>
      <c r="D119" t="s">
        <v>36</v>
      </c>
      <c r="E119">
        <v>949</v>
      </c>
      <c r="F119" t="s">
        <v>45</v>
      </c>
      <c r="G119">
        <v>1</v>
      </c>
      <c r="H119" t="str" cm="1">
        <f t="array" ref="H119">_xlfn.IFS(G119&gt;15,"Long Commute",G119&gt;5,"Moderate",G119&lt;=5,"Near Office")</f>
        <v>Near Office</v>
      </c>
      <c r="I119" t="s">
        <v>72</v>
      </c>
      <c r="J119" t="s">
        <v>60</v>
      </c>
      <c r="K119">
        <v>1</v>
      </c>
      <c r="L119" t="s">
        <v>46</v>
      </c>
      <c r="M119">
        <v>81</v>
      </c>
      <c r="N119">
        <v>3</v>
      </c>
      <c r="O119">
        <v>1</v>
      </c>
      <c r="P119" t="s">
        <v>50</v>
      </c>
      <c r="Q119" t="s">
        <v>77</v>
      </c>
      <c r="R119" t="s">
        <v>48</v>
      </c>
      <c r="S119">
        <v>3229</v>
      </c>
      <c r="T119" t="str" cm="1">
        <f t="array" ref="T119">_xlfn.IFS(S119&gt;=10000,"High (&gt;10k)",S119&gt;=5000,"Medium (5k-10k)",S119&lt;5000,"Low (&lt;5k)")</f>
        <v>Low (&lt;5k)</v>
      </c>
      <c r="U119">
        <v>4910</v>
      </c>
      <c r="V119">
        <v>4</v>
      </c>
      <c r="W119" t="s">
        <v>43</v>
      </c>
      <c r="X119">
        <v>11</v>
      </c>
      <c r="Y119">
        <v>3</v>
      </c>
      <c r="Z119">
        <v>2</v>
      </c>
      <c r="AA119">
        <v>1</v>
      </c>
      <c r="AB119">
        <v>7</v>
      </c>
      <c r="AC119">
        <v>2</v>
      </c>
      <c r="AD119" t="s">
        <v>81</v>
      </c>
      <c r="AE119">
        <v>3</v>
      </c>
      <c r="AF119" t="str" cm="1">
        <f t="array" ref="AF119">_xlfn.IFS(AE119&gt;=10,"Veteran (10y+)",AE119&gt;=3,"Established (3-10y)",AE119&lt;3,"New Hire (&lt;3y)")</f>
        <v>Established (3-10y)</v>
      </c>
      <c r="AG119">
        <v>2</v>
      </c>
      <c r="AH119">
        <v>0</v>
      </c>
      <c r="AI119">
        <v>2</v>
      </c>
    </row>
    <row r="120" spans="1:35">
      <c r="A120">
        <v>25</v>
      </c>
      <c r="B120" t="str">
        <f t="shared" si="1"/>
        <v>Young Adults</v>
      </c>
      <c r="C120">
        <v>1</v>
      </c>
      <c r="D120" t="s">
        <v>36</v>
      </c>
      <c r="E120">
        <v>383</v>
      </c>
      <c r="F120" t="s">
        <v>37</v>
      </c>
      <c r="G120">
        <v>9</v>
      </c>
      <c r="H120" t="str" cm="1">
        <f t="array" ref="H120">_xlfn.IFS(G120&gt;15,"Long Commute",G120&gt;5,"Moderate",G120&lt;=5,"Near Office")</f>
        <v>Moderate</v>
      </c>
      <c r="I120" t="s">
        <v>76</v>
      </c>
      <c r="J120" t="s">
        <v>38</v>
      </c>
      <c r="K120">
        <v>1</v>
      </c>
      <c r="L120" t="s">
        <v>46</v>
      </c>
      <c r="M120">
        <v>68</v>
      </c>
      <c r="N120">
        <v>2</v>
      </c>
      <c r="O120">
        <v>1</v>
      </c>
      <c r="P120" t="s">
        <v>57</v>
      </c>
      <c r="Q120" t="s">
        <v>82</v>
      </c>
      <c r="R120" t="s">
        <v>48</v>
      </c>
      <c r="S120">
        <v>4400</v>
      </c>
      <c r="T120" t="str" cm="1">
        <f t="array" ref="T120">_xlfn.IFS(S120&gt;=10000,"High (&gt;10k)",S120&gt;=5000,"Medium (5k-10k)",S120&lt;5000,"Low (&lt;5k)")</f>
        <v>Low (&lt;5k)</v>
      </c>
      <c r="U120">
        <v>15182</v>
      </c>
      <c r="V120">
        <v>3</v>
      </c>
      <c r="W120" t="s">
        <v>43</v>
      </c>
      <c r="X120">
        <v>12</v>
      </c>
      <c r="Y120">
        <v>3</v>
      </c>
      <c r="Z120">
        <v>1</v>
      </c>
      <c r="AA120">
        <v>0</v>
      </c>
      <c r="AB120">
        <v>6</v>
      </c>
      <c r="AC120">
        <v>2</v>
      </c>
      <c r="AD120" t="s">
        <v>74</v>
      </c>
      <c r="AE120">
        <v>3</v>
      </c>
      <c r="AF120" t="str" cm="1">
        <f t="array" ref="AF120">_xlfn.IFS(AE120&gt;=10,"Veteran (10y+)",AE120&gt;=3,"Established (3-10y)",AE120&lt;3,"New Hire (&lt;3y)")</f>
        <v>Established (3-10y)</v>
      </c>
      <c r="AG120">
        <v>2</v>
      </c>
      <c r="AH120">
        <v>2</v>
      </c>
      <c r="AI120">
        <v>2</v>
      </c>
    </row>
    <row r="121" spans="1:35">
      <c r="A121">
        <v>25</v>
      </c>
      <c r="B121" t="str">
        <f t="shared" si="1"/>
        <v>Young Adults</v>
      </c>
      <c r="C121">
        <v>0</v>
      </c>
      <c r="D121" t="s">
        <v>44</v>
      </c>
      <c r="E121">
        <v>772</v>
      </c>
      <c r="F121" t="s">
        <v>45</v>
      </c>
      <c r="G121">
        <v>2</v>
      </c>
      <c r="H121" t="str" cm="1">
        <f t="array" ref="H121">_xlfn.IFS(G121&gt;15,"Long Commute",G121&gt;5,"Moderate",G121&lt;=5,"Near Office")</f>
        <v>Near Office</v>
      </c>
      <c r="I121" t="s">
        <v>78</v>
      </c>
      <c r="J121" t="s">
        <v>38</v>
      </c>
      <c r="K121">
        <v>4</v>
      </c>
      <c r="L121" t="s">
        <v>46</v>
      </c>
      <c r="M121">
        <v>77</v>
      </c>
      <c r="N121">
        <v>4</v>
      </c>
      <c r="O121">
        <v>2</v>
      </c>
      <c r="P121" t="s">
        <v>53</v>
      </c>
      <c r="Q121" t="s">
        <v>73</v>
      </c>
      <c r="R121" t="s">
        <v>52</v>
      </c>
      <c r="S121">
        <v>5206</v>
      </c>
      <c r="T121" t="str" cm="1">
        <f t="array" ref="T121">_xlfn.IFS(S121&gt;=10000,"High (&gt;10k)",S121&gt;=5000,"Medium (5k-10k)",S121&lt;5000,"Low (&lt;5k)")</f>
        <v>Medium (5k-10k)</v>
      </c>
      <c r="U121">
        <v>4973</v>
      </c>
      <c r="V121">
        <v>1</v>
      </c>
      <c r="W121" t="s">
        <v>43</v>
      </c>
      <c r="X121">
        <v>17</v>
      </c>
      <c r="Y121">
        <v>3</v>
      </c>
      <c r="Z121">
        <v>3</v>
      </c>
      <c r="AA121">
        <v>2</v>
      </c>
      <c r="AB121">
        <v>7</v>
      </c>
      <c r="AC121">
        <v>6</v>
      </c>
      <c r="AD121" t="s">
        <v>74</v>
      </c>
      <c r="AE121">
        <v>7</v>
      </c>
      <c r="AF121" t="str" cm="1">
        <f t="array" ref="AF121">_xlfn.IFS(AE121&gt;=10,"Veteran (10y+)",AE121&gt;=3,"Established (3-10y)",AE121&lt;3,"New Hire (&lt;3y)")</f>
        <v>Established (3-10y)</v>
      </c>
      <c r="AG121">
        <v>7</v>
      </c>
      <c r="AH121">
        <v>0</v>
      </c>
      <c r="AI121">
        <v>7</v>
      </c>
    </row>
    <row r="122" spans="1:35">
      <c r="A122">
        <v>25</v>
      </c>
      <c r="B122" t="str">
        <f t="shared" si="1"/>
        <v>Young Adults</v>
      </c>
      <c r="C122">
        <v>0</v>
      </c>
      <c r="D122" t="s">
        <v>36</v>
      </c>
      <c r="E122">
        <v>309</v>
      </c>
      <c r="F122" t="s">
        <v>61</v>
      </c>
      <c r="G122">
        <v>2</v>
      </c>
      <c r="H122" t="str" cm="1">
        <f t="array" ref="H122">_xlfn.IFS(G122&gt;15,"Long Commute",G122&gt;5,"Moderate",G122&lt;=5,"Near Office")</f>
        <v>Near Office</v>
      </c>
      <c r="I122" t="s">
        <v>72</v>
      </c>
      <c r="J122" t="s">
        <v>61</v>
      </c>
      <c r="K122">
        <v>3</v>
      </c>
      <c r="L122" t="s">
        <v>39</v>
      </c>
      <c r="M122">
        <v>82</v>
      </c>
      <c r="N122">
        <v>3</v>
      </c>
      <c r="O122">
        <v>1</v>
      </c>
      <c r="P122" t="s">
        <v>61</v>
      </c>
      <c r="Q122" t="s">
        <v>75</v>
      </c>
      <c r="R122" t="s">
        <v>48</v>
      </c>
      <c r="S122">
        <v>2187</v>
      </c>
      <c r="T122" t="str" cm="1">
        <f t="array" ref="T122">_xlfn.IFS(S122&gt;=10000,"High (&gt;10k)",S122&gt;=5000,"Medium (5k-10k)",S122&lt;5000,"Low (&lt;5k)")</f>
        <v>Low (&lt;5k)</v>
      </c>
      <c r="U122">
        <v>19655</v>
      </c>
      <c r="V122">
        <v>4</v>
      </c>
      <c r="W122" t="s">
        <v>43</v>
      </c>
      <c r="X122">
        <v>14</v>
      </c>
      <c r="Y122">
        <v>3</v>
      </c>
      <c r="Z122">
        <v>3</v>
      </c>
      <c r="AA122">
        <v>0</v>
      </c>
      <c r="AB122">
        <v>6</v>
      </c>
      <c r="AC122">
        <v>3</v>
      </c>
      <c r="AD122" t="s">
        <v>74</v>
      </c>
      <c r="AE122">
        <v>2</v>
      </c>
      <c r="AF122" t="str" cm="1">
        <f t="array" ref="AF122">_xlfn.IFS(AE122&gt;=10,"Veteran (10y+)",AE122&gt;=3,"Established (3-10y)",AE122&lt;3,"New Hire (&lt;3y)")</f>
        <v>New Hire (&lt;3y)</v>
      </c>
      <c r="AG122">
        <v>0</v>
      </c>
      <c r="AH122">
        <v>1</v>
      </c>
      <c r="AI122">
        <v>2</v>
      </c>
    </row>
    <row r="123" spans="1:35">
      <c r="A123">
        <v>25</v>
      </c>
      <c r="B123" t="str">
        <f t="shared" si="1"/>
        <v>Young Adults</v>
      </c>
      <c r="C123">
        <v>0</v>
      </c>
      <c r="D123" t="s">
        <v>36</v>
      </c>
      <c r="E123">
        <v>977</v>
      </c>
      <c r="F123" t="s">
        <v>45</v>
      </c>
      <c r="G123">
        <v>2</v>
      </c>
      <c r="H123" t="str" cm="1">
        <f t="array" ref="H123">_xlfn.IFS(G123&gt;15,"Long Commute",G123&gt;5,"Moderate",G123&lt;=5,"Near Office")</f>
        <v>Near Office</v>
      </c>
      <c r="I123" t="s">
        <v>78</v>
      </c>
      <c r="J123" t="s">
        <v>49</v>
      </c>
      <c r="K123">
        <v>4</v>
      </c>
      <c r="L123" t="s">
        <v>46</v>
      </c>
      <c r="M123">
        <v>57</v>
      </c>
      <c r="N123">
        <v>3</v>
      </c>
      <c r="O123">
        <v>1</v>
      </c>
      <c r="P123" t="s">
        <v>50</v>
      </c>
      <c r="Q123" t="s">
        <v>73</v>
      </c>
      <c r="R123" t="s">
        <v>52</v>
      </c>
      <c r="S123">
        <v>3977</v>
      </c>
      <c r="T123" t="str" cm="1">
        <f t="array" ref="T123">_xlfn.IFS(S123&gt;=10000,"High (&gt;10k)",S123&gt;=5000,"Medium (5k-10k)",S123&lt;5000,"Low (&lt;5k)")</f>
        <v>Low (&lt;5k)</v>
      </c>
      <c r="U123">
        <v>7298</v>
      </c>
      <c r="V123">
        <v>6</v>
      </c>
      <c r="W123" t="s">
        <v>35</v>
      </c>
      <c r="X123">
        <v>19</v>
      </c>
      <c r="Y123">
        <v>3</v>
      </c>
      <c r="Z123">
        <v>3</v>
      </c>
      <c r="AA123">
        <v>1</v>
      </c>
      <c r="AB123">
        <v>7</v>
      </c>
      <c r="AC123">
        <v>2</v>
      </c>
      <c r="AD123" t="s">
        <v>81</v>
      </c>
      <c r="AE123">
        <v>2</v>
      </c>
      <c r="AF123" t="str" cm="1">
        <f t="array" ref="AF123">_xlfn.IFS(AE123&gt;=10,"Veteran (10y+)",AE123&gt;=3,"Established (3-10y)",AE123&lt;3,"New Hire (&lt;3y)")</f>
        <v>New Hire (&lt;3y)</v>
      </c>
      <c r="AG123">
        <v>2</v>
      </c>
      <c r="AH123">
        <v>0</v>
      </c>
      <c r="AI123">
        <v>2</v>
      </c>
    </row>
    <row r="124" spans="1:35">
      <c r="A124">
        <v>25</v>
      </c>
      <c r="B124" t="str">
        <f t="shared" si="1"/>
        <v>Young Adults</v>
      </c>
      <c r="C124">
        <v>0</v>
      </c>
      <c r="D124" t="s">
        <v>36</v>
      </c>
      <c r="E124">
        <v>1382</v>
      </c>
      <c r="F124" t="s">
        <v>37</v>
      </c>
      <c r="G124">
        <v>8</v>
      </c>
      <c r="H124" t="str" cm="1">
        <f t="array" ref="H124">_xlfn.IFS(G124&gt;15,"Long Commute",G124&gt;5,"Moderate",G124&lt;=5,"Near Office")</f>
        <v>Moderate</v>
      </c>
      <c r="I124" t="s">
        <v>76</v>
      </c>
      <c r="J124" t="s">
        <v>49</v>
      </c>
      <c r="K124">
        <v>1</v>
      </c>
      <c r="L124" t="s">
        <v>39</v>
      </c>
      <c r="M124">
        <v>85</v>
      </c>
      <c r="N124">
        <v>3</v>
      </c>
      <c r="O124">
        <v>2</v>
      </c>
      <c r="P124" t="s">
        <v>40</v>
      </c>
      <c r="Q124" t="s">
        <v>73</v>
      </c>
      <c r="R124" t="s">
        <v>52</v>
      </c>
      <c r="S124">
        <v>4907</v>
      </c>
      <c r="T124" t="str" cm="1">
        <f t="array" ref="T124">_xlfn.IFS(S124&gt;=10000,"High (&gt;10k)",S124&gt;=5000,"Medium (5k-10k)",S124&lt;5000,"Low (&lt;5k)")</f>
        <v>Low (&lt;5k)</v>
      </c>
      <c r="U124">
        <v>13684</v>
      </c>
      <c r="V124">
        <v>0</v>
      </c>
      <c r="W124" t="s">
        <v>35</v>
      </c>
      <c r="X124">
        <v>22</v>
      </c>
      <c r="Y124">
        <v>4</v>
      </c>
      <c r="Z124">
        <v>2</v>
      </c>
      <c r="AA124">
        <v>1</v>
      </c>
      <c r="AB124">
        <v>6</v>
      </c>
      <c r="AC124">
        <v>3</v>
      </c>
      <c r="AD124" t="s">
        <v>81</v>
      </c>
      <c r="AE124">
        <v>5</v>
      </c>
      <c r="AF124" t="str" cm="1">
        <f t="array" ref="AF124">_xlfn.IFS(AE124&gt;=10,"Veteran (10y+)",AE124&gt;=3,"Established (3-10y)",AE124&lt;3,"New Hire (&lt;3y)")</f>
        <v>Established (3-10y)</v>
      </c>
      <c r="AG124">
        <v>3</v>
      </c>
      <c r="AH124">
        <v>0</v>
      </c>
      <c r="AI124">
        <v>4</v>
      </c>
    </row>
    <row r="125" spans="1:35">
      <c r="A125">
        <v>26</v>
      </c>
      <c r="B125" t="str">
        <f t="shared" si="1"/>
        <v>Young Adults</v>
      </c>
      <c r="C125">
        <v>1</v>
      </c>
      <c r="D125" t="s">
        <v>36</v>
      </c>
      <c r="E125">
        <v>1357</v>
      </c>
      <c r="F125" t="s">
        <v>45</v>
      </c>
      <c r="G125">
        <v>25</v>
      </c>
      <c r="H125" t="str" cm="1">
        <f t="array" ref="H125">_xlfn.IFS(G125&gt;15,"Long Commute",G125&gt;5,"Moderate",G125&lt;=5,"Near Office")</f>
        <v>Long Commute</v>
      </c>
      <c r="I125" t="s">
        <v>72</v>
      </c>
      <c r="J125" t="s">
        <v>38</v>
      </c>
      <c r="K125">
        <v>1</v>
      </c>
      <c r="L125" t="s">
        <v>46</v>
      </c>
      <c r="M125">
        <v>48</v>
      </c>
      <c r="N125">
        <v>1</v>
      </c>
      <c r="O125">
        <v>1</v>
      </c>
      <c r="P125" t="s">
        <v>50</v>
      </c>
      <c r="Q125" t="s">
        <v>73</v>
      </c>
      <c r="R125" t="s">
        <v>41</v>
      </c>
      <c r="S125">
        <v>2293</v>
      </c>
      <c r="T125" t="str" cm="1">
        <f t="array" ref="T125">_xlfn.IFS(S125&gt;=10000,"High (&gt;10k)",S125&gt;=5000,"Medium (5k-10k)",S125&lt;5000,"Low (&lt;5k)")</f>
        <v>Low (&lt;5k)</v>
      </c>
      <c r="U125">
        <v>10558</v>
      </c>
      <c r="V125">
        <v>1</v>
      </c>
      <c r="W125" t="s">
        <v>43</v>
      </c>
      <c r="X125">
        <v>12</v>
      </c>
      <c r="Y125">
        <v>3</v>
      </c>
      <c r="Z125">
        <v>3</v>
      </c>
      <c r="AA125">
        <v>0</v>
      </c>
      <c r="AB125">
        <v>1</v>
      </c>
      <c r="AC125">
        <v>2</v>
      </c>
      <c r="AD125" t="s">
        <v>81</v>
      </c>
      <c r="AE125">
        <v>1</v>
      </c>
      <c r="AF125" t="str" cm="1">
        <f t="array" ref="AF125">_xlfn.IFS(AE125&gt;=10,"Veteran (10y+)",AE125&gt;=3,"Established (3-10y)",AE125&lt;3,"New Hire (&lt;3y)")</f>
        <v>New Hire (&lt;3y)</v>
      </c>
      <c r="AG125">
        <v>0</v>
      </c>
      <c r="AH125">
        <v>0</v>
      </c>
      <c r="AI125">
        <v>1</v>
      </c>
    </row>
    <row r="126" spans="1:35">
      <c r="A126">
        <v>26</v>
      </c>
      <c r="B126" t="str">
        <f t="shared" si="1"/>
        <v>Young Adults</v>
      </c>
      <c r="C126">
        <v>0</v>
      </c>
      <c r="D126" t="s">
        <v>36</v>
      </c>
      <c r="E126">
        <v>1443</v>
      </c>
      <c r="F126" t="s">
        <v>37</v>
      </c>
      <c r="G126">
        <v>23</v>
      </c>
      <c r="H126" t="str" cm="1">
        <f t="array" ref="H126">_xlfn.IFS(G126&gt;15,"Long Commute",G126&gt;5,"Moderate",G126&lt;=5,"Near Office")</f>
        <v>Long Commute</v>
      </c>
      <c r="I126" t="s">
        <v>72</v>
      </c>
      <c r="J126" t="s">
        <v>59</v>
      </c>
      <c r="K126">
        <v>3</v>
      </c>
      <c r="L126" t="s">
        <v>39</v>
      </c>
      <c r="M126">
        <v>47</v>
      </c>
      <c r="N126">
        <v>2</v>
      </c>
      <c r="O126">
        <v>2</v>
      </c>
      <c r="P126" t="s">
        <v>40</v>
      </c>
      <c r="Q126" t="s">
        <v>77</v>
      </c>
      <c r="R126" t="s">
        <v>48</v>
      </c>
      <c r="S126">
        <v>4157</v>
      </c>
      <c r="T126" t="str" cm="1">
        <f t="array" ref="T126">_xlfn.IFS(S126&gt;=10000,"High (&gt;10k)",S126&gt;=5000,"Medium (5k-10k)",S126&lt;5000,"Low (&lt;5k)")</f>
        <v>Low (&lt;5k)</v>
      </c>
      <c r="U126">
        <v>21436</v>
      </c>
      <c r="V126">
        <v>7</v>
      </c>
      <c r="W126" t="s">
        <v>35</v>
      </c>
      <c r="X126">
        <v>19</v>
      </c>
      <c r="Y126">
        <v>3</v>
      </c>
      <c r="Z126">
        <v>3</v>
      </c>
      <c r="AA126">
        <v>1</v>
      </c>
      <c r="AB126">
        <v>5</v>
      </c>
      <c r="AC126">
        <v>2</v>
      </c>
      <c r="AD126" t="s">
        <v>81</v>
      </c>
      <c r="AE126">
        <v>2</v>
      </c>
      <c r="AF126" t="str" cm="1">
        <f t="array" ref="AF126">_xlfn.IFS(AE126&gt;=10,"Veteran (10y+)",AE126&gt;=3,"Established (3-10y)",AE126&lt;3,"New Hire (&lt;3y)")</f>
        <v>New Hire (&lt;3y)</v>
      </c>
      <c r="AG126">
        <v>2</v>
      </c>
      <c r="AH126">
        <v>0</v>
      </c>
      <c r="AI126">
        <v>0</v>
      </c>
    </row>
    <row r="127" spans="1:35">
      <c r="A127">
        <v>26</v>
      </c>
      <c r="B127" t="str">
        <f t="shared" si="1"/>
        <v>Young Adults</v>
      </c>
      <c r="C127">
        <v>0</v>
      </c>
      <c r="D127" t="s">
        <v>36</v>
      </c>
      <c r="E127">
        <v>841</v>
      </c>
      <c r="F127" t="s">
        <v>45</v>
      </c>
      <c r="G127">
        <v>6</v>
      </c>
      <c r="H127" t="str" cm="1">
        <f t="array" ref="H127">_xlfn.IFS(G127&gt;15,"Long Commute",G127&gt;5,"Moderate",G127&lt;=5,"Near Office")</f>
        <v>Moderate</v>
      </c>
      <c r="I127" t="s">
        <v>72</v>
      </c>
      <c r="J127" t="s">
        <v>49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 t="s">
        <v>75</v>
      </c>
      <c r="R127" t="s">
        <v>48</v>
      </c>
      <c r="S127">
        <v>2368</v>
      </c>
      <c r="T127" t="str" cm="1">
        <f t="array" ref="T127">_xlfn.IFS(S127&gt;=10000,"High (&gt;10k)",S127&gt;=5000,"Medium (5k-10k)",S127&lt;5000,"Low (&lt;5k)")</f>
        <v>Low (&lt;5k)</v>
      </c>
      <c r="U127">
        <v>23300</v>
      </c>
      <c r="V127">
        <v>1</v>
      </c>
      <c r="W127" t="s">
        <v>43</v>
      </c>
      <c r="X127">
        <v>19</v>
      </c>
      <c r="Y127">
        <v>3</v>
      </c>
      <c r="Z127">
        <v>3</v>
      </c>
      <c r="AA127">
        <v>0</v>
      </c>
      <c r="AB127">
        <v>5</v>
      </c>
      <c r="AC127">
        <v>3</v>
      </c>
      <c r="AD127" t="s">
        <v>81</v>
      </c>
      <c r="AE127">
        <v>5</v>
      </c>
      <c r="AF127" t="str" cm="1">
        <f t="array" ref="AF127">_xlfn.IFS(AE127&gt;=10,"Veteran (10y+)",AE127&gt;=3,"Established (3-10y)",AE127&lt;3,"New Hire (&lt;3y)")</f>
        <v>Established (3-10y)</v>
      </c>
      <c r="AG127">
        <v>4</v>
      </c>
      <c r="AH127">
        <v>4</v>
      </c>
      <c r="AI127">
        <v>3</v>
      </c>
    </row>
    <row r="128" spans="1:35">
      <c r="A128">
        <v>26</v>
      </c>
      <c r="B128" t="str">
        <f t="shared" si="1"/>
        <v>Young Adults</v>
      </c>
      <c r="C128">
        <v>0</v>
      </c>
      <c r="D128" t="s">
        <v>36</v>
      </c>
      <c r="E128">
        <v>1355</v>
      </c>
      <c r="F128" t="s">
        <v>61</v>
      </c>
      <c r="G128">
        <v>25</v>
      </c>
      <c r="H128" t="str" cm="1">
        <f t="array" ref="H128">_xlfn.IFS(G128&gt;15,"Long Commute",G128&gt;5,"Moderate",G128&lt;=5,"Near Office")</f>
        <v>Long Commute</v>
      </c>
      <c r="I128" t="s">
        <v>78</v>
      </c>
      <c r="J128" t="s">
        <v>38</v>
      </c>
      <c r="K128">
        <v>3</v>
      </c>
      <c r="L128" t="s">
        <v>39</v>
      </c>
      <c r="M128">
        <v>61</v>
      </c>
      <c r="N128">
        <v>3</v>
      </c>
      <c r="O128">
        <v>1</v>
      </c>
      <c r="P128" t="s">
        <v>61</v>
      </c>
      <c r="Q128" t="s">
        <v>73</v>
      </c>
      <c r="R128" t="s">
        <v>48</v>
      </c>
      <c r="S128">
        <v>2942</v>
      </c>
      <c r="T128" t="str" cm="1">
        <f t="array" ref="T128">_xlfn.IFS(S128&gt;=10000,"High (&gt;10k)",S128&gt;=5000,"Medium (5k-10k)",S128&lt;5000,"Low (&lt;5k)")</f>
        <v>Low (&lt;5k)</v>
      </c>
      <c r="U128">
        <v>8916</v>
      </c>
      <c r="V128">
        <v>1</v>
      </c>
      <c r="W128" t="s">
        <v>43</v>
      </c>
      <c r="X128">
        <v>23</v>
      </c>
      <c r="Y128">
        <v>4</v>
      </c>
      <c r="Z128">
        <v>4</v>
      </c>
      <c r="AA128">
        <v>1</v>
      </c>
      <c r="AB128">
        <v>8</v>
      </c>
      <c r="AC128">
        <v>3</v>
      </c>
      <c r="AD128" t="s">
        <v>74</v>
      </c>
      <c r="AE128">
        <v>8</v>
      </c>
      <c r="AF128" t="str" cm="1">
        <f t="array" ref="AF128">_xlfn.IFS(AE128&gt;=10,"Veteran (10y+)",AE128&gt;=3,"Established (3-10y)",AE128&lt;3,"New Hire (&lt;3y)")</f>
        <v>Established (3-10y)</v>
      </c>
      <c r="AG128">
        <v>7</v>
      </c>
      <c r="AH128">
        <v>5</v>
      </c>
      <c r="AI128">
        <v>7</v>
      </c>
    </row>
    <row r="129" spans="1:35">
      <c r="A129">
        <v>26</v>
      </c>
      <c r="B129" t="str">
        <f t="shared" si="1"/>
        <v>Young Adults</v>
      </c>
      <c r="C129">
        <v>0</v>
      </c>
      <c r="D129" t="s">
        <v>44</v>
      </c>
      <c r="E129">
        <v>1479</v>
      </c>
      <c r="F129" t="s">
        <v>45</v>
      </c>
      <c r="G129">
        <v>1</v>
      </c>
      <c r="H129" t="str" cm="1">
        <f t="array" ref="H129">_xlfn.IFS(G129&gt;15,"Long Commute",G129&gt;5,"Moderate",G129&lt;=5,"Near Office")</f>
        <v>Near Office</v>
      </c>
      <c r="I129" t="s">
        <v>72</v>
      </c>
      <c r="J129" t="s">
        <v>38</v>
      </c>
      <c r="K129">
        <v>3</v>
      </c>
      <c r="L129" t="s">
        <v>39</v>
      </c>
      <c r="M129">
        <v>84</v>
      </c>
      <c r="N129">
        <v>3</v>
      </c>
      <c r="O129">
        <v>2</v>
      </c>
      <c r="P129" t="s">
        <v>53</v>
      </c>
      <c r="Q129" t="s">
        <v>75</v>
      </c>
      <c r="R129" t="s">
        <v>52</v>
      </c>
      <c r="S129">
        <v>6397</v>
      </c>
      <c r="T129" t="str" cm="1">
        <f t="array" ref="T129">_xlfn.IFS(S129&gt;=10000,"High (&gt;10k)",S129&gt;=5000,"Medium (5k-10k)",S129&lt;5000,"Low (&lt;5k)")</f>
        <v>Medium (5k-10k)</v>
      </c>
      <c r="U129">
        <v>26767</v>
      </c>
      <c r="V129">
        <v>1</v>
      </c>
      <c r="W129" t="s">
        <v>43</v>
      </c>
      <c r="X129">
        <v>20</v>
      </c>
      <c r="Y129">
        <v>4</v>
      </c>
      <c r="Z129">
        <v>1</v>
      </c>
      <c r="AA129">
        <v>1</v>
      </c>
      <c r="AB129">
        <v>6</v>
      </c>
      <c r="AC129">
        <v>6</v>
      </c>
      <c r="AD129" t="s">
        <v>80</v>
      </c>
      <c r="AE129">
        <v>6</v>
      </c>
      <c r="AF129" t="str" cm="1">
        <f t="array" ref="AF129">_xlfn.IFS(AE129&gt;=10,"Veteran (10y+)",AE129&gt;=3,"Established (3-10y)",AE129&lt;3,"New Hire (&lt;3y)")</f>
        <v>Established (3-10y)</v>
      </c>
      <c r="AG129">
        <v>5</v>
      </c>
      <c r="AH129">
        <v>1</v>
      </c>
      <c r="AI129">
        <v>4</v>
      </c>
    </row>
    <row r="130" spans="1:35">
      <c r="A130">
        <v>26</v>
      </c>
      <c r="B130" t="str">
        <f t="shared" si="1"/>
        <v>Young Adults</v>
      </c>
      <c r="C130">
        <v>0</v>
      </c>
      <c r="D130" t="s">
        <v>44</v>
      </c>
      <c r="E130">
        <v>496</v>
      </c>
      <c r="F130" t="s">
        <v>45</v>
      </c>
      <c r="G130">
        <v>11</v>
      </c>
      <c r="H130" t="str" cm="1">
        <f t="array" ref="H130">_xlfn.IFS(G130&gt;15,"Long Commute",G130&gt;5,"Moderate",G130&lt;=5,"Near Office")</f>
        <v>Moderate</v>
      </c>
      <c r="I130" t="s">
        <v>76</v>
      </c>
      <c r="J130" t="s">
        <v>51</v>
      </c>
      <c r="K130">
        <v>1</v>
      </c>
      <c r="L130" t="s">
        <v>46</v>
      </c>
      <c r="M130">
        <v>60</v>
      </c>
      <c r="N130">
        <v>3</v>
      </c>
      <c r="O130">
        <v>2</v>
      </c>
      <c r="P130" t="s">
        <v>54</v>
      </c>
      <c r="Q130" t="s">
        <v>82</v>
      </c>
      <c r="R130" t="s">
        <v>48</v>
      </c>
      <c r="S130">
        <v>4741</v>
      </c>
      <c r="T130" t="str" cm="1">
        <f t="array" ref="T130">_xlfn.IFS(S130&gt;=10000,"High (&gt;10k)",S130&gt;=5000,"Medium (5k-10k)",S130&lt;5000,"Low (&lt;5k)")</f>
        <v>Low (&lt;5k)</v>
      </c>
      <c r="U130">
        <v>22722</v>
      </c>
      <c r="V130">
        <v>1</v>
      </c>
      <c r="W130" t="s">
        <v>35</v>
      </c>
      <c r="X130">
        <v>13</v>
      </c>
      <c r="Y130">
        <v>3</v>
      </c>
      <c r="Z130">
        <v>3</v>
      </c>
      <c r="AA130">
        <v>1</v>
      </c>
      <c r="AB130">
        <v>5</v>
      </c>
      <c r="AC130">
        <v>3</v>
      </c>
      <c r="AD130" t="s">
        <v>74</v>
      </c>
      <c r="AE130">
        <v>5</v>
      </c>
      <c r="AF130" t="str" cm="1">
        <f t="array" ref="AF130">_xlfn.IFS(AE130&gt;=10,"Veteran (10y+)",AE130&gt;=3,"Established (3-10y)",AE130&lt;3,"New Hire (&lt;3y)")</f>
        <v>Established (3-10y)</v>
      </c>
      <c r="AG130">
        <v>3</v>
      </c>
      <c r="AH130">
        <v>3</v>
      </c>
      <c r="AI130">
        <v>3</v>
      </c>
    </row>
    <row r="131" spans="1:35">
      <c r="A131">
        <v>26</v>
      </c>
      <c r="B131" t="str">
        <f t="shared" ref="B131:B194" si="2">IF(A131&gt;=46,"Senior",IF(A131&gt;=30,"Middle Aged","Young Adults"))</f>
        <v>Young Adults</v>
      </c>
      <c r="C131">
        <v>1</v>
      </c>
      <c r="D131" t="s">
        <v>36</v>
      </c>
      <c r="E131">
        <v>1449</v>
      </c>
      <c r="F131" t="s">
        <v>45</v>
      </c>
      <c r="G131">
        <v>16</v>
      </c>
      <c r="H131" t="str" cm="1">
        <f t="array" ref="H131">_xlfn.IFS(G131&gt;15,"Long Commute",G131&gt;5,"Moderate",G131&lt;=5,"Near Office")</f>
        <v>Long Commute</v>
      </c>
      <c r="I131" t="s">
        <v>83</v>
      </c>
      <c r="J131" t="s">
        <v>51</v>
      </c>
      <c r="K131">
        <v>1</v>
      </c>
      <c r="L131" t="s">
        <v>46</v>
      </c>
      <c r="M131">
        <v>45</v>
      </c>
      <c r="N131">
        <v>3</v>
      </c>
      <c r="O131">
        <v>1</v>
      </c>
      <c r="P131" t="s">
        <v>50</v>
      </c>
      <c r="Q131" t="s">
        <v>75</v>
      </c>
      <c r="R131" t="s">
        <v>52</v>
      </c>
      <c r="S131">
        <v>2373</v>
      </c>
      <c r="T131" t="str" cm="1">
        <f t="array" ref="T131">_xlfn.IFS(S131&gt;=10000,"High (&gt;10k)",S131&gt;=5000,"Medium (5k-10k)",S131&lt;5000,"Low (&lt;5k)")</f>
        <v>Low (&lt;5k)</v>
      </c>
      <c r="U131">
        <v>14180</v>
      </c>
      <c r="V131">
        <v>2</v>
      </c>
      <c r="W131" t="s">
        <v>35</v>
      </c>
      <c r="X131">
        <v>13</v>
      </c>
      <c r="Y131">
        <v>3</v>
      </c>
      <c r="Z131">
        <v>4</v>
      </c>
      <c r="AA131">
        <v>1</v>
      </c>
      <c r="AB131">
        <v>5</v>
      </c>
      <c r="AC131">
        <v>2</v>
      </c>
      <c r="AD131" t="s">
        <v>74</v>
      </c>
      <c r="AE131">
        <v>3</v>
      </c>
      <c r="AF131" t="str" cm="1">
        <f t="array" ref="AF131">_xlfn.IFS(AE131&gt;=10,"Veteran (10y+)",AE131&gt;=3,"Established (3-10y)",AE131&lt;3,"New Hire (&lt;3y)")</f>
        <v>Established (3-10y)</v>
      </c>
      <c r="AG131">
        <v>2</v>
      </c>
      <c r="AH131">
        <v>0</v>
      </c>
      <c r="AI131">
        <v>2</v>
      </c>
    </row>
    <row r="132" spans="1:35">
      <c r="A132">
        <v>26</v>
      </c>
      <c r="B132" t="str">
        <f t="shared" si="2"/>
        <v>Young Adults</v>
      </c>
      <c r="C132">
        <v>1</v>
      </c>
      <c r="D132" t="s">
        <v>36</v>
      </c>
      <c r="E132">
        <v>950</v>
      </c>
      <c r="F132" t="s">
        <v>37</v>
      </c>
      <c r="G132">
        <v>4</v>
      </c>
      <c r="H132" t="str" cm="1">
        <f t="array" ref="H132">_xlfn.IFS(G132&gt;15,"Long Commute",G132&gt;5,"Moderate",G132&lt;=5,"Near Office")</f>
        <v>Near Office</v>
      </c>
      <c r="I132" t="s">
        <v>83</v>
      </c>
      <c r="J132" t="s">
        <v>59</v>
      </c>
      <c r="K132">
        <v>4</v>
      </c>
      <c r="L132" t="s">
        <v>46</v>
      </c>
      <c r="M132">
        <v>48</v>
      </c>
      <c r="N132">
        <v>2</v>
      </c>
      <c r="O132">
        <v>2</v>
      </c>
      <c r="P132" t="s">
        <v>40</v>
      </c>
      <c r="Q132" t="s">
        <v>77</v>
      </c>
      <c r="R132" t="s">
        <v>41</v>
      </c>
      <c r="S132">
        <v>5828</v>
      </c>
      <c r="T132" t="str" cm="1">
        <f t="array" ref="T132">_xlfn.IFS(S132&gt;=10000,"High (&gt;10k)",S132&gt;=5000,"Medium (5k-10k)",S132&lt;5000,"Low (&lt;5k)")</f>
        <v>Medium (5k-10k)</v>
      </c>
      <c r="U132">
        <v>8450</v>
      </c>
      <c r="V132">
        <v>1</v>
      </c>
      <c r="W132" t="s">
        <v>35</v>
      </c>
      <c r="X132">
        <v>12</v>
      </c>
      <c r="Y132">
        <v>3</v>
      </c>
      <c r="Z132">
        <v>2</v>
      </c>
      <c r="AA132">
        <v>0</v>
      </c>
      <c r="AB132">
        <v>8</v>
      </c>
      <c r="AC132">
        <v>0</v>
      </c>
      <c r="AD132" t="s">
        <v>74</v>
      </c>
      <c r="AE132">
        <v>8</v>
      </c>
      <c r="AF132" t="str" cm="1">
        <f t="array" ref="AF132">_xlfn.IFS(AE132&gt;=10,"Veteran (10y+)",AE132&gt;=3,"Established (3-10y)",AE132&lt;3,"New Hire (&lt;3y)")</f>
        <v>Established (3-10y)</v>
      </c>
      <c r="AG132">
        <v>7</v>
      </c>
      <c r="AH132">
        <v>7</v>
      </c>
      <c r="AI132">
        <v>4</v>
      </c>
    </row>
    <row r="133" spans="1:35">
      <c r="A133">
        <v>26</v>
      </c>
      <c r="B133" t="str">
        <f t="shared" si="2"/>
        <v>Young Adults</v>
      </c>
      <c r="C133">
        <v>0</v>
      </c>
      <c r="D133" t="s">
        <v>36</v>
      </c>
      <c r="E133">
        <v>933</v>
      </c>
      <c r="F133" t="s">
        <v>37</v>
      </c>
      <c r="G133">
        <v>1</v>
      </c>
      <c r="H133" t="str" cm="1">
        <f t="array" ref="H133">_xlfn.IFS(G133&gt;15,"Long Commute",G133&gt;5,"Moderate",G133&lt;=5,"Near Office")</f>
        <v>Near Office</v>
      </c>
      <c r="I133" t="s">
        <v>72</v>
      </c>
      <c r="J133" t="s">
        <v>38</v>
      </c>
      <c r="K133">
        <v>3</v>
      </c>
      <c r="L133" t="s">
        <v>46</v>
      </c>
      <c r="M133">
        <v>57</v>
      </c>
      <c r="N133">
        <v>3</v>
      </c>
      <c r="O133">
        <v>2</v>
      </c>
      <c r="P133" t="s">
        <v>40</v>
      </c>
      <c r="Q133" t="s">
        <v>73</v>
      </c>
      <c r="R133" t="s">
        <v>48</v>
      </c>
      <c r="S133">
        <v>5296</v>
      </c>
      <c r="T133" t="str" cm="1">
        <f t="array" ref="T133">_xlfn.IFS(S133&gt;=10000,"High (&gt;10k)",S133&gt;=5000,"Medium (5k-10k)",S133&lt;5000,"Low (&lt;5k)")</f>
        <v>Medium (5k-10k)</v>
      </c>
      <c r="U133">
        <v>20156</v>
      </c>
      <c r="V133">
        <v>1</v>
      </c>
      <c r="W133" t="s">
        <v>43</v>
      </c>
      <c r="X133">
        <v>17</v>
      </c>
      <c r="Y133">
        <v>3</v>
      </c>
      <c r="Z133">
        <v>2</v>
      </c>
      <c r="AA133">
        <v>1</v>
      </c>
      <c r="AB133">
        <v>8</v>
      </c>
      <c r="AC133">
        <v>3</v>
      </c>
      <c r="AD133" t="s">
        <v>74</v>
      </c>
      <c r="AE133">
        <v>8</v>
      </c>
      <c r="AF133" t="str" cm="1">
        <f t="array" ref="AF133">_xlfn.IFS(AE133&gt;=10,"Veteran (10y+)",AE133&gt;=3,"Established (3-10y)",AE133&lt;3,"New Hire (&lt;3y)")</f>
        <v>Established (3-10y)</v>
      </c>
      <c r="AG133">
        <v>7</v>
      </c>
      <c r="AH133">
        <v>7</v>
      </c>
      <c r="AI133">
        <v>7</v>
      </c>
    </row>
    <row r="134" spans="1:35">
      <c r="A134">
        <v>26</v>
      </c>
      <c r="B134" t="str">
        <f t="shared" si="2"/>
        <v>Young Adults</v>
      </c>
      <c r="C134">
        <v>1</v>
      </c>
      <c r="D134" t="s">
        <v>44</v>
      </c>
      <c r="E134">
        <v>575</v>
      </c>
      <c r="F134" t="s">
        <v>45</v>
      </c>
      <c r="G134">
        <v>3</v>
      </c>
      <c r="H134" t="str" cm="1">
        <f t="array" ref="H134">_xlfn.IFS(G134&gt;15,"Long Commute",G134&gt;5,"Moderate",G134&lt;=5,"Near Office")</f>
        <v>Near Office</v>
      </c>
      <c r="I134" t="s">
        <v>78</v>
      </c>
      <c r="J134" t="s">
        <v>60</v>
      </c>
      <c r="K134">
        <v>3</v>
      </c>
      <c r="L134" t="s">
        <v>46</v>
      </c>
      <c r="M134">
        <v>73</v>
      </c>
      <c r="N134">
        <v>3</v>
      </c>
      <c r="O134">
        <v>1</v>
      </c>
      <c r="P134" t="s">
        <v>47</v>
      </c>
      <c r="Q134" t="s">
        <v>82</v>
      </c>
      <c r="R134" t="s">
        <v>41</v>
      </c>
      <c r="S134">
        <v>3102</v>
      </c>
      <c r="T134" t="str" cm="1">
        <f t="array" ref="T134">_xlfn.IFS(S134&gt;=10000,"High (&gt;10k)",S134&gt;=5000,"Medium (5k-10k)",S134&lt;5000,"Low (&lt;5k)")</f>
        <v>Low (&lt;5k)</v>
      </c>
      <c r="U134">
        <v>6582</v>
      </c>
      <c r="V134">
        <v>0</v>
      </c>
      <c r="W134" t="s">
        <v>43</v>
      </c>
      <c r="X134">
        <v>22</v>
      </c>
      <c r="Y134">
        <v>4</v>
      </c>
      <c r="Z134">
        <v>3</v>
      </c>
      <c r="AA134">
        <v>0</v>
      </c>
      <c r="AB134">
        <v>7</v>
      </c>
      <c r="AC134">
        <v>2</v>
      </c>
      <c r="AD134" t="s">
        <v>74</v>
      </c>
      <c r="AE134">
        <v>6</v>
      </c>
      <c r="AF134" t="str" cm="1">
        <f t="array" ref="AF134">_xlfn.IFS(AE134&gt;=10,"Veteran (10y+)",AE134&gt;=3,"Established (3-10y)",AE134&lt;3,"New Hire (&lt;3y)")</f>
        <v>Established (3-10y)</v>
      </c>
      <c r="AG134">
        <v>4</v>
      </c>
      <c r="AH134">
        <v>0</v>
      </c>
      <c r="AI134">
        <v>4</v>
      </c>
    </row>
    <row r="135" spans="1:35">
      <c r="A135">
        <v>26</v>
      </c>
      <c r="B135" t="str">
        <f t="shared" si="2"/>
        <v>Young Adults</v>
      </c>
      <c r="C135">
        <v>0</v>
      </c>
      <c r="D135" t="s">
        <v>36</v>
      </c>
      <c r="E135">
        <v>1349</v>
      </c>
      <c r="F135" t="s">
        <v>45</v>
      </c>
      <c r="G135">
        <v>23</v>
      </c>
      <c r="H135" t="str" cm="1">
        <f t="array" ref="H135">_xlfn.IFS(G135&gt;15,"Long Commute",G135&gt;5,"Moderate",G135&lt;=5,"Near Office")</f>
        <v>Long Commute</v>
      </c>
      <c r="I135" t="s">
        <v>72</v>
      </c>
      <c r="J135" t="s">
        <v>38</v>
      </c>
      <c r="K135">
        <v>1</v>
      </c>
      <c r="L135" t="s">
        <v>39</v>
      </c>
      <c r="M135">
        <v>90</v>
      </c>
      <c r="N135">
        <v>3</v>
      </c>
      <c r="O135">
        <v>1</v>
      </c>
      <c r="P135" t="s">
        <v>47</v>
      </c>
      <c r="Q135" t="s">
        <v>77</v>
      </c>
      <c r="R135" t="s">
        <v>52</v>
      </c>
      <c r="S135">
        <v>2886</v>
      </c>
      <c r="T135" t="str" cm="1">
        <f t="array" ref="T135">_xlfn.IFS(S135&gt;=10000,"High (&gt;10k)",S135&gt;=5000,"Medium (5k-10k)",S135&lt;5000,"Low (&lt;5k)")</f>
        <v>Low (&lt;5k)</v>
      </c>
      <c r="U135">
        <v>3032</v>
      </c>
      <c r="V135">
        <v>1</v>
      </c>
      <c r="W135" t="s">
        <v>43</v>
      </c>
      <c r="X135">
        <v>22</v>
      </c>
      <c r="Y135">
        <v>4</v>
      </c>
      <c r="Z135">
        <v>2</v>
      </c>
      <c r="AA135">
        <v>2</v>
      </c>
      <c r="AB135">
        <v>3</v>
      </c>
      <c r="AC135">
        <v>3</v>
      </c>
      <c r="AD135" t="s">
        <v>80</v>
      </c>
      <c r="AE135">
        <v>3</v>
      </c>
      <c r="AF135" t="str" cm="1">
        <f t="array" ref="AF135">_xlfn.IFS(AE135&gt;=10,"Veteran (10y+)",AE135&gt;=3,"Established (3-10y)",AE135&lt;3,"New Hire (&lt;3y)")</f>
        <v>Established (3-10y)</v>
      </c>
      <c r="AG135">
        <v>2</v>
      </c>
      <c r="AH135">
        <v>0</v>
      </c>
      <c r="AI135">
        <v>2</v>
      </c>
    </row>
    <row r="136" spans="1:35">
      <c r="A136">
        <v>26</v>
      </c>
      <c r="B136" t="str">
        <f t="shared" si="2"/>
        <v>Young Adults</v>
      </c>
      <c r="C136">
        <v>1</v>
      </c>
      <c r="D136" t="s">
        <v>44</v>
      </c>
      <c r="E136">
        <v>426</v>
      </c>
      <c r="F136" t="s">
        <v>61</v>
      </c>
      <c r="G136">
        <v>17</v>
      </c>
      <c r="H136" t="str" cm="1">
        <f t="array" ref="H136">_xlfn.IFS(G136&gt;15,"Long Commute",G136&gt;5,"Moderate",G136&lt;=5,"Near Office")</f>
        <v>Long Commute</v>
      </c>
      <c r="I136" t="s">
        <v>83</v>
      </c>
      <c r="J136" t="s">
        <v>38</v>
      </c>
      <c r="K136">
        <v>2</v>
      </c>
      <c r="L136" t="s">
        <v>39</v>
      </c>
      <c r="M136">
        <v>58</v>
      </c>
      <c r="N136">
        <v>3</v>
      </c>
      <c r="O136">
        <v>1</v>
      </c>
      <c r="P136" t="s">
        <v>61</v>
      </c>
      <c r="Q136" t="s">
        <v>73</v>
      </c>
      <c r="R136" t="s">
        <v>52</v>
      </c>
      <c r="S136">
        <v>2741</v>
      </c>
      <c r="T136" t="str" cm="1">
        <f t="array" ref="T136">_xlfn.IFS(S136&gt;=10000,"High (&gt;10k)",S136&gt;=5000,"Medium (5k-10k)",S136&lt;5000,"Low (&lt;5k)")</f>
        <v>Low (&lt;5k)</v>
      </c>
      <c r="U136">
        <v>22808</v>
      </c>
      <c r="V136">
        <v>0</v>
      </c>
      <c r="W136" t="s">
        <v>35</v>
      </c>
      <c r="X136">
        <v>11</v>
      </c>
      <c r="Y136">
        <v>3</v>
      </c>
      <c r="Z136">
        <v>2</v>
      </c>
      <c r="AA136">
        <v>1</v>
      </c>
      <c r="AB136">
        <v>8</v>
      </c>
      <c r="AC136">
        <v>2</v>
      </c>
      <c r="AD136" t="s">
        <v>81</v>
      </c>
      <c r="AE136">
        <v>7</v>
      </c>
      <c r="AF136" t="str" cm="1">
        <f t="array" ref="AF136">_xlfn.IFS(AE136&gt;=10,"Veteran (10y+)",AE136&gt;=3,"Established (3-10y)",AE136&lt;3,"New Hire (&lt;3y)")</f>
        <v>Established (3-10y)</v>
      </c>
      <c r="AG136">
        <v>7</v>
      </c>
      <c r="AH136">
        <v>1</v>
      </c>
      <c r="AI136">
        <v>0</v>
      </c>
    </row>
    <row r="137" spans="1:35">
      <c r="A137">
        <v>26</v>
      </c>
      <c r="B137" t="str">
        <f t="shared" si="2"/>
        <v>Young Adults</v>
      </c>
      <c r="C137">
        <v>0</v>
      </c>
      <c r="D137" t="s">
        <v>36</v>
      </c>
      <c r="E137">
        <v>775</v>
      </c>
      <c r="F137" t="s">
        <v>37</v>
      </c>
      <c r="G137">
        <v>29</v>
      </c>
      <c r="H137" t="str" cm="1">
        <f t="array" ref="H137">_xlfn.IFS(G137&gt;15,"Long Commute",G137&gt;5,"Moderate",G137&lt;=5,"Near Office")</f>
        <v>Long Commute</v>
      </c>
      <c r="I137" t="s">
        <v>76</v>
      </c>
      <c r="J137" t="s">
        <v>51</v>
      </c>
      <c r="K137">
        <v>1</v>
      </c>
      <c r="L137" t="s">
        <v>46</v>
      </c>
      <c r="M137">
        <v>45</v>
      </c>
      <c r="N137">
        <v>3</v>
      </c>
      <c r="O137">
        <v>2</v>
      </c>
      <c r="P137" t="s">
        <v>40</v>
      </c>
      <c r="Q137" t="s">
        <v>73</v>
      </c>
      <c r="R137" t="s">
        <v>52</v>
      </c>
      <c r="S137">
        <v>4306</v>
      </c>
      <c r="T137" t="str" cm="1">
        <f t="array" ref="T137">_xlfn.IFS(S137&gt;=10000,"High (&gt;10k)",S137&gt;=5000,"Medium (5k-10k)",S137&lt;5000,"Low (&lt;5k)")</f>
        <v>Low (&lt;5k)</v>
      </c>
      <c r="U137">
        <v>4267</v>
      </c>
      <c r="V137">
        <v>5</v>
      </c>
      <c r="W137" t="s">
        <v>43</v>
      </c>
      <c r="X137">
        <v>12</v>
      </c>
      <c r="Y137">
        <v>3</v>
      </c>
      <c r="Z137">
        <v>1</v>
      </c>
      <c r="AA137">
        <v>2</v>
      </c>
      <c r="AB137">
        <v>8</v>
      </c>
      <c r="AC137">
        <v>5</v>
      </c>
      <c r="AD137" t="s">
        <v>74</v>
      </c>
      <c r="AE137">
        <v>0</v>
      </c>
      <c r="AF137" t="str" cm="1">
        <f t="array" ref="AF137">_xlfn.IFS(AE137&gt;=10,"Veteran (10y+)",AE137&gt;=3,"Established (3-10y)",AE137&lt;3,"New Hire (&lt;3y)")</f>
        <v>New Hire (&lt;3y)</v>
      </c>
      <c r="AG137">
        <v>0</v>
      </c>
      <c r="AH137">
        <v>0</v>
      </c>
      <c r="AI137">
        <v>0</v>
      </c>
    </row>
    <row r="138" spans="1:35">
      <c r="A138">
        <v>26</v>
      </c>
      <c r="B138" t="str">
        <f t="shared" si="2"/>
        <v>Young Adults</v>
      </c>
      <c r="C138">
        <v>1</v>
      </c>
      <c r="D138" t="s">
        <v>36</v>
      </c>
      <c r="E138">
        <v>471</v>
      </c>
      <c r="F138" t="s">
        <v>45</v>
      </c>
      <c r="G138">
        <v>24</v>
      </c>
      <c r="H138" t="str" cm="1">
        <f t="array" ref="H138">_xlfn.IFS(G138&gt;15,"Long Commute",G138&gt;5,"Moderate",G138&lt;=5,"Near Office")</f>
        <v>Long Commute</v>
      </c>
      <c r="I138" t="s">
        <v>72</v>
      </c>
      <c r="J138" t="s">
        <v>60</v>
      </c>
      <c r="K138">
        <v>3</v>
      </c>
      <c r="L138" t="s">
        <v>46</v>
      </c>
      <c r="M138">
        <v>66</v>
      </c>
      <c r="N138">
        <v>1</v>
      </c>
      <c r="O138">
        <v>1</v>
      </c>
      <c r="P138" t="s">
        <v>50</v>
      </c>
      <c r="Q138" t="s">
        <v>77</v>
      </c>
      <c r="R138" t="s">
        <v>41</v>
      </c>
      <c r="S138">
        <v>2340</v>
      </c>
      <c r="T138" t="str" cm="1">
        <f t="array" ref="T138">_xlfn.IFS(S138&gt;=10000,"High (&gt;10k)",S138&gt;=5000,"Medium (5k-10k)",S138&lt;5000,"Low (&lt;5k)")</f>
        <v>Low (&lt;5k)</v>
      </c>
      <c r="U138">
        <v>23213</v>
      </c>
      <c r="V138">
        <v>1</v>
      </c>
      <c r="W138" t="s">
        <v>35</v>
      </c>
      <c r="X138">
        <v>18</v>
      </c>
      <c r="Y138">
        <v>3</v>
      </c>
      <c r="Z138">
        <v>2</v>
      </c>
      <c r="AA138">
        <v>0</v>
      </c>
      <c r="AB138">
        <v>1</v>
      </c>
      <c r="AC138">
        <v>3</v>
      </c>
      <c r="AD138" t="s">
        <v>80</v>
      </c>
      <c r="AE138">
        <v>1</v>
      </c>
      <c r="AF138" t="str" cm="1">
        <f t="array" ref="AF138">_xlfn.IFS(AE138&gt;=10,"Veteran (10y+)",AE138&gt;=3,"Established (3-10y)",AE138&lt;3,"New Hire (&lt;3y)")</f>
        <v>New Hire (&lt;3y)</v>
      </c>
      <c r="AG138">
        <v>0</v>
      </c>
      <c r="AH138">
        <v>0</v>
      </c>
      <c r="AI138">
        <v>0</v>
      </c>
    </row>
    <row r="139" spans="1:35">
      <c r="A139">
        <v>26</v>
      </c>
      <c r="B139" t="str">
        <f t="shared" si="2"/>
        <v>Young Adults</v>
      </c>
      <c r="C139">
        <v>0</v>
      </c>
      <c r="D139" t="s">
        <v>36</v>
      </c>
      <c r="E139">
        <v>703</v>
      </c>
      <c r="F139" t="s">
        <v>37</v>
      </c>
      <c r="G139">
        <v>28</v>
      </c>
      <c r="H139" t="str" cm="1">
        <f t="array" ref="H139">_xlfn.IFS(G139&gt;15,"Long Commute",G139&gt;5,"Moderate",G139&lt;=5,"Near Office")</f>
        <v>Long Commute</v>
      </c>
      <c r="I139" t="s">
        <v>76</v>
      </c>
      <c r="J139" t="s">
        <v>59</v>
      </c>
      <c r="K139">
        <v>1</v>
      </c>
      <c r="L139" t="s">
        <v>46</v>
      </c>
      <c r="M139">
        <v>66</v>
      </c>
      <c r="N139">
        <v>3</v>
      </c>
      <c r="O139">
        <v>2</v>
      </c>
      <c r="P139" t="s">
        <v>40</v>
      </c>
      <c r="Q139" t="s">
        <v>75</v>
      </c>
      <c r="R139" t="s">
        <v>48</v>
      </c>
      <c r="S139">
        <v>6272</v>
      </c>
      <c r="T139" t="str" cm="1">
        <f t="array" ref="T139">_xlfn.IFS(S139&gt;=10000,"High (&gt;10k)",S139&gt;=5000,"Medium (5k-10k)",S139&lt;5000,"Low (&lt;5k)")</f>
        <v>Medium (5k-10k)</v>
      </c>
      <c r="U139">
        <v>7428</v>
      </c>
      <c r="V139">
        <v>1</v>
      </c>
      <c r="W139" t="s">
        <v>43</v>
      </c>
      <c r="X139">
        <v>20</v>
      </c>
      <c r="Y139">
        <v>4</v>
      </c>
      <c r="Z139">
        <v>4</v>
      </c>
      <c r="AA139">
        <v>2</v>
      </c>
      <c r="AB139">
        <v>6</v>
      </c>
      <c r="AC139">
        <v>5</v>
      </c>
      <c r="AD139" t="s">
        <v>79</v>
      </c>
      <c r="AE139">
        <v>5</v>
      </c>
      <c r="AF139" t="str" cm="1">
        <f t="array" ref="AF139">_xlfn.IFS(AE139&gt;=10,"Veteran (10y+)",AE139&gt;=3,"Established (3-10y)",AE139&lt;3,"New Hire (&lt;3y)")</f>
        <v>Established (3-10y)</v>
      </c>
      <c r="AG139">
        <v>3</v>
      </c>
      <c r="AH139">
        <v>1</v>
      </c>
      <c r="AI139">
        <v>4</v>
      </c>
    </row>
    <row r="140" spans="1:35">
      <c r="A140">
        <v>26</v>
      </c>
      <c r="B140" t="str">
        <f t="shared" si="2"/>
        <v>Young Adults</v>
      </c>
      <c r="C140">
        <v>0</v>
      </c>
      <c r="D140" t="s">
        <v>36</v>
      </c>
      <c r="E140">
        <v>991</v>
      </c>
      <c r="F140" t="s">
        <v>45</v>
      </c>
      <c r="G140">
        <v>6</v>
      </c>
      <c r="H140" t="str" cm="1">
        <f t="array" ref="H140">_xlfn.IFS(G140&gt;15,"Long Commute",G140&gt;5,"Moderate",G140&lt;=5,"Near Office")</f>
        <v>Moderate</v>
      </c>
      <c r="I140" t="s">
        <v>72</v>
      </c>
      <c r="J140" t="s">
        <v>38</v>
      </c>
      <c r="K140">
        <v>3</v>
      </c>
      <c r="L140" t="s">
        <v>39</v>
      </c>
      <c r="M140">
        <v>71</v>
      </c>
      <c r="N140">
        <v>3</v>
      </c>
      <c r="O140">
        <v>1</v>
      </c>
      <c r="P140" t="s">
        <v>50</v>
      </c>
      <c r="Q140" t="s">
        <v>77</v>
      </c>
      <c r="R140" t="s">
        <v>48</v>
      </c>
      <c r="S140">
        <v>2659</v>
      </c>
      <c r="T140" t="str" cm="1">
        <f t="array" ref="T140">_xlfn.IFS(S140&gt;=10000,"High (&gt;10k)",S140&gt;=5000,"Medium (5k-10k)",S140&lt;5000,"Low (&lt;5k)")</f>
        <v>Low (&lt;5k)</v>
      </c>
      <c r="U140">
        <v>17759</v>
      </c>
      <c r="V140">
        <v>1</v>
      </c>
      <c r="W140" t="s">
        <v>35</v>
      </c>
      <c r="X140">
        <v>13</v>
      </c>
      <c r="Y140">
        <v>3</v>
      </c>
      <c r="Z140">
        <v>3</v>
      </c>
      <c r="AA140">
        <v>1</v>
      </c>
      <c r="AB140">
        <v>3</v>
      </c>
      <c r="AC140">
        <v>2</v>
      </c>
      <c r="AD140" t="s">
        <v>74</v>
      </c>
      <c r="AE140">
        <v>3</v>
      </c>
      <c r="AF140" t="str" cm="1">
        <f t="array" ref="AF140">_xlfn.IFS(AE140&gt;=10,"Veteran (10y+)",AE140&gt;=3,"Established (3-10y)",AE140&lt;3,"New Hire (&lt;3y)")</f>
        <v>Established (3-10y)</v>
      </c>
      <c r="AG140">
        <v>2</v>
      </c>
      <c r="AH140">
        <v>0</v>
      </c>
      <c r="AI140">
        <v>2</v>
      </c>
    </row>
    <row r="141" spans="1:35">
      <c r="A141">
        <v>26</v>
      </c>
      <c r="B141" t="str">
        <f t="shared" si="2"/>
        <v>Young Adults</v>
      </c>
      <c r="C141">
        <v>0</v>
      </c>
      <c r="D141" t="s">
        <v>44</v>
      </c>
      <c r="E141">
        <v>575</v>
      </c>
      <c r="F141" t="s">
        <v>45</v>
      </c>
      <c r="G141">
        <v>1</v>
      </c>
      <c r="H141" t="str" cm="1">
        <f t="array" ref="H141">_xlfn.IFS(G141&gt;15,"Long Commute",G141&gt;5,"Moderate",G141&lt;=5,"Near Office")</f>
        <v>Near Office</v>
      </c>
      <c r="I141" t="s">
        <v>76</v>
      </c>
      <c r="J141" t="s">
        <v>38</v>
      </c>
      <c r="K141">
        <v>1</v>
      </c>
      <c r="L141" t="s">
        <v>39</v>
      </c>
      <c r="M141">
        <v>71</v>
      </c>
      <c r="N141">
        <v>1</v>
      </c>
      <c r="O141">
        <v>1</v>
      </c>
      <c r="P141" t="s">
        <v>50</v>
      </c>
      <c r="Q141" t="s">
        <v>77</v>
      </c>
      <c r="R141" t="s">
        <v>52</v>
      </c>
      <c r="S141">
        <v>4364</v>
      </c>
      <c r="T141" t="str" cm="1">
        <f t="array" ref="T141">_xlfn.IFS(S141&gt;=10000,"High (&gt;10k)",S141&gt;=5000,"Medium (5k-10k)",S141&lt;5000,"Low (&lt;5k)")</f>
        <v>Low (&lt;5k)</v>
      </c>
      <c r="U141">
        <v>5288</v>
      </c>
      <c r="V141">
        <v>3</v>
      </c>
      <c r="W141" t="s">
        <v>43</v>
      </c>
      <c r="X141">
        <v>14</v>
      </c>
      <c r="Y141">
        <v>3</v>
      </c>
      <c r="Z141">
        <v>1</v>
      </c>
      <c r="AA141">
        <v>1</v>
      </c>
      <c r="AB141">
        <v>5</v>
      </c>
      <c r="AC141">
        <v>2</v>
      </c>
      <c r="AD141" t="s">
        <v>74</v>
      </c>
      <c r="AE141">
        <v>2</v>
      </c>
      <c r="AF141" t="str" cm="1">
        <f t="array" ref="AF141">_xlfn.IFS(AE141&gt;=10,"Veteran (10y+)",AE141&gt;=3,"Established (3-10y)",AE141&lt;3,"New Hire (&lt;3y)")</f>
        <v>New Hire (&lt;3y)</v>
      </c>
      <c r="AG141">
        <v>2</v>
      </c>
      <c r="AH141">
        <v>2</v>
      </c>
      <c r="AI141">
        <v>0</v>
      </c>
    </row>
    <row r="142" spans="1:35">
      <c r="A142">
        <v>26</v>
      </c>
      <c r="B142" t="str">
        <f t="shared" si="2"/>
        <v>Young Adults</v>
      </c>
      <c r="C142">
        <v>1</v>
      </c>
      <c r="D142" t="s">
        <v>36</v>
      </c>
      <c r="E142">
        <v>1146</v>
      </c>
      <c r="F142" t="s">
        <v>37</v>
      </c>
      <c r="G142">
        <v>8</v>
      </c>
      <c r="H142" t="str" cm="1">
        <f t="array" ref="H142">_xlfn.IFS(G142&gt;15,"Long Commute",G142&gt;5,"Moderate",G142&lt;=5,"Near Office")</f>
        <v>Moderate</v>
      </c>
      <c r="I142" t="s">
        <v>72</v>
      </c>
      <c r="J142" t="s">
        <v>60</v>
      </c>
      <c r="K142">
        <v>4</v>
      </c>
      <c r="L142" t="s">
        <v>46</v>
      </c>
      <c r="M142">
        <v>38</v>
      </c>
      <c r="N142">
        <v>2</v>
      </c>
      <c r="O142">
        <v>2</v>
      </c>
      <c r="P142" t="s">
        <v>40</v>
      </c>
      <c r="Q142" t="s">
        <v>82</v>
      </c>
      <c r="R142" t="s">
        <v>41</v>
      </c>
      <c r="S142">
        <v>5326</v>
      </c>
      <c r="T142" t="str" cm="1">
        <f t="array" ref="T142">_xlfn.IFS(S142&gt;=10000,"High (&gt;10k)",S142&gt;=5000,"Medium (5k-10k)",S142&lt;5000,"Low (&lt;5k)")</f>
        <v>Medium (5k-10k)</v>
      </c>
      <c r="U142">
        <v>3064</v>
      </c>
      <c r="V142">
        <v>6</v>
      </c>
      <c r="W142" t="s">
        <v>43</v>
      </c>
      <c r="X142">
        <v>17</v>
      </c>
      <c r="Y142">
        <v>3</v>
      </c>
      <c r="Z142">
        <v>3</v>
      </c>
      <c r="AA142">
        <v>0</v>
      </c>
      <c r="AB142">
        <v>6</v>
      </c>
      <c r="AC142">
        <v>2</v>
      </c>
      <c r="AD142" t="s">
        <v>81</v>
      </c>
      <c r="AE142">
        <v>4</v>
      </c>
      <c r="AF142" t="str" cm="1">
        <f t="array" ref="AF142">_xlfn.IFS(AE142&gt;=10,"Veteran (10y+)",AE142&gt;=3,"Established (3-10y)",AE142&lt;3,"New Hire (&lt;3y)")</f>
        <v>Established (3-10y)</v>
      </c>
      <c r="AG142">
        <v>3</v>
      </c>
      <c r="AH142">
        <v>1</v>
      </c>
      <c r="AI142">
        <v>2</v>
      </c>
    </row>
    <row r="143" spans="1:35">
      <c r="A143">
        <v>26</v>
      </c>
      <c r="B143" t="str">
        <f t="shared" si="2"/>
        <v>Young Adults</v>
      </c>
      <c r="C143">
        <v>1</v>
      </c>
      <c r="D143" t="s">
        <v>44</v>
      </c>
      <c r="E143">
        <v>887</v>
      </c>
      <c r="F143" t="s">
        <v>45</v>
      </c>
      <c r="G143">
        <v>5</v>
      </c>
      <c r="H143" t="str" cm="1">
        <f t="array" ref="H143">_xlfn.IFS(G143&gt;15,"Long Commute",G143&gt;5,"Moderate",G143&lt;=5,"Near Office")</f>
        <v>Near Office</v>
      </c>
      <c r="I143" t="s">
        <v>76</v>
      </c>
      <c r="J143" t="s">
        <v>51</v>
      </c>
      <c r="K143">
        <v>3</v>
      </c>
      <c r="L143" t="s">
        <v>39</v>
      </c>
      <c r="M143">
        <v>88</v>
      </c>
      <c r="N143">
        <v>2</v>
      </c>
      <c r="O143">
        <v>1</v>
      </c>
      <c r="P143" t="s">
        <v>47</v>
      </c>
      <c r="Q143" t="s">
        <v>73</v>
      </c>
      <c r="R143" t="s">
        <v>48</v>
      </c>
      <c r="S143">
        <v>2366</v>
      </c>
      <c r="T143" t="str" cm="1">
        <f t="array" ref="T143">_xlfn.IFS(S143&gt;=10000,"High (&gt;10k)",S143&gt;=5000,"Medium (5k-10k)",S143&lt;5000,"Low (&lt;5k)")</f>
        <v>Low (&lt;5k)</v>
      </c>
      <c r="U143">
        <v>20898</v>
      </c>
      <c r="V143">
        <v>1</v>
      </c>
      <c r="W143" t="s">
        <v>35</v>
      </c>
      <c r="X143">
        <v>14</v>
      </c>
      <c r="Y143">
        <v>3</v>
      </c>
      <c r="Z143">
        <v>1</v>
      </c>
      <c r="AA143">
        <v>1</v>
      </c>
      <c r="AB143">
        <v>8</v>
      </c>
      <c r="AC143">
        <v>2</v>
      </c>
      <c r="AD143" t="s">
        <v>74</v>
      </c>
      <c r="AE143">
        <v>8</v>
      </c>
      <c r="AF143" t="str" cm="1">
        <f t="array" ref="AF143">_xlfn.IFS(AE143&gt;=10,"Veteran (10y+)",AE143&gt;=3,"Established (3-10y)",AE143&lt;3,"New Hire (&lt;3y)")</f>
        <v>Established (3-10y)</v>
      </c>
      <c r="AG143">
        <v>7</v>
      </c>
      <c r="AH143">
        <v>1</v>
      </c>
      <c r="AI143">
        <v>7</v>
      </c>
    </row>
    <row r="144" spans="1:35">
      <c r="A144">
        <v>26</v>
      </c>
      <c r="B144" t="str">
        <f t="shared" si="2"/>
        <v>Young Adults</v>
      </c>
      <c r="C144">
        <v>0</v>
      </c>
      <c r="D144" t="s">
        <v>44</v>
      </c>
      <c r="E144">
        <v>1283</v>
      </c>
      <c r="F144" t="s">
        <v>37</v>
      </c>
      <c r="G144">
        <v>1</v>
      </c>
      <c r="H144" t="str" cm="1">
        <f t="array" ref="H144">_xlfn.IFS(G144&gt;15,"Long Commute",G144&gt;5,"Moderate",G144&lt;=5,"Near Office")</f>
        <v>Near Office</v>
      </c>
      <c r="I144" t="s">
        <v>72</v>
      </c>
      <c r="J144" t="s">
        <v>51</v>
      </c>
      <c r="K144">
        <v>3</v>
      </c>
      <c r="L144" t="s">
        <v>46</v>
      </c>
      <c r="M144">
        <v>52</v>
      </c>
      <c r="N144">
        <v>2</v>
      </c>
      <c r="O144">
        <v>2</v>
      </c>
      <c r="P144" t="s">
        <v>40</v>
      </c>
      <c r="Q144" t="s">
        <v>82</v>
      </c>
      <c r="R144" t="s">
        <v>41</v>
      </c>
      <c r="S144">
        <v>4294</v>
      </c>
      <c r="T144" t="str" cm="1">
        <f t="array" ref="T144">_xlfn.IFS(S144&gt;=10000,"High (&gt;10k)",S144&gt;=5000,"Medium (5k-10k)",S144&lt;5000,"Low (&lt;5k)")</f>
        <v>Low (&lt;5k)</v>
      </c>
      <c r="U144">
        <v>11148</v>
      </c>
      <c r="V144">
        <v>1</v>
      </c>
      <c r="W144" t="s">
        <v>43</v>
      </c>
      <c r="X144">
        <v>12</v>
      </c>
      <c r="Y144">
        <v>3</v>
      </c>
      <c r="Z144">
        <v>2</v>
      </c>
      <c r="AA144">
        <v>0</v>
      </c>
      <c r="AB144">
        <v>7</v>
      </c>
      <c r="AC144">
        <v>2</v>
      </c>
      <c r="AD144" t="s">
        <v>74</v>
      </c>
      <c r="AE144">
        <v>7</v>
      </c>
      <c r="AF144" t="str" cm="1">
        <f t="array" ref="AF144">_xlfn.IFS(AE144&gt;=10,"Veteran (10y+)",AE144&gt;=3,"Established (3-10y)",AE144&lt;3,"New Hire (&lt;3y)")</f>
        <v>Established (3-10y)</v>
      </c>
      <c r="AG144">
        <v>7</v>
      </c>
      <c r="AH144">
        <v>0</v>
      </c>
      <c r="AI144">
        <v>7</v>
      </c>
    </row>
    <row r="145" spans="1:35">
      <c r="A145">
        <v>26</v>
      </c>
      <c r="B145" t="str">
        <f t="shared" si="2"/>
        <v>Young Adults</v>
      </c>
      <c r="C145">
        <v>0</v>
      </c>
      <c r="D145" t="s">
        <v>36</v>
      </c>
      <c r="E145">
        <v>1066</v>
      </c>
      <c r="F145" t="s">
        <v>45</v>
      </c>
      <c r="G145">
        <v>2</v>
      </c>
      <c r="H145" t="str" cm="1">
        <f t="array" ref="H145">_xlfn.IFS(G145&gt;15,"Long Commute",G145&gt;5,"Moderate",G145&lt;=5,"Near Office")</f>
        <v>Near Office</v>
      </c>
      <c r="I145" t="s">
        <v>76</v>
      </c>
      <c r="J145" t="s">
        <v>51</v>
      </c>
      <c r="K145">
        <v>4</v>
      </c>
      <c r="L145" t="s">
        <v>46</v>
      </c>
      <c r="M145">
        <v>32</v>
      </c>
      <c r="N145">
        <v>4</v>
      </c>
      <c r="O145">
        <v>2</v>
      </c>
      <c r="P145" t="s">
        <v>53</v>
      </c>
      <c r="Q145" t="s">
        <v>77</v>
      </c>
      <c r="R145" t="s">
        <v>48</v>
      </c>
      <c r="S145">
        <v>5472</v>
      </c>
      <c r="T145" t="str" cm="1">
        <f t="array" ref="T145">_xlfn.IFS(S145&gt;=10000,"High (&gt;10k)",S145&gt;=5000,"Medium (5k-10k)",S145&lt;5000,"Low (&lt;5k)")</f>
        <v>Medium (5k-10k)</v>
      </c>
      <c r="U145">
        <v>3334</v>
      </c>
      <c r="V145">
        <v>1</v>
      </c>
      <c r="W145" t="s">
        <v>43</v>
      </c>
      <c r="X145">
        <v>12</v>
      </c>
      <c r="Y145">
        <v>3</v>
      </c>
      <c r="Z145">
        <v>2</v>
      </c>
      <c r="AA145">
        <v>0</v>
      </c>
      <c r="AB145">
        <v>8</v>
      </c>
      <c r="AC145">
        <v>2</v>
      </c>
      <c r="AD145" t="s">
        <v>74</v>
      </c>
      <c r="AE145">
        <v>8</v>
      </c>
      <c r="AF145" t="str" cm="1">
        <f t="array" ref="AF145">_xlfn.IFS(AE145&gt;=10,"Veteran (10y+)",AE145&gt;=3,"Established (3-10y)",AE145&lt;3,"New Hire (&lt;3y)")</f>
        <v>Established (3-10y)</v>
      </c>
      <c r="AG145">
        <v>7</v>
      </c>
      <c r="AH145">
        <v>1</v>
      </c>
      <c r="AI145">
        <v>3</v>
      </c>
    </row>
    <row r="146" spans="1:35">
      <c r="A146">
        <v>26</v>
      </c>
      <c r="B146" t="str">
        <f t="shared" si="2"/>
        <v>Young Adults</v>
      </c>
      <c r="C146">
        <v>1</v>
      </c>
      <c r="D146" t="s">
        <v>55</v>
      </c>
      <c r="E146">
        <v>265</v>
      </c>
      <c r="F146" t="s">
        <v>37</v>
      </c>
      <c r="G146">
        <v>29</v>
      </c>
      <c r="H146" t="str" cm="1">
        <f t="array" ref="H146">_xlfn.IFS(G146&gt;15,"Long Commute",G146&gt;5,"Moderate",G146&lt;=5,"Near Office")</f>
        <v>Long Commute</v>
      </c>
      <c r="I146" t="s">
        <v>76</v>
      </c>
      <c r="J146" t="s">
        <v>51</v>
      </c>
      <c r="K146">
        <v>2</v>
      </c>
      <c r="L146" t="s">
        <v>46</v>
      </c>
      <c r="M146">
        <v>79</v>
      </c>
      <c r="N146">
        <v>1</v>
      </c>
      <c r="O146">
        <v>2</v>
      </c>
      <c r="P146" t="s">
        <v>40</v>
      </c>
      <c r="Q146" t="s">
        <v>82</v>
      </c>
      <c r="R146" t="s">
        <v>41</v>
      </c>
      <c r="S146">
        <v>4969</v>
      </c>
      <c r="T146" t="str" cm="1">
        <f t="array" ref="T146">_xlfn.IFS(S146&gt;=10000,"High (&gt;10k)",S146&gt;=5000,"Medium (5k-10k)",S146&lt;5000,"Low (&lt;5k)")</f>
        <v>Low (&lt;5k)</v>
      </c>
      <c r="U146">
        <v>21813</v>
      </c>
      <c r="V146">
        <v>8</v>
      </c>
      <c r="W146" t="s">
        <v>43</v>
      </c>
      <c r="X146">
        <v>18</v>
      </c>
      <c r="Y146">
        <v>3</v>
      </c>
      <c r="Z146">
        <v>4</v>
      </c>
      <c r="AA146">
        <v>0</v>
      </c>
      <c r="AB146">
        <v>7</v>
      </c>
      <c r="AC146">
        <v>6</v>
      </c>
      <c r="AD146" t="s">
        <v>74</v>
      </c>
      <c r="AE146">
        <v>2</v>
      </c>
      <c r="AF146" t="str" cm="1">
        <f t="array" ref="AF146">_xlfn.IFS(AE146&gt;=10,"Veteran (10y+)",AE146&gt;=3,"Established (3-10y)",AE146&lt;3,"New Hire (&lt;3y)")</f>
        <v>New Hire (&lt;3y)</v>
      </c>
      <c r="AG146">
        <v>2</v>
      </c>
      <c r="AH146">
        <v>2</v>
      </c>
      <c r="AI146">
        <v>2</v>
      </c>
    </row>
    <row r="147" spans="1:35">
      <c r="A147">
        <v>26</v>
      </c>
      <c r="B147" t="str">
        <f t="shared" si="2"/>
        <v>Young Adults</v>
      </c>
      <c r="C147">
        <v>1</v>
      </c>
      <c r="D147" t="s">
        <v>44</v>
      </c>
      <c r="E147">
        <v>342</v>
      </c>
      <c r="F147" t="s">
        <v>45</v>
      </c>
      <c r="G147">
        <v>2</v>
      </c>
      <c r="H147" t="str" cm="1">
        <f t="array" ref="H147">_xlfn.IFS(G147&gt;15,"Long Commute",G147&gt;5,"Moderate",G147&lt;=5,"Near Office")</f>
        <v>Near Office</v>
      </c>
      <c r="I147" t="s">
        <v>72</v>
      </c>
      <c r="J147" t="s">
        <v>38</v>
      </c>
      <c r="K147">
        <v>1</v>
      </c>
      <c r="L147" t="s">
        <v>46</v>
      </c>
      <c r="M147">
        <v>57</v>
      </c>
      <c r="N147">
        <v>3</v>
      </c>
      <c r="O147">
        <v>1</v>
      </c>
      <c r="P147" t="s">
        <v>47</v>
      </c>
      <c r="Q147" t="s">
        <v>82</v>
      </c>
      <c r="R147" t="s">
        <v>48</v>
      </c>
      <c r="S147">
        <v>2042</v>
      </c>
      <c r="T147" t="str" cm="1">
        <f t="array" ref="T147">_xlfn.IFS(S147&gt;=10000,"High (&gt;10k)",S147&gt;=5000,"Medium (5k-10k)",S147&lt;5000,"Low (&lt;5k)")</f>
        <v>Low (&lt;5k)</v>
      </c>
      <c r="U147">
        <v>15346</v>
      </c>
      <c r="V147">
        <v>6</v>
      </c>
      <c r="W147" t="s">
        <v>35</v>
      </c>
      <c r="X147">
        <v>14</v>
      </c>
      <c r="Y147">
        <v>3</v>
      </c>
      <c r="Z147">
        <v>2</v>
      </c>
      <c r="AA147">
        <v>1</v>
      </c>
      <c r="AB147">
        <v>6</v>
      </c>
      <c r="AC147">
        <v>2</v>
      </c>
      <c r="AD147" t="s">
        <v>74</v>
      </c>
      <c r="AE147">
        <v>3</v>
      </c>
      <c r="AF147" t="str" cm="1">
        <f t="array" ref="AF147">_xlfn.IFS(AE147&gt;=10,"Veteran (10y+)",AE147&gt;=3,"Established (3-10y)",AE147&lt;3,"New Hire (&lt;3y)")</f>
        <v>Established (3-10y)</v>
      </c>
      <c r="AG147">
        <v>2</v>
      </c>
      <c r="AH147">
        <v>1</v>
      </c>
      <c r="AI147">
        <v>2</v>
      </c>
    </row>
    <row r="148" spans="1:35">
      <c r="A148">
        <v>26</v>
      </c>
      <c r="B148" t="str">
        <f t="shared" si="2"/>
        <v>Young Adults</v>
      </c>
      <c r="C148">
        <v>0</v>
      </c>
      <c r="D148" t="s">
        <v>44</v>
      </c>
      <c r="E148">
        <v>921</v>
      </c>
      <c r="F148" t="s">
        <v>45</v>
      </c>
      <c r="G148">
        <v>1</v>
      </c>
      <c r="H148" t="str" cm="1">
        <f t="array" ref="H148">_xlfn.IFS(G148&gt;15,"Long Commute",G148&gt;5,"Moderate",G148&lt;=5,"Near Office")</f>
        <v>Near Office</v>
      </c>
      <c r="I148" t="s">
        <v>78</v>
      </c>
      <c r="J148" t="s">
        <v>51</v>
      </c>
      <c r="K148">
        <v>1</v>
      </c>
      <c r="L148" t="s">
        <v>39</v>
      </c>
      <c r="M148">
        <v>66</v>
      </c>
      <c r="N148">
        <v>2</v>
      </c>
      <c r="O148">
        <v>1</v>
      </c>
      <c r="P148" t="s">
        <v>47</v>
      </c>
      <c r="Q148" t="s">
        <v>73</v>
      </c>
      <c r="R148" t="s">
        <v>52</v>
      </c>
      <c r="S148">
        <v>2007</v>
      </c>
      <c r="T148" t="str" cm="1">
        <f t="array" ref="T148">_xlfn.IFS(S148&gt;=10000,"High (&gt;10k)",S148&gt;=5000,"Medium (5k-10k)",S148&lt;5000,"Low (&lt;5k)")</f>
        <v>Low (&lt;5k)</v>
      </c>
      <c r="U148">
        <v>25265</v>
      </c>
      <c r="V148">
        <v>1</v>
      </c>
      <c r="W148" t="s">
        <v>43</v>
      </c>
      <c r="X148">
        <v>13</v>
      </c>
      <c r="Y148">
        <v>3</v>
      </c>
      <c r="Z148">
        <v>3</v>
      </c>
      <c r="AA148">
        <v>2</v>
      </c>
      <c r="AB148">
        <v>5</v>
      </c>
      <c r="AC148">
        <v>5</v>
      </c>
      <c r="AD148" t="s">
        <v>74</v>
      </c>
      <c r="AE148">
        <v>5</v>
      </c>
      <c r="AF148" t="str" cm="1">
        <f t="array" ref="AF148">_xlfn.IFS(AE148&gt;=10,"Veteran (10y+)",AE148&gt;=3,"Established (3-10y)",AE148&lt;3,"New Hire (&lt;3y)")</f>
        <v>Established (3-10y)</v>
      </c>
      <c r="AG148">
        <v>3</v>
      </c>
      <c r="AH148">
        <v>1</v>
      </c>
      <c r="AI148">
        <v>3</v>
      </c>
    </row>
    <row r="149" spans="1:35">
      <c r="A149">
        <v>26</v>
      </c>
      <c r="B149" t="str">
        <f t="shared" si="2"/>
        <v>Young Adults</v>
      </c>
      <c r="C149">
        <v>0</v>
      </c>
      <c r="D149" t="s">
        <v>36</v>
      </c>
      <c r="E149">
        <v>192</v>
      </c>
      <c r="F149" t="s">
        <v>45</v>
      </c>
      <c r="G149">
        <v>1</v>
      </c>
      <c r="H149" t="str" cm="1">
        <f t="array" ref="H149">_xlfn.IFS(G149&gt;15,"Long Commute",G149&gt;5,"Moderate",G149&lt;=5,"Near Office")</f>
        <v>Near Office</v>
      </c>
      <c r="I149" t="s">
        <v>76</v>
      </c>
      <c r="J149" t="s">
        <v>51</v>
      </c>
      <c r="K149">
        <v>1</v>
      </c>
      <c r="L149" t="s">
        <v>46</v>
      </c>
      <c r="M149">
        <v>59</v>
      </c>
      <c r="N149">
        <v>2</v>
      </c>
      <c r="O149">
        <v>1</v>
      </c>
      <c r="P149" t="s">
        <v>50</v>
      </c>
      <c r="Q149" t="s">
        <v>82</v>
      </c>
      <c r="R149" t="s">
        <v>48</v>
      </c>
      <c r="S149">
        <v>3955</v>
      </c>
      <c r="T149" t="str" cm="1">
        <f t="array" ref="T149">_xlfn.IFS(S149&gt;=10000,"High (&gt;10k)",S149&gt;=5000,"Medium (5k-10k)",S149&lt;5000,"Low (&lt;5k)")</f>
        <v>Low (&lt;5k)</v>
      </c>
      <c r="U149">
        <v>11141</v>
      </c>
      <c r="V149">
        <v>1</v>
      </c>
      <c r="W149" t="s">
        <v>43</v>
      </c>
      <c r="X149">
        <v>16</v>
      </c>
      <c r="Y149">
        <v>3</v>
      </c>
      <c r="Z149">
        <v>1</v>
      </c>
      <c r="AA149">
        <v>2</v>
      </c>
      <c r="AB149">
        <v>6</v>
      </c>
      <c r="AC149">
        <v>2</v>
      </c>
      <c r="AD149" t="s">
        <v>74</v>
      </c>
      <c r="AE149">
        <v>5</v>
      </c>
      <c r="AF149" t="str" cm="1">
        <f t="array" ref="AF149">_xlfn.IFS(AE149&gt;=10,"Veteran (10y+)",AE149&gt;=3,"Established (3-10y)",AE149&lt;3,"New Hire (&lt;3y)")</f>
        <v>Established (3-10y)</v>
      </c>
      <c r="AG149">
        <v>3</v>
      </c>
      <c r="AH149">
        <v>1</v>
      </c>
      <c r="AI149">
        <v>3</v>
      </c>
    </row>
    <row r="150" spans="1:35">
      <c r="A150">
        <v>26</v>
      </c>
      <c r="B150" t="str">
        <f t="shared" si="2"/>
        <v>Young Adults</v>
      </c>
      <c r="C150">
        <v>1</v>
      </c>
      <c r="D150" t="s">
        <v>36</v>
      </c>
      <c r="E150">
        <v>1330</v>
      </c>
      <c r="F150" t="s">
        <v>45</v>
      </c>
      <c r="G150">
        <v>21</v>
      </c>
      <c r="H150" t="str" cm="1">
        <f t="array" ref="H150">_xlfn.IFS(G150&gt;15,"Long Commute",G150&gt;5,"Moderate",G150&lt;=5,"Near Office")</f>
        <v>Long Commute</v>
      </c>
      <c r="I150" t="s">
        <v>72</v>
      </c>
      <c r="J150" t="s">
        <v>51</v>
      </c>
      <c r="K150">
        <v>1</v>
      </c>
      <c r="L150" t="s">
        <v>46</v>
      </c>
      <c r="M150">
        <v>37</v>
      </c>
      <c r="N150">
        <v>3</v>
      </c>
      <c r="O150">
        <v>1</v>
      </c>
      <c r="P150" t="s">
        <v>50</v>
      </c>
      <c r="Q150" t="s">
        <v>73</v>
      </c>
      <c r="R150" t="s">
        <v>52</v>
      </c>
      <c r="S150">
        <v>2377</v>
      </c>
      <c r="T150" t="str" cm="1">
        <f t="array" ref="T150">_xlfn.IFS(S150&gt;=10000,"High (&gt;10k)",S150&gt;=5000,"Medium (5k-10k)",S150&lt;5000,"Low (&lt;5k)")</f>
        <v>Low (&lt;5k)</v>
      </c>
      <c r="U150">
        <v>19373</v>
      </c>
      <c r="V150">
        <v>1</v>
      </c>
      <c r="W150" t="s">
        <v>43</v>
      </c>
      <c r="X150">
        <v>20</v>
      </c>
      <c r="Y150">
        <v>4</v>
      </c>
      <c r="Z150">
        <v>3</v>
      </c>
      <c r="AA150">
        <v>1</v>
      </c>
      <c r="AB150">
        <v>1</v>
      </c>
      <c r="AC150">
        <v>0</v>
      </c>
      <c r="AD150" t="s">
        <v>81</v>
      </c>
      <c r="AE150">
        <v>1</v>
      </c>
      <c r="AF150" t="str" cm="1">
        <f t="array" ref="AF150">_xlfn.IFS(AE150&gt;=10,"Veteran (10y+)",AE150&gt;=3,"Established (3-10y)",AE150&lt;3,"New Hire (&lt;3y)")</f>
        <v>New Hire (&lt;3y)</v>
      </c>
      <c r="AG150">
        <v>1</v>
      </c>
      <c r="AH150">
        <v>0</v>
      </c>
      <c r="AI150">
        <v>0</v>
      </c>
    </row>
    <row r="151" spans="1:35">
      <c r="A151">
        <v>26</v>
      </c>
      <c r="B151" t="str">
        <f t="shared" si="2"/>
        <v>Young Adults</v>
      </c>
      <c r="C151">
        <v>0</v>
      </c>
      <c r="D151" t="s">
        <v>36</v>
      </c>
      <c r="E151">
        <v>1384</v>
      </c>
      <c r="F151" t="s">
        <v>45</v>
      </c>
      <c r="G151">
        <v>3</v>
      </c>
      <c r="H151" t="str" cm="1">
        <f t="array" ref="H151">_xlfn.IFS(G151&gt;15,"Long Commute",G151&gt;5,"Moderate",G151&lt;=5,"Near Office")</f>
        <v>Near Office</v>
      </c>
      <c r="I151" t="s">
        <v>83</v>
      </c>
      <c r="J151" t="s">
        <v>51</v>
      </c>
      <c r="K151">
        <v>1</v>
      </c>
      <c r="L151" t="s">
        <v>46</v>
      </c>
      <c r="M151">
        <v>82</v>
      </c>
      <c r="N151">
        <v>4</v>
      </c>
      <c r="O151">
        <v>1</v>
      </c>
      <c r="P151" t="s">
        <v>50</v>
      </c>
      <c r="Q151" t="s">
        <v>77</v>
      </c>
      <c r="R151" t="s">
        <v>48</v>
      </c>
      <c r="S151">
        <v>4420</v>
      </c>
      <c r="T151" t="str" cm="1">
        <f t="array" ref="T151">_xlfn.IFS(S151&gt;=10000,"High (&gt;10k)",S151&gt;=5000,"Medium (5k-10k)",S151&lt;5000,"Low (&lt;5k)")</f>
        <v>Low (&lt;5k)</v>
      </c>
      <c r="U151">
        <v>13421</v>
      </c>
      <c r="V151">
        <v>1</v>
      </c>
      <c r="W151" t="s">
        <v>43</v>
      </c>
      <c r="X151">
        <v>22</v>
      </c>
      <c r="Y151">
        <v>4</v>
      </c>
      <c r="Z151">
        <v>2</v>
      </c>
      <c r="AA151">
        <v>1</v>
      </c>
      <c r="AB151">
        <v>8</v>
      </c>
      <c r="AC151">
        <v>2</v>
      </c>
      <c r="AD151" t="s">
        <v>74</v>
      </c>
      <c r="AE151">
        <v>8</v>
      </c>
      <c r="AF151" t="str" cm="1">
        <f t="array" ref="AF151">_xlfn.IFS(AE151&gt;=10,"Veteran (10y+)",AE151&gt;=3,"Established (3-10y)",AE151&lt;3,"New Hire (&lt;3y)")</f>
        <v>Established (3-10y)</v>
      </c>
      <c r="AG151">
        <v>7</v>
      </c>
      <c r="AH151">
        <v>0</v>
      </c>
      <c r="AI151">
        <v>7</v>
      </c>
    </row>
    <row r="152" spans="1:35">
      <c r="A152">
        <v>26</v>
      </c>
      <c r="B152" t="str">
        <f t="shared" si="2"/>
        <v>Young Adults</v>
      </c>
      <c r="C152">
        <v>0</v>
      </c>
      <c r="D152" t="s">
        <v>36</v>
      </c>
      <c r="E152">
        <v>583</v>
      </c>
      <c r="F152" t="s">
        <v>45</v>
      </c>
      <c r="G152">
        <v>4</v>
      </c>
      <c r="H152" t="str" cm="1">
        <f t="array" ref="H152">_xlfn.IFS(G152&gt;15,"Long Commute",G152&gt;5,"Moderate",G152&lt;=5,"Near Office")</f>
        <v>Near Office</v>
      </c>
      <c r="I152" t="s">
        <v>76</v>
      </c>
      <c r="J152" t="s">
        <v>38</v>
      </c>
      <c r="K152">
        <v>3</v>
      </c>
      <c r="L152" t="s">
        <v>46</v>
      </c>
      <c r="M152">
        <v>53</v>
      </c>
      <c r="N152">
        <v>3</v>
      </c>
      <c r="O152">
        <v>1</v>
      </c>
      <c r="P152" t="s">
        <v>47</v>
      </c>
      <c r="Q152" t="s">
        <v>77</v>
      </c>
      <c r="R152" t="s">
        <v>41</v>
      </c>
      <c r="S152">
        <v>2875</v>
      </c>
      <c r="T152" t="str" cm="1">
        <f t="array" ref="T152">_xlfn.IFS(S152&gt;=10000,"High (&gt;10k)",S152&gt;=5000,"Medium (5k-10k)",S152&lt;5000,"Low (&lt;5k)")</f>
        <v>Low (&lt;5k)</v>
      </c>
      <c r="U152">
        <v>9973</v>
      </c>
      <c r="V152">
        <v>1</v>
      </c>
      <c r="W152" t="s">
        <v>35</v>
      </c>
      <c r="X152">
        <v>20</v>
      </c>
      <c r="Y152">
        <v>4</v>
      </c>
      <c r="Z152">
        <v>2</v>
      </c>
      <c r="AA152">
        <v>0</v>
      </c>
      <c r="AB152">
        <v>8</v>
      </c>
      <c r="AC152">
        <v>2</v>
      </c>
      <c r="AD152" t="s">
        <v>81</v>
      </c>
      <c r="AE152">
        <v>8</v>
      </c>
      <c r="AF152" t="str" cm="1">
        <f t="array" ref="AF152">_xlfn.IFS(AE152&gt;=10,"Veteran (10y+)",AE152&gt;=3,"Established (3-10y)",AE152&lt;3,"New Hire (&lt;3y)")</f>
        <v>Established (3-10y)</v>
      </c>
      <c r="AG152">
        <v>5</v>
      </c>
      <c r="AH152">
        <v>2</v>
      </c>
      <c r="AI152">
        <v>2</v>
      </c>
    </row>
    <row r="153" spans="1:35">
      <c r="A153">
        <v>26</v>
      </c>
      <c r="B153" t="str">
        <f t="shared" si="2"/>
        <v>Young Adults</v>
      </c>
      <c r="C153">
        <v>0</v>
      </c>
      <c r="D153" t="s">
        <v>36</v>
      </c>
      <c r="E153">
        <v>683</v>
      </c>
      <c r="F153" t="s">
        <v>45</v>
      </c>
      <c r="G153">
        <v>2</v>
      </c>
      <c r="H153" t="str" cm="1">
        <f t="array" ref="H153">_xlfn.IFS(G153&gt;15,"Long Commute",G153&gt;5,"Moderate",G153&lt;=5,"Near Office")</f>
        <v>Near Office</v>
      </c>
      <c r="I153" t="s">
        <v>78</v>
      </c>
      <c r="J153" t="s">
        <v>51</v>
      </c>
      <c r="K153">
        <v>1</v>
      </c>
      <c r="L153" t="s">
        <v>46</v>
      </c>
      <c r="M153">
        <v>36</v>
      </c>
      <c r="N153">
        <v>2</v>
      </c>
      <c r="O153">
        <v>1</v>
      </c>
      <c r="P153" t="s">
        <v>47</v>
      </c>
      <c r="Q153" t="s">
        <v>77</v>
      </c>
      <c r="R153" t="s">
        <v>41</v>
      </c>
      <c r="S153">
        <v>3904</v>
      </c>
      <c r="T153" t="str" cm="1">
        <f t="array" ref="T153">_xlfn.IFS(S153&gt;=10000,"High (&gt;10k)",S153&gt;=5000,"Medium (5k-10k)",S153&lt;5000,"Low (&lt;5k)")</f>
        <v>Low (&lt;5k)</v>
      </c>
      <c r="U153">
        <v>4050</v>
      </c>
      <c r="V153">
        <v>0</v>
      </c>
      <c r="W153" t="s">
        <v>43</v>
      </c>
      <c r="X153">
        <v>12</v>
      </c>
      <c r="Y153">
        <v>3</v>
      </c>
      <c r="Z153">
        <v>4</v>
      </c>
      <c r="AA153">
        <v>0</v>
      </c>
      <c r="AB153">
        <v>5</v>
      </c>
      <c r="AC153">
        <v>2</v>
      </c>
      <c r="AD153" t="s">
        <v>74</v>
      </c>
      <c r="AE153">
        <v>4</v>
      </c>
      <c r="AF153" t="str" cm="1">
        <f t="array" ref="AF153">_xlfn.IFS(AE153&gt;=10,"Veteran (10y+)",AE153&gt;=3,"Established (3-10y)",AE153&lt;3,"New Hire (&lt;3y)")</f>
        <v>Established (3-10y)</v>
      </c>
      <c r="AG153">
        <v>3</v>
      </c>
      <c r="AH153">
        <v>1</v>
      </c>
      <c r="AI153">
        <v>1</v>
      </c>
    </row>
    <row r="154" spans="1:35">
      <c r="A154">
        <v>26</v>
      </c>
      <c r="B154" t="str">
        <f t="shared" si="2"/>
        <v>Young Adults</v>
      </c>
      <c r="C154">
        <v>0</v>
      </c>
      <c r="D154" t="s">
        <v>36</v>
      </c>
      <c r="E154">
        <v>652</v>
      </c>
      <c r="F154" t="s">
        <v>45</v>
      </c>
      <c r="G154">
        <v>7</v>
      </c>
      <c r="H154" t="str" cm="1">
        <f t="array" ref="H154">_xlfn.IFS(G154&gt;15,"Long Commute",G154&gt;5,"Moderate",G154&lt;=5,"Near Office")</f>
        <v>Moderate</v>
      </c>
      <c r="I154" t="s">
        <v>72</v>
      </c>
      <c r="J154" t="s">
        <v>49</v>
      </c>
      <c r="K154">
        <v>3</v>
      </c>
      <c r="L154" t="s">
        <v>46</v>
      </c>
      <c r="M154">
        <v>100</v>
      </c>
      <c r="N154">
        <v>4</v>
      </c>
      <c r="O154">
        <v>1</v>
      </c>
      <c r="P154" t="s">
        <v>50</v>
      </c>
      <c r="Q154" t="s">
        <v>82</v>
      </c>
      <c r="R154" t="s">
        <v>41</v>
      </c>
      <c r="S154">
        <v>3578</v>
      </c>
      <c r="T154" t="str" cm="1">
        <f t="array" ref="T154">_xlfn.IFS(S154&gt;=10000,"High (&gt;10k)",S154&gt;=5000,"Medium (5k-10k)",S154&lt;5000,"Low (&lt;5k)")</f>
        <v>Low (&lt;5k)</v>
      </c>
      <c r="U154">
        <v>23577</v>
      </c>
      <c r="V154">
        <v>0</v>
      </c>
      <c r="W154" t="s">
        <v>43</v>
      </c>
      <c r="X154">
        <v>12</v>
      </c>
      <c r="Y154">
        <v>3</v>
      </c>
      <c r="Z154">
        <v>4</v>
      </c>
      <c r="AA154">
        <v>0</v>
      </c>
      <c r="AB154">
        <v>8</v>
      </c>
      <c r="AC154">
        <v>2</v>
      </c>
      <c r="AD154" t="s">
        <v>74</v>
      </c>
      <c r="AE154">
        <v>7</v>
      </c>
      <c r="AF154" t="str" cm="1">
        <f t="array" ref="AF154">_xlfn.IFS(AE154&gt;=10,"Veteran (10y+)",AE154&gt;=3,"Established (3-10y)",AE154&lt;3,"New Hire (&lt;3y)")</f>
        <v>Established (3-10y)</v>
      </c>
      <c r="AG154">
        <v>7</v>
      </c>
      <c r="AH154">
        <v>0</v>
      </c>
      <c r="AI154">
        <v>7</v>
      </c>
    </row>
    <row r="155" spans="1:35">
      <c r="A155">
        <v>26</v>
      </c>
      <c r="B155" t="str">
        <f t="shared" si="2"/>
        <v>Young Adults</v>
      </c>
      <c r="C155">
        <v>0</v>
      </c>
      <c r="D155" t="s">
        <v>36</v>
      </c>
      <c r="E155">
        <v>474</v>
      </c>
      <c r="F155" t="s">
        <v>45</v>
      </c>
      <c r="G155">
        <v>3</v>
      </c>
      <c r="H155" t="str" cm="1">
        <f t="array" ref="H155">_xlfn.IFS(G155&gt;15,"Long Commute",G155&gt;5,"Moderate",G155&lt;=5,"Near Office")</f>
        <v>Near Office</v>
      </c>
      <c r="I155" t="s">
        <v>72</v>
      </c>
      <c r="J155" t="s">
        <v>38</v>
      </c>
      <c r="K155">
        <v>1</v>
      </c>
      <c r="L155" t="s">
        <v>39</v>
      </c>
      <c r="M155">
        <v>89</v>
      </c>
      <c r="N155">
        <v>3</v>
      </c>
      <c r="O155">
        <v>1</v>
      </c>
      <c r="P155" t="s">
        <v>47</v>
      </c>
      <c r="Q155" t="s">
        <v>77</v>
      </c>
      <c r="R155" t="s">
        <v>48</v>
      </c>
      <c r="S155">
        <v>2061</v>
      </c>
      <c r="T155" t="str" cm="1">
        <f t="array" ref="T155">_xlfn.IFS(S155&gt;=10000,"High (&gt;10k)",S155&gt;=5000,"Medium (5k-10k)",S155&lt;5000,"Low (&lt;5k)")</f>
        <v>Low (&lt;5k)</v>
      </c>
      <c r="U155">
        <v>11133</v>
      </c>
      <c r="V155">
        <v>1</v>
      </c>
      <c r="W155" t="s">
        <v>43</v>
      </c>
      <c r="X155">
        <v>21</v>
      </c>
      <c r="Y155">
        <v>4</v>
      </c>
      <c r="Z155">
        <v>1</v>
      </c>
      <c r="AA155">
        <v>0</v>
      </c>
      <c r="AB155">
        <v>1</v>
      </c>
      <c r="AC155">
        <v>5</v>
      </c>
      <c r="AD155" t="s">
        <v>74</v>
      </c>
      <c r="AE155">
        <v>1</v>
      </c>
      <c r="AF155" t="str" cm="1">
        <f t="array" ref="AF155">_xlfn.IFS(AE155&gt;=10,"Veteran (10y+)",AE155&gt;=3,"Established (3-10y)",AE155&lt;3,"New Hire (&lt;3y)")</f>
        <v>New Hire (&lt;3y)</v>
      </c>
      <c r="AG155">
        <v>0</v>
      </c>
      <c r="AH155">
        <v>0</v>
      </c>
      <c r="AI155">
        <v>0</v>
      </c>
    </row>
    <row r="156" spans="1:35">
      <c r="A156">
        <v>26</v>
      </c>
      <c r="B156" t="str">
        <f t="shared" si="2"/>
        <v>Young Adults</v>
      </c>
      <c r="C156">
        <v>0</v>
      </c>
      <c r="D156" t="s">
        <v>55</v>
      </c>
      <c r="E156">
        <v>786</v>
      </c>
      <c r="F156" t="s">
        <v>45</v>
      </c>
      <c r="G156">
        <v>7</v>
      </c>
      <c r="H156" t="str" cm="1">
        <f t="array" ref="H156">_xlfn.IFS(G156&gt;15,"Long Commute",G156&gt;5,"Moderate",G156&lt;=5,"Near Office")</f>
        <v>Moderate</v>
      </c>
      <c r="I156" t="s">
        <v>72</v>
      </c>
      <c r="J156" t="s">
        <v>51</v>
      </c>
      <c r="K156">
        <v>4</v>
      </c>
      <c r="L156" t="s">
        <v>46</v>
      </c>
      <c r="M156">
        <v>76</v>
      </c>
      <c r="N156">
        <v>3</v>
      </c>
      <c r="O156">
        <v>1</v>
      </c>
      <c r="P156" t="s">
        <v>50</v>
      </c>
      <c r="Q156" t="s">
        <v>77</v>
      </c>
      <c r="R156" t="s">
        <v>41</v>
      </c>
      <c r="S156">
        <v>2570</v>
      </c>
      <c r="T156" t="str" cm="1">
        <f t="array" ref="T156">_xlfn.IFS(S156&gt;=10000,"High (&gt;10k)",S156&gt;=5000,"Medium (5k-10k)",S156&lt;5000,"Low (&lt;5k)")</f>
        <v>Low (&lt;5k)</v>
      </c>
      <c r="U156">
        <v>11925</v>
      </c>
      <c r="V156">
        <v>1</v>
      </c>
      <c r="W156" t="s">
        <v>43</v>
      </c>
      <c r="X156">
        <v>20</v>
      </c>
      <c r="Y156">
        <v>4</v>
      </c>
      <c r="Z156">
        <v>3</v>
      </c>
      <c r="AA156">
        <v>0</v>
      </c>
      <c r="AB156">
        <v>7</v>
      </c>
      <c r="AC156">
        <v>5</v>
      </c>
      <c r="AD156" t="s">
        <v>74</v>
      </c>
      <c r="AE156">
        <v>7</v>
      </c>
      <c r="AF156" t="str" cm="1">
        <f t="array" ref="AF156">_xlfn.IFS(AE156&gt;=10,"Veteran (10y+)",AE156&gt;=3,"Established (3-10y)",AE156&lt;3,"New Hire (&lt;3y)")</f>
        <v>Established (3-10y)</v>
      </c>
      <c r="AG156">
        <v>7</v>
      </c>
      <c r="AH156">
        <v>5</v>
      </c>
      <c r="AI156">
        <v>7</v>
      </c>
    </row>
    <row r="157" spans="1:35">
      <c r="A157">
        <v>26</v>
      </c>
      <c r="B157" t="str">
        <f t="shared" si="2"/>
        <v>Young Adults</v>
      </c>
      <c r="C157">
        <v>0</v>
      </c>
      <c r="D157" t="s">
        <v>36</v>
      </c>
      <c r="E157">
        <v>390</v>
      </c>
      <c r="F157" t="s">
        <v>45</v>
      </c>
      <c r="G157">
        <v>17</v>
      </c>
      <c r="H157" t="str" cm="1">
        <f t="array" ref="H157">_xlfn.IFS(G157&gt;15,"Long Commute",G157&gt;5,"Moderate",G157&lt;=5,"Near Office")</f>
        <v>Long Commute</v>
      </c>
      <c r="I157" t="s">
        <v>83</v>
      </c>
      <c r="J157" t="s">
        <v>51</v>
      </c>
      <c r="K157">
        <v>4</v>
      </c>
      <c r="L157" t="s">
        <v>46</v>
      </c>
      <c r="M157">
        <v>62</v>
      </c>
      <c r="N157">
        <v>1</v>
      </c>
      <c r="O157">
        <v>1</v>
      </c>
      <c r="P157" t="s">
        <v>50</v>
      </c>
      <c r="Q157" t="s">
        <v>73</v>
      </c>
      <c r="R157" t="s">
        <v>48</v>
      </c>
      <c r="S157">
        <v>2305</v>
      </c>
      <c r="T157" t="str" cm="1">
        <f t="array" ref="T157">_xlfn.IFS(S157&gt;=10000,"High (&gt;10k)",S157&gt;=5000,"Medium (5k-10k)",S157&lt;5000,"Low (&lt;5k)")</f>
        <v>Low (&lt;5k)</v>
      </c>
      <c r="U157">
        <v>6217</v>
      </c>
      <c r="V157">
        <v>1</v>
      </c>
      <c r="W157" t="s">
        <v>43</v>
      </c>
      <c r="X157">
        <v>15</v>
      </c>
      <c r="Y157">
        <v>3</v>
      </c>
      <c r="Z157">
        <v>3</v>
      </c>
      <c r="AA157">
        <v>3</v>
      </c>
      <c r="AB157">
        <v>3</v>
      </c>
      <c r="AC157">
        <v>3</v>
      </c>
      <c r="AD157" t="s">
        <v>79</v>
      </c>
      <c r="AE157">
        <v>3</v>
      </c>
      <c r="AF157" t="str" cm="1">
        <f t="array" ref="AF157">_xlfn.IFS(AE157&gt;=10,"Veteran (10y+)",AE157&gt;=3,"Established (3-10y)",AE157&lt;3,"New Hire (&lt;3y)")</f>
        <v>Established (3-10y)</v>
      </c>
      <c r="AG157">
        <v>2</v>
      </c>
      <c r="AH157">
        <v>0</v>
      </c>
      <c r="AI157">
        <v>2</v>
      </c>
    </row>
    <row r="158" spans="1:35">
      <c r="A158">
        <v>26</v>
      </c>
      <c r="B158" t="str">
        <f t="shared" si="2"/>
        <v>Young Adults</v>
      </c>
      <c r="C158">
        <v>1</v>
      </c>
      <c r="D158" t="s">
        <v>36</v>
      </c>
      <c r="E158">
        <v>920</v>
      </c>
      <c r="F158" t="s">
        <v>61</v>
      </c>
      <c r="G158">
        <v>20</v>
      </c>
      <c r="H158" t="str" cm="1">
        <f t="array" ref="H158">_xlfn.IFS(G158&gt;15,"Long Commute",G158&gt;5,"Moderate",G158&lt;=5,"Near Office")</f>
        <v>Long Commute</v>
      </c>
      <c r="I158" t="s">
        <v>76</v>
      </c>
      <c r="J158" t="s">
        <v>51</v>
      </c>
      <c r="K158">
        <v>4</v>
      </c>
      <c r="L158" t="s">
        <v>39</v>
      </c>
      <c r="M158">
        <v>69</v>
      </c>
      <c r="N158">
        <v>3</v>
      </c>
      <c r="O158">
        <v>1</v>
      </c>
      <c r="P158" t="s">
        <v>61</v>
      </c>
      <c r="Q158" t="s">
        <v>75</v>
      </c>
      <c r="R158" t="s">
        <v>48</v>
      </c>
      <c r="S158">
        <v>2148</v>
      </c>
      <c r="T158" t="str" cm="1">
        <f t="array" ref="T158">_xlfn.IFS(S158&gt;=10000,"High (&gt;10k)",S158&gt;=5000,"Medium (5k-10k)",S158&lt;5000,"Low (&lt;5k)")</f>
        <v>Low (&lt;5k)</v>
      </c>
      <c r="U158">
        <v>6889</v>
      </c>
      <c r="V158">
        <v>0</v>
      </c>
      <c r="W158" t="s">
        <v>35</v>
      </c>
      <c r="X158">
        <v>11</v>
      </c>
      <c r="Y158">
        <v>3</v>
      </c>
      <c r="Z158">
        <v>3</v>
      </c>
      <c r="AA158">
        <v>0</v>
      </c>
      <c r="AB158">
        <v>6</v>
      </c>
      <c r="AC158">
        <v>3</v>
      </c>
      <c r="AD158" t="s">
        <v>74</v>
      </c>
      <c r="AE158">
        <v>5</v>
      </c>
      <c r="AF158" t="str" cm="1">
        <f t="array" ref="AF158">_xlfn.IFS(AE158&gt;=10,"Veteran (10y+)",AE158&gt;=3,"Established (3-10y)",AE158&lt;3,"New Hire (&lt;3y)")</f>
        <v>Established (3-10y)</v>
      </c>
      <c r="AG158">
        <v>1</v>
      </c>
      <c r="AH158">
        <v>1</v>
      </c>
      <c r="AI158">
        <v>4</v>
      </c>
    </row>
    <row r="159" spans="1:35">
      <c r="A159">
        <v>26</v>
      </c>
      <c r="B159" t="str">
        <f t="shared" si="2"/>
        <v>Young Adults</v>
      </c>
      <c r="C159">
        <v>0</v>
      </c>
      <c r="D159" t="s">
        <v>36</v>
      </c>
      <c r="E159">
        <v>572</v>
      </c>
      <c r="F159" t="s">
        <v>37</v>
      </c>
      <c r="G159">
        <v>10</v>
      </c>
      <c r="H159" t="str" cm="1">
        <f t="array" ref="H159">_xlfn.IFS(G159&gt;15,"Long Commute",G159&gt;5,"Moderate",G159&lt;=5,"Near Office")</f>
        <v>Moderate</v>
      </c>
      <c r="I159" t="s">
        <v>72</v>
      </c>
      <c r="J159" t="s">
        <v>51</v>
      </c>
      <c r="K159">
        <v>3</v>
      </c>
      <c r="L159" t="s">
        <v>46</v>
      </c>
      <c r="M159">
        <v>46</v>
      </c>
      <c r="N159">
        <v>3</v>
      </c>
      <c r="O159">
        <v>2</v>
      </c>
      <c r="P159" t="s">
        <v>40</v>
      </c>
      <c r="Q159" t="s">
        <v>77</v>
      </c>
      <c r="R159" t="s">
        <v>41</v>
      </c>
      <c r="S159">
        <v>4684</v>
      </c>
      <c r="T159" t="str" cm="1">
        <f t="array" ref="T159">_xlfn.IFS(S159&gt;=10000,"High (&gt;10k)",S159&gt;=5000,"Medium (5k-10k)",S159&lt;5000,"Low (&lt;5k)")</f>
        <v>Low (&lt;5k)</v>
      </c>
      <c r="U159">
        <v>9125</v>
      </c>
      <c r="V159">
        <v>1</v>
      </c>
      <c r="W159" t="s">
        <v>43</v>
      </c>
      <c r="X159">
        <v>13</v>
      </c>
      <c r="Y159">
        <v>3</v>
      </c>
      <c r="Z159">
        <v>1</v>
      </c>
      <c r="AA159">
        <v>0</v>
      </c>
      <c r="AB159">
        <v>5</v>
      </c>
      <c r="AC159">
        <v>4</v>
      </c>
      <c r="AD159" t="s">
        <v>74</v>
      </c>
      <c r="AE159">
        <v>5</v>
      </c>
      <c r="AF159" t="str" cm="1">
        <f t="array" ref="AF159">_xlfn.IFS(AE159&gt;=10,"Veteran (10y+)",AE159&gt;=3,"Established (3-10y)",AE159&lt;3,"New Hire (&lt;3y)")</f>
        <v>Established (3-10y)</v>
      </c>
      <c r="AG159">
        <v>3</v>
      </c>
      <c r="AH159">
        <v>1</v>
      </c>
      <c r="AI159">
        <v>2</v>
      </c>
    </row>
    <row r="160" spans="1:35">
      <c r="A160">
        <v>26</v>
      </c>
      <c r="B160" t="str">
        <f t="shared" si="2"/>
        <v>Young Adults</v>
      </c>
      <c r="C160">
        <v>0</v>
      </c>
      <c r="D160" t="s">
        <v>36</v>
      </c>
      <c r="E160">
        <v>482</v>
      </c>
      <c r="F160" t="s">
        <v>45</v>
      </c>
      <c r="G160">
        <v>1</v>
      </c>
      <c r="H160" t="str" cm="1">
        <f t="array" ref="H160">_xlfn.IFS(G160&gt;15,"Long Commute",G160&gt;5,"Moderate",G160&lt;=5,"Near Office")</f>
        <v>Near Office</v>
      </c>
      <c r="I160" t="s">
        <v>76</v>
      </c>
      <c r="J160" t="s">
        <v>38</v>
      </c>
      <c r="K160">
        <v>2</v>
      </c>
      <c r="L160" t="s">
        <v>39</v>
      </c>
      <c r="M160">
        <v>90</v>
      </c>
      <c r="N160">
        <v>2</v>
      </c>
      <c r="O160">
        <v>1</v>
      </c>
      <c r="P160" t="s">
        <v>47</v>
      </c>
      <c r="Q160" t="s">
        <v>73</v>
      </c>
      <c r="R160" t="s">
        <v>48</v>
      </c>
      <c r="S160">
        <v>2933</v>
      </c>
      <c r="T160" t="str" cm="1">
        <f t="array" ref="T160">_xlfn.IFS(S160&gt;=10000,"High (&gt;10k)",S160&gt;=5000,"Medium (5k-10k)",S160&lt;5000,"Low (&lt;5k)")</f>
        <v>Low (&lt;5k)</v>
      </c>
      <c r="U160">
        <v>14908</v>
      </c>
      <c r="V160">
        <v>1</v>
      </c>
      <c r="W160" t="s">
        <v>35</v>
      </c>
      <c r="X160">
        <v>13</v>
      </c>
      <c r="Y160">
        <v>3</v>
      </c>
      <c r="Z160">
        <v>3</v>
      </c>
      <c r="AA160">
        <v>1</v>
      </c>
      <c r="AB160">
        <v>1</v>
      </c>
      <c r="AC160">
        <v>3</v>
      </c>
      <c r="AD160" t="s">
        <v>81</v>
      </c>
      <c r="AE160">
        <v>1</v>
      </c>
      <c r="AF160" t="str" cm="1">
        <f t="array" ref="AF160">_xlfn.IFS(AE160&gt;=10,"Veteran (10y+)",AE160&gt;=3,"Established (3-10y)",AE160&lt;3,"New Hire (&lt;3y)")</f>
        <v>New Hire (&lt;3y)</v>
      </c>
      <c r="AG160">
        <v>0</v>
      </c>
      <c r="AH160">
        <v>1</v>
      </c>
      <c r="AI160">
        <v>0</v>
      </c>
    </row>
    <row r="161" spans="1:35">
      <c r="A161">
        <v>26</v>
      </c>
      <c r="B161" t="str">
        <f t="shared" si="2"/>
        <v>Young Adults</v>
      </c>
      <c r="C161">
        <v>0</v>
      </c>
      <c r="D161" t="s">
        <v>44</v>
      </c>
      <c r="E161">
        <v>1096</v>
      </c>
      <c r="F161" t="s">
        <v>45</v>
      </c>
      <c r="G161">
        <v>6</v>
      </c>
      <c r="H161" t="str" cm="1">
        <f t="array" ref="H161">_xlfn.IFS(G161&gt;15,"Long Commute",G161&gt;5,"Moderate",G161&lt;=5,"Near Office")</f>
        <v>Moderate</v>
      </c>
      <c r="I161" t="s">
        <v>72</v>
      </c>
      <c r="J161" t="s">
        <v>49</v>
      </c>
      <c r="K161">
        <v>3</v>
      </c>
      <c r="L161" t="s">
        <v>46</v>
      </c>
      <c r="M161">
        <v>61</v>
      </c>
      <c r="N161">
        <v>4</v>
      </c>
      <c r="O161">
        <v>1</v>
      </c>
      <c r="P161" t="s">
        <v>50</v>
      </c>
      <c r="Q161" t="s">
        <v>77</v>
      </c>
      <c r="R161" t="s">
        <v>48</v>
      </c>
      <c r="S161">
        <v>2544</v>
      </c>
      <c r="T161" t="str" cm="1">
        <f t="array" ref="T161">_xlfn.IFS(S161&gt;=10000,"High (&gt;10k)",S161&gt;=5000,"Medium (5k-10k)",S161&lt;5000,"Low (&lt;5k)")</f>
        <v>Low (&lt;5k)</v>
      </c>
      <c r="U161">
        <v>7102</v>
      </c>
      <c r="V161">
        <v>0</v>
      </c>
      <c r="W161" t="s">
        <v>43</v>
      </c>
      <c r="X161">
        <v>18</v>
      </c>
      <c r="Y161">
        <v>3</v>
      </c>
      <c r="Z161">
        <v>1</v>
      </c>
      <c r="AA161">
        <v>1</v>
      </c>
      <c r="AB161">
        <v>8</v>
      </c>
      <c r="AC161">
        <v>3</v>
      </c>
      <c r="AD161" t="s">
        <v>74</v>
      </c>
      <c r="AE161">
        <v>7</v>
      </c>
      <c r="AF161" t="str" cm="1">
        <f t="array" ref="AF161">_xlfn.IFS(AE161&gt;=10,"Veteran (10y+)",AE161&gt;=3,"Established (3-10y)",AE161&lt;3,"New Hire (&lt;3y)")</f>
        <v>Established (3-10y)</v>
      </c>
      <c r="AG161">
        <v>7</v>
      </c>
      <c r="AH161">
        <v>7</v>
      </c>
      <c r="AI161">
        <v>7</v>
      </c>
    </row>
    <row r="162" spans="1:35">
      <c r="A162">
        <v>26</v>
      </c>
      <c r="B162" t="str">
        <f t="shared" si="2"/>
        <v>Young Adults</v>
      </c>
      <c r="C162">
        <v>0</v>
      </c>
      <c r="D162" t="s">
        <v>36</v>
      </c>
      <c r="E162">
        <v>157</v>
      </c>
      <c r="F162" t="s">
        <v>45</v>
      </c>
      <c r="G162">
        <v>1</v>
      </c>
      <c r="H162" t="str" cm="1">
        <f t="array" ref="H162">_xlfn.IFS(G162&gt;15,"Long Commute",G162&gt;5,"Moderate",G162&lt;=5,"Near Office")</f>
        <v>Near Office</v>
      </c>
      <c r="I162" t="s">
        <v>72</v>
      </c>
      <c r="J162" t="s">
        <v>51</v>
      </c>
      <c r="K162">
        <v>3</v>
      </c>
      <c r="L162" t="s">
        <v>46</v>
      </c>
      <c r="M162">
        <v>95</v>
      </c>
      <c r="N162">
        <v>3</v>
      </c>
      <c r="O162">
        <v>1</v>
      </c>
      <c r="P162" t="s">
        <v>50</v>
      </c>
      <c r="Q162" t="s">
        <v>82</v>
      </c>
      <c r="R162" t="s">
        <v>41</v>
      </c>
      <c r="S162">
        <v>2867</v>
      </c>
      <c r="T162" t="str" cm="1">
        <f t="array" ref="T162">_xlfn.IFS(S162&gt;=10000,"High (&gt;10k)",S162&gt;=5000,"Medium (5k-10k)",S162&lt;5000,"Low (&lt;5k)")</f>
        <v>Low (&lt;5k)</v>
      </c>
      <c r="U162">
        <v>20006</v>
      </c>
      <c r="V162">
        <v>0</v>
      </c>
      <c r="W162" t="s">
        <v>43</v>
      </c>
      <c r="X162">
        <v>13</v>
      </c>
      <c r="Y162">
        <v>3</v>
      </c>
      <c r="Z162">
        <v>4</v>
      </c>
      <c r="AA162">
        <v>0</v>
      </c>
      <c r="AB162">
        <v>8</v>
      </c>
      <c r="AC162">
        <v>6</v>
      </c>
      <c r="AD162" t="s">
        <v>81</v>
      </c>
      <c r="AE162">
        <v>7</v>
      </c>
      <c r="AF162" t="str" cm="1">
        <f t="array" ref="AF162">_xlfn.IFS(AE162&gt;=10,"Veteran (10y+)",AE162&gt;=3,"Established (3-10y)",AE162&lt;3,"New Hire (&lt;3y)")</f>
        <v>Established (3-10y)</v>
      </c>
      <c r="AG162">
        <v>7</v>
      </c>
      <c r="AH162">
        <v>7</v>
      </c>
      <c r="AI162">
        <v>6</v>
      </c>
    </row>
    <row r="163" spans="1:35">
      <c r="A163">
        <v>26</v>
      </c>
      <c r="B163" t="str">
        <f t="shared" si="2"/>
        <v>Young Adults</v>
      </c>
      <c r="C163">
        <v>0</v>
      </c>
      <c r="D163" t="s">
        <v>36</v>
      </c>
      <c r="E163">
        <v>1167</v>
      </c>
      <c r="F163" t="s">
        <v>37</v>
      </c>
      <c r="G163">
        <v>5</v>
      </c>
      <c r="H163" t="str" cm="1">
        <f t="array" ref="H163">_xlfn.IFS(G163&gt;15,"Long Commute",G163&gt;5,"Moderate",G163&lt;=5,"Near Office")</f>
        <v>Near Office</v>
      </c>
      <c r="I163" t="s">
        <v>72</v>
      </c>
      <c r="J163" t="s">
        <v>49</v>
      </c>
      <c r="K163">
        <v>4</v>
      </c>
      <c r="L163" t="s">
        <v>39</v>
      </c>
      <c r="M163">
        <v>30</v>
      </c>
      <c r="N163">
        <v>2</v>
      </c>
      <c r="O163">
        <v>1</v>
      </c>
      <c r="P163" t="s">
        <v>57</v>
      </c>
      <c r="Q163" t="s">
        <v>73</v>
      </c>
      <c r="R163" t="s">
        <v>41</v>
      </c>
      <c r="S163">
        <v>2966</v>
      </c>
      <c r="T163" t="str" cm="1">
        <f t="array" ref="T163">_xlfn.IFS(S163&gt;=10000,"High (&gt;10k)",S163&gt;=5000,"Medium (5k-10k)",S163&lt;5000,"Low (&lt;5k)")</f>
        <v>Low (&lt;5k)</v>
      </c>
      <c r="U163">
        <v>21378</v>
      </c>
      <c r="V163">
        <v>0</v>
      </c>
      <c r="W163" t="s">
        <v>43</v>
      </c>
      <c r="X163">
        <v>18</v>
      </c>
      <c r="Y163">
        <v>3</v>
      </c>
      <c r="Z163">
        <v>4</v>
      </c>
      <c r="AA163">
        <v>0</v>
      </c>
      <c r="AB163">
        <v>5</v>
      </c>
      <c r="AC163">
        <v>2</v>
      </c>
      <c r="AD163" t="s">
        <v>74</v>
      </c>
      <c r="AE163">
        <v>4</v>
      </c>
      <c r="AF163" t="str" cm="1">
        <f t="array" ref="AF163">_xlfn.IFS(AE163&gt;=10,"Veteran (10y+)",AE163&gt;=3,"Established (3-10y)",AE163&lt;3,"New Hire (&lt;3y)")</f>
        <v>Established (3-10y)</v>
      </c>
      <c r="AG163">
        <v>2</v>
      </c>
      <c r="AH163">
        <v>0</v>
      </c>
      <c r="AI163">
        <v>0</v>
      </c>
    </row>
    <row r="164" spans="1:35">
      <c r="A164">
        <v>27</v>
      </c>
      <c r="B164" t="str">
        <f t="shared" si="2"/>
        <v>Young Adults</v>
      </c>
      <c r="C164">
        <v>0</v>
      </c>
      <c r="D164" t="s">
        <v>36</v>
      </c>
      <c r="E164">
        <v>591</v>
      </c>
      <c r="F164" t="s">
        <v>45</v>
      </c>
      <c r="G164">
        <v>2</v>
      </c>
      <c r="H164" t="str" cm="1">
        <f t="array" ref="H164">_xlfn.IFS(G164&gt;15,"Long Commute",G164&gt;5,"Moderate",G164&lt;=5,"Near Office")</f>
        <v>Near Office</v>
      </c>
      <c r="I164" t="s">
        <v>78</v>
      </c>
      <c r="J164" t="s">
        <v>51</v>
      </c>
      <c r="K164">
        <v>1</v>
      </c>
      <c r="L164" t="s">
        <v>46</v>
      </c>
      <c r="M164">
        <v>40</v>
      </c>
      <c r="N164">
        <v>3</v>
      </c>
      <c r="O164">
        <v>1</v>
      </c>
      <c r="P164" t="s">
        <v>50</v>
      </c>
      <c r="Q164" t="s">
        <v>75</v>
      </c>
      <c r="R164" t="s">
        <v>48</v>
      </c>
      <c r="S164">
        <v>3468</v>
      </c>
      <c r="T164" t="str" cm="1">
        <f t="array" ref="T164">_xlfn.IFS(S164&gt;=10000,"High (&gt;10k)",S164&gt;=5000,"Medium (5k-10k)",S164&lt;5000,"Low (&lt;5k)")</f>
        <v>Low (&lt;5k)</v>
      </c>
      <c r="U164">
        <v>16632</v>
      </c>
      <c r="V164">
        <v>9</v>
      </c>
      <c r="W164" t="s">
        <v>43</v>
      </c>
      <c r="X164">
        <v>12</v>
      </c>
      <c r="Y164">
        <v>3</v>
      </c>
      <c r="Z164">
        <v>4</v>
      </c>
      <c r="AA164">
        <v>1</v>
      </c>
      <c r="AB164">
        <v>6</v>
      </c>
      <c r="AC164">
        <v>3</v>
      </c>
      <c r="AD164" t="s">
        <v>74</v>
      </c>
      <c r="AE164">
        <v>2</v>
      </c>
      <c r="AF164" t="str" cm="1">
        <f t="array" ref="AF164">_xlfn.IFS(AE164&gt;=10,"Veteran (10y+)",AE164&gt;=3,"Established (3-10y)",AE164&lt;3,"New Hire (&lt;3y)")</f>
        <v>New Hire (&lt;3y)</v>
      </c>
      <c r="AG164">
        <v>2</v>
      </c>
      <c r="AH164">
        <v>2</v>
      </c>
      <c r="AI164">
        <v>2</v>
      </c>
    </row>
    <row r="165" spans="1:35">
      <c r="A165">
        <v>27</v>
      </c>
      <c r="B165" t="str">
        <f t="shared" si="2"/>
        <v>Young Adults</v>
      </c>
      <c r="C165">
        <v>0</v>
      </c>
      <c r="D165" t="s">
        <v>36</v>
      </c>
      <c r="E165">
        <v>1240</v>
      </c>
      <c r="F165" t="s">
        <v>45</v>
      </c>
      <c r="G165">
        <v>2</v>
      </c>
      <c r="H165" t="str" cm="1">
        <f t="array" ref="H165">_xlfn.IFS(G165&gt;15,"Long Commute",G165&gt;5,"Moderate",G165&lt;=5,"Near Office")</f>
        <v>Near Office</v>
      </c>
      <c r="I165" t="s">
        <v>83</v>
      </c>
      <c r="J165" t="s">
        <v>38</v>
      </c>
      <c r="K165">
        <v>4</v>
      </c>
      <c r="L165" t="s">
        <v>39</v>
      </c>
      <c r="M165">
        <v>33</v>
      </c>
      <c r="N165">
        <v>3</v>
      </c>
      <c r="O165">
        <v>1</v>
      </c>
      <c r="P165" t="s">
        <v>50</v>
      </c>
      <c r="Q165" t="s">
        <v>82</v>
      </c>
      <c r="R165" t="s">
        <v>52</v>
      </c>
      <c r="S165">
        <v>2341</v>
      </c>
      <c r="T165" t="str" cm="1">
        <f t="array" ref="T165">_xlfn.IFS(S165&gt;=10000,"High (&gt;10k)",S165&gt;=5000,"Medium (5k-10k)",S165&lt;5000,"Low (&lt;5k)")</f>
        <v>Low (&lt;5k)</v>
      </c>
      <c r="U165">
        <v>19715</v>
      </c>
      <c r="V165">
        <v>1</v>
      </c>
      <c r="W165" t="s">
        <v>43</v>
      </c>
      <c r="X165">
        <v>13</v>
      </c>
      <c r="Y165">
        <v>3</v>
      </c>
      <c r="Z165">
        <v>4</v>
      </c>
      <c r="AA165">
        <v>1</v>
      </c>
      <c r="AB165">
        <v>1</v>
      </c>
      <c r="AC165">
        <v>6</v>
      </c>
      <c r="AD165" t="s">
        <v>74</v>
      </c>
      <c r="AE165">
        <v>1</v>
      </c>
      <c r="AF165" t="str" cm="1">
        <f t="array" ref="AF165">_xlfn.IFS(AE165&gt;=10,"Veteran (10y+)",AE165&gt;=3,"Established (3-10y)",AE165&lt;3,"New Hire (&lt;3y)")</f>
        <v>New Hire (&lt;3y)</v>
      </c>
      <c r="AG165">
        <v>0</v>
      </c>
      <c r="AH165">
        <v>0</v>
      </c>
      <c r="AI165">
        <v>0</v>
      </c>
    </row>
    <row r="166" spans="1:35">
      <c r="A166">
        <v>27</v>
      </c>
      <c r="B166" t="str">
        <f t="shared" si="2"/>
        <v>Young Adults</v>
      </c>
      <c r="C166">
        <v>0</v>
      </c>
      <c r="D166" t="s">
        <v>44</v>
      </c>
      <c r="E166">
        <v>994</v>
      </c>
      <c r="F166" t="s">
        <v>37</v>
      </c>
      <c r="G166">
        <v>8</v>
      </c>
      <c r="H166" t="str" cm="1">
        <f t="array" ref="H166">_xlfn.IFS(G166&gt;15,"Long Commute",G166&gt;5,"Moderate",G166&lt;=5,"Near Office")</f>
        <v>Moderate</v>
      </c>
      <c r="I166" t="s">
        <v>72</v>
      </c>
      <c r="J166" t="s">
        <v>38</v>
      </c>
      <c r="K166">
        <v>4</v>
      </c>
      <c r="L166" t="s">
        <v>46</v>
      </c>
      <c r="M166">
        <v>37</v>
      </c>
      <c r="N166">
        <v>3</v>
      </c>
      <c r="O166">
        <v>3</v>
      </c>
      <c r="P166" t="s">
        <v>40</v>
      </c>
      <c r="Q166" t="s">
        <v>73</v>
      </c>
      <c r="R166" t="s">
        <v>41</v>
      </c>
      <c r="S166">
        <v>8726</v>
      </c>
      <c r="T166" t="str" cm="1">
        <f t="array" ref="T166">_xlfn.IFS(S166&gt;=10000,"High (&gt;10k)",S166&gt;=5000,"Medium (5k-10k)",S166&lt;5000,"Low (&lt;5k)")</f>
        <v>Medium (5k-10k)</v>
      </c>
      <c r="U166">
        <v>2975</v>
      </c>
      <c r="V166">
        <v>1</v>
      </c>
      <c r="W166" t="s">
        <v>43</v>
      </c>
      <c r="X166">
        <v>15</v>
      </c>
      <c r="Y166">
        <v>3</v>
      </c>
      <c r="Z166">
        <v>4</v>
      </c>
      <c r="AA166">
        <v>0</v>
      </c>
      <c r="AB166">
        <v>9</v>
      </c>
      <c r="AC166">
        <v>0</v>
      </c>
      <c r="AD166" t="s">
        <v>74</v>
      </c>
      <c r="AE166">
        <v>9</v>
      </c>
      <c r="AF166" t="str" cm="1">
        <f t="array" ref="AF166">_xlfn.IFS(AE166&gt;=10,"Veteran (10y+)",AE166&gt;=3,"Established (3-10y)",AE166&lt;3,"New Hire (&lt;3y)")</f>
        <v>Established (3-10y)</v>
      </c>
      <c r="AG166">
        <v>8</v>
      </c>
      <c r="AH166">
        <v>1</v>
      </c>
      <c r="AI166">
        <v>7</v>
      </c>
    </row>
    <row r="167" spans="1:35">
      <c r="A167">
        <v>27</v>
      </c>
      <c r="B167" t="str">
        <f t="shared" si="2"/>
        <v>Young Adults</v>
      </c>
      <c r="C167">
        <v>0</v>
      </c>
      <c r="D167" t="s">
        <v>55</v>
      </c>
      <c r="E167">
        <v>691</v>
      </c>
      <c r="F167" t="s">
        <v>45</v>
      </c>
      <c r="G167">
        <v>9</v>
      </c>
      <c r="H167" t="str" cm="1">
        <f t="array" ref="H167">_xlfn.IFS(G167&gt;15,"Long Commute",G167&gt;5,"Moderate",G167&lt;=5,"Near Office")</f>
        <v>Moderate</v>
      </c>
      <c r="I167" t="s">
        <v>72</v>
      </c>
      <c r="J167" t="s">
        <v>51</v>
      </c>
      <c r="K167">
        <v>4</v>
      </c>
      <c r="L167" t="s">
        <v>46</v>
      </c>
      <c r="M167">
        <v>57</v>
      </c>
      <c r="N167">
        <v>3</v>
      </c>
      <c r="O167">
        <v>1</v>
      </c>
      <c r="P167" t="s">
        <v>47</v>
      </c>
      <c r="Q167" t="s">
        <v>75</v>
      </c>
      <c r="R167" t="s">
        <v>52</v>
      </c>
      <c r="S167">
        <v>2024</v>
      </c>
      <c r="T167" t="str" cm="1">
        <f t="array" ref="T167">_xlfn.IFS(S167&gt;=10000,"High (&gt;10k)",S167&gt;=5000,"Medium (5k-10k)",S167&lt;5000,"Low (&lt;5k)")</f>
        <v>Low (&lt;5k)</v>
      </c>
      <c r="U167">
        <v>5970</v>
      </c>
      <c r="V167">
        <v>6</v>
      </c>
      <c r="W167" t="s">
        <v>43</v>
      </c>
      <c r="X167">
        <v>18</v>
      </c>
      <c r="Y167">
        <v>3</v>
      </c>
      <c r="Z167">
        <v>4</v>
      </c>
      <c r="AA167">
        <v>1</v>
      </c>
      <c r="AB167">
        <v>6</v>
      </c>
      <c r="AC167">
        <v>1</v>
      </c>
      <c r="AD167" t="s">
        <v>80</v>
      </c>
      <c r="AE167">
        <v>2</v>
      </c>
      <c r="AF167" t="str" cm="1">
        <f t="array" ref="AF167">_xlfn.IFS(AE167&gt;=10,"Veteran (10y+)",AE167&gt;=3,"Established (3-10y)",AE167&lt;3,"New Hire (&lt;3y)")</f>
        <v>New Hire (&lt;3y)</v>
      </c>
      <c r="AG167">
        <v>2</v>
      </c>
      <c r="AH167">
        <v>2</v>
      </c>
      <c r="AI167">
        <v>2</v>
      </c>
    </row>
    <row r="168" spans="1:35">
      <c r="A168">
        <v>27</v>
      </c>
      <c r="B168" t="str">
        <f t="shared" si="2"/>
        <v>Young Adults</v>
      </c>
      <c r="C168">
        <v>0</v>
      </c>
      <c r="D168" t="s">
        <v>55</v>
      </c>
      <c r="E168">
        <v>1450</v>
      </c>
      <c r="F168" t="s">
        <v>45</v>
      </c>
      <c r="G168">
        <v>3</v>
      </c>
      <c r="H168" t="str" cm="1">
        <f t="array" ref="H168">_xlfn.IFS(G168&gt;15,"Long Commute",G168&gt;5,"Moderate",G168&lt;=5,"Near Office")</f>
        <v>Near Office</v>
      </c>
      <c r="I168" t="s">
        <v>72</v>
      </c>
      <c r="J168" t="s">
        <v>51</v>
      </c>
      <c r="K168">
        <v>3</v>
      </c>
      <c r="L168" t="s">
        <v>46</v>
      </c>
      <c r="M168">
        <v>79</v>
      </c>
      <c r="N168">
        <v>2</v>
      </c>
      <c r="O168">
        <v>1</v>
      </c>
      <c r="P168" t="s">
        <v>47</v>
      </c>
      <c r="Q168" t="s">
        <v>73</v>
      </c>
      <c r="R168" t="s">
        <v>52</v>
      </c>
      <c r="S168">
        <v>2566</v>
      </c>
      <c r="T168" t="str" cm="1">
        <f t="array" ref="T168">_xlfn.IFS(S168&gt;=10000,"High (&gt;10k)",S168&gt;=5000,"Medium (5k-10k)",S168&lt;5000,"Low (&lt;5k)")</f>
        <v>Low (&lt;5k)</v>
      </c>
      <c r="U168">
        <v>25326</v>
      </c>
      <c r="V168">
        <v>1</v>
      </c>
      <c r="W168" t="s">
        <v>35</v>
      </c>
      <c r="X168">
        <v>15</v>
      </c>
      <c r="Y168">
        <v>3</v>
      </c>
      <c r="Z168">
        <v>4</v>
      </c>
      <c r="AA168">
        <v>1</v>
      </c>
      <c r="AB168">
        <v>1</v>
      </c>
      <c r="AC168">
        <v>2</v>
      </c>
      <c r="AD168" t="s">
        <v>81</v>
      </c>
      <c r="AE168">
        <v>1</v>
      </c>
      <c r="AF168" t="str" cm="1">
        <f t="array" ref="AF168">_xlfn.IFS(AE168&gt;=10,"Veteran (10y+)",AE168&gt;=3,"Established (3-10y)",AE168&lt;3,"New Hire (&lt;3y)")</f>
        <v>New Hire (&lt;3y)</v>
      </c>
      <c r="AG168">
        <v>1</v>
      </c>
      <c r="AH168">
        <v>0</v>
      </c>
      <c r="AI168">
        <v>1</v>
      </c>
    </row>
    <row r="169" spans="1:35">
      <c r="A169">
        <v>27</v>
      </c>
      <c r="B169" t="str">
        <f t="shared" si="2"/>
        <v>Young Adults</v>
      </c>
      <c r="C169">
        <v>0</v>
      </c>
      <c r="D169" t="s">
        <v>36</v>
      </c>
      <c r="E169">
        <v>1157</v>
      </c>
      <c r="F169" t="s">
        <v>45</v>
      </c>
      <c r="G169">
        <v>17</v>
      </c>
      <c r="H169" t="str" cm="1">
        <f t="array" ref="H169">_xlfn.IFS(G169&gt;15,"Long Commute",G169&gt;5,"Moderate",G169&lt;=5,"Near Office")</f>
        <v>Long Commute</v>
      </c>
      <c r="I169" t="s">
        <v>72</v>
      </c>
      <c r="J169" t="s">
        <v>60</v>
      </c>
      <c r="K169">
        <v>3</v>
      </c>
      <c r="L169" t="s">
        <v>46</v>
      </c>
      <c r="M169">
        <v>51</v>
      </c>
      <c r="N169">
        <v>3</v>
      </c>
      <c r="O169">
        <v>1</v>
      </c>
      <c r="P169" t="s">
        <v>47</v>
      </c>
      <c r="Q169" t="s">
        <v>75</v>
      </c>
      <c r="R169" t="s">
        <v>48</v>
      </c>
      <c r="S169">
        <v>3058</v>
      </c>
      <c r="T169" t="str" cm="1">
        <f t="array" ref="T169">_xlfn.IFS(S169&gt;=10000,"High (&gt;10k)",S169&gt;=5000,"Medium (5k-10k)",S169&lt;5000,"Low (&lt;5k)")</f>
        <v>Low (&lt;5k)</v>
      </c>
      <c r="U169">
        <v>13364</v>
      </c>
      <c r="V169">
        <v>0</v>
      </c>
      <c r="W169" t="s">
        <v>35</v>
      </c>
      <c r="X169">
        <v>16</v>
      </c>
      <c r="Y169">
        <v>3</v>
      </c>
      <c r="Z169">
        <v>4</v>
      </c>
      <c r="AA169">
        <v>1</v>
      </c>
      <c r="AB169">
        <v>6</v>
      </c>
      <c r="AC169">
        <v>3</v>
      </c>
      <c r="AD169" t="s">
        <v>81</v>
      </c>
      <c r="AE169">
        <v>5</v>
      </c>
      <c r="AF169" t="str" cm="1">
        <f t="array" ref="AF169">_xlfn.IFS(AE169&gt;=10,"Veteran (10y+)",AE169&gt;=3,"Established (3-10y)",AE169&lt;3,"New Hire (&lt;3y)")</f>
        <v>Established (3-10y)</v>
      </c>
      <c r="AG169">
        <v>2</v>
      </c>
      <c r="AH169">
        <v>1</v>
      </c>
      <c r="AI169">
        <v>1</v>
      </c>
    </row>
    <row r="170" spans="1:35">
      <c r="A170">
        <v>27</v>
      </c>
      <c r="B170" t="str">
        <f t="shared" si="2"/>
        <v>Young Adults</v>
      </c>
      <c r="C170">
        <v>0</v>
      </c>
      <c r="D170" t="s">
        <v>36</v>
      </c>
      <c r="E170">
        <v>894</v>
      </c>
      <c r="F170" t="s">
        <v>45</v>
      </c>
      <c r="G170">
        <v>9</v>
      </c>
      <c r="H170" t="str" cm="1">
        <f t="array" ref="H170">_xlfn.IFS(G170&gt;15,"Long Commute",G170&gt;5,"Moderate",G170&lt;=5,"Near Office")</f>
        <v>Moderate</v>
      </c>
      <c r="I170" t="s">
        <v>72</v>
      </c>
      <c r="J170" t="s">
        <v>51</v>
      </c>
      <c r="K170">
        <v>4</v>
      </c>
      <c r="L170" t="s">
        <v>39</v>
      </c>
      <c r="M170">
        <v>99</v>
      </c>
      <c r="N170">
        <v>3</v>
      </c>
      <c r="O170">
        <v>1</v>
      </c>
      <c r="P170" t="s">
        <v>47</v>
      </c>
      <c r="Q170" t="s">
        <v>75</v>
      </c>
      <c r="R170" t="s">
        <v>41</v>
      </c>
      <c r="S170">
        <v>2279</v>
      </c>
      <c r="T170" t="str" cm="1">
        <f t="array" ref="T170">_xlfn.IFS(S170&gt;=10000,"High (&gt;10k)",S170&gt;=5000,"Medium (5k-10k)",S170&lt;5000,"Low (&lt;5k)")</f>
        <v>Low (&lt;5k)</v>
      </c>
      <c r="U170">
        <v>11781</v>
      </c>
      <c r="V170">
        <v>1</v>
      </c>
      <c r="W170" t="s">
        <v>43</v>
      </c>
      <c r="X170">
        <v>16</v>
      </c>
      <c r="Y170">
        <v>3</v>
      </c>
      <c r="Z170">
        <v>4</v>
      </c>
      <c r="AA170">
        <v>0</v>
      </c>
      <c r="AB170">
        <v>7</v>
      </c>
      <c r="AC170">
        <v>2</v>
      </c>
      <c r="AD170" t="s">
        <v>81</v>
      </c>
      <c r="AE170">
        <v>7</v>
      </c>
      <c r="AF170" t="str" cm="1">
        <f t="array" ref="AF170">_xlfn.IFS(AE170&gt;=10,"Veteran (10y+)",AE170&gt;=3,"Established (3-10y)",AE170&lt;3,"New Hire (&lt;3y)")</f>
        <v>Established (3-10y)</v>
      </c>
      <c r="AG170">
        <v>7</v>
      </c>
      <c r="AH170">
        <v>0</v>
      </c>
      <c r="AI170">
        <v>3</v>
      </c>
    </row>
    <row r="171" spans="1:35">
      <c r="A171">
        <v>27</v>
      </c>
      <c r="B171" t="str">
        <f t="shared" si="2"/>
        <v>Young Adults</v>
      </c>
      <c r="C171">
        <v>0</v>
      </c>
      <c r="D171" t="s">
        <v>44</v>
      </c>
      <c r="E171">
        <v>472</v>
      </c>
      <c r="F171" t="s">
        <v>45</v>
      </c>
      <c r="G171">
        <v>1</v>
      </c>
      <c r="H171" t="str" cm="1">
        <f t="array" ref="H171">_xlfn.IFS(G171&gt;15,"Long Commute",G171&gt;5,"Moderate",G171&lt;=5,"Near Office")</f>
        <v>Near Office</v>
      </c>
      <c r="I171" t="s">
        <v>78</v>
      </c>
      <c r="J171" t="s">
        <v>60</v>
      </c>
      <c r="K171">
        <v>3</v>
      </c>
      <c r="L171" t="s">
        <v>46</v>
      </c>
      <c r="M171">
        <v>60</v>
      </c>
      <c r="N171">
        <v>2</v>
      </c>
      <c r="O171">
        <v>2</v>
      </c>
      <c r="P171" t="s">
        <v>53</v>
      </c>
      <c r="Q171" t="s">
        <v>82</v>
      </c>
      <c r="R171" t="s">
        <v>48</v>
      </c>
      <c r="S171">
        <v>4298</v>
      </c>
      <c r="T171" t="str" cm="1">
        <f t="array" ref="T171">_xlfn.IFS(S171&gt;=10000,"High (&gt;10k)",S171&gt;=5000,"Medium (5k-10k)",S171&lt;5000,"Low (&lt;5k)")</f>
        <v>Low (&lt;5k)</v>
      </c>
      <c r="U171">
        <v>9679</v>
      </c>
      <c r="V171">
        <v>5</v>
      </c>
      <c r="W171" t="s">
        <v>43</v>
      </c>
      <c r="X171">
        <v>19</v>
      </c>
      <c r="Y171">
        <v>3</v>
      </c>
      <c r="Z171">
        <v>3</v>
      </c>
      <c r="AA171">
        <v>1</v>
      </c>
      <c r="AB171">
        <v>6</v>
      </c>
      <c r="AC171">
        <v>1</v>
      </c>
      <c r="AD171" t="s">
        <v>74</v>
      </c>
      <c r="AE171">
        <v>2</v>
      </c>
      <c r="AF171" t="str" cm="1">
        <f t="array" ref="AF171">_xlfn.IFS(AE171&gt;=10,"Veteran (10y+)",AE171&gt;=3,"Established (3-10y)",AE171&lt;3,"New Hire (&lt;3y)")</f>
        <v>New Hire (&lt;3y)</v>
      </c>
      <c r="AG171">
        <v>2</v>
      </c>
      <c r="AH171">
        <v>2</v>
      </c>
      <c r="AI171">
        <v>0</v>
      </c>
    </row>
    <row r="172" spans="1:35">
      <c r="A172">
        <v>27</v>
      </c>
      <c r="B172" t="str">
        <f t="shared" si="2"/>
        <v>Young Adults</v>
      </c>
      <c r="C172">
        <v>0</v>
      </c>
      <c r="D172" t="s">
        <v>44</v>
      </c>
      <c r="E172">
        <v>1242</v>
      </c>
      <c r="F172" t="s">
        <v>37</v>
      </c>
      <c r="G172">
        <v>20</v>
      </c>
      <c r="H172" t="str" cm="1">
        <f t="array" ref="H172">_xlfn.IFS(G172&gt;15,"Long Commute",G172&gt;5,"Moderate",G172&lt;=5,"Near Office")</f>
        <v>Long Commute</v>
      </c>
      <c r="I172" t="s">
        <v>72</v>
      </c>
      <c r="J172" t="s">
        <v>38</v>
      </c>
      <c r="K172">
        <v>4</v>
      </c>
      <c r="L172" t="s">
        <v>39</v>
      </c>
      <c r="M172">
        <v>90</v>
      </c>
      <c r="N172">
        <v>3</v>
      </c>
      <c r="O172">
        <v>2</v>
      </c>
      <c r="P172" t="s">
        <v>40</v>
      </c>
      <c r="Q172" t="s">
        <v>73</v>
      </c>
      <c r="R172" t="s">
        <v>41</v>
      </c>
      <c r="S172">
        <v>9981</v>
      </c>
      <c r="T172" t="str" cm="1">
        <f t="array" ref="T172">_xlfn.IFS(S172&gt;=10000,"High (&gt;10k)",S172&gt;=5000,"Medium (5k-10k)",S172&lt;5000,"Low (&lt;5k)")</f>
        <v>Medium (5k-10k)</v>
      </c>
      <c r="U172">
        <v>12916</v>
      </c>
      <c r="V172">
        <v>1</v>
      </c>
      <c r="W172" t="s">
        <v>43</v>
      </c>
      <c r="X172">
        <v>14</v>
      </c>
      <c r="Y172">
        <v>3</v>
      </c>
      <c r="Z172">
        <v>4</v>
      </c>
      <c r="AA172">
        <v>0</v>
      </c>
      <c r="AB172">
        <v>7</v>
      </c>
      <c r="AC172">
        <v>2</v>
      </c>
      <c r="AD172" t="s">
        <v>74</v>
      </c>
      <c r="AE172">
        <v>7</v>
      </c>
      <c r="AF172" t="str" cm="1">
        <f t="array" ref="AF172">_xlfn.IFS(AE172&gt;=10,"Veteran (10y+)",AE172&gt;=3,"Established (3-10y)",AE172&lt;3,"New Hire (&lt;3y)")</f>
        <v>Established (3-10y)</v>
      </c>
      <c r="AG172">
        <v>7</v>
      </c>
      <c r="AH172">
        <v>0</v>
      </c>
      <c r="AI172">
        <v>7</v>
      </c>
    </row>
    <row r="173" spans="1:35">
      <c r="A173">
        <v>27</v>
      </c>
      <c r="B173" t="str">
        <f t="shared" si="2"/>
        <v>Young Adults</v>
      </c>
      <c r="C173">
        <v>0</v>
      </c>
      <c r="D173" t="s">
        <v>36</v>
      </c>
      <c r="E173">
        <v>1220</v>
      </c>
      <c r="F173" t="s">
        <v>45</v>
      </c>
      <c r="G173">
        <v>5</v>
      </c>
      <c r="H173" t="str" cm="1">
        <f t="array" ref="H173">_xlfn.IFS(G173&gt;15,"Long Commute",G173&gt;5,"Moderate",G173&lt;=5,"Near Office")</f>
        <v>Near Office</v>
      </c>
      <c r="I173" t="s">
        <v>72</v>
      </c>
      <c r="J173" t="s">
        <v>38</v>
      </c>
      <c r="K173">
        <v>3</v>
      </c>
      <c r="L173" t="s">
        <v>39</v>
      </c>
      <c r="M173">
        <v>85</v>
      </c>
      <c r="N173">
        <v>3</v>
      </c>
      <c r="O173">
        <v>1</v>
      </c>
      <c r="P173" t="s">
        <v>47</v>
      </c>
      <c r="Q173" t="s">
        <v>75</v>
      </c>
      <c r="R173" t="s">
        <v>41</v>
      </c>
      <c r="S173">
        <v>2478</v>
      </c>
      <c r="T173" t="str" cm="1">
        <f t="array" ref="T173">_xlfn.IFS(S173&gt;=10000,"High (&gt;10k)",S173&gt;=5000,"Medium (5k-10k)",S173&lt;5000,"Low (&lt;5k)")</f>
        <v>Low (&lt;5k)</v>
      </c>
      <c r="U173">
        <v>20938</v>
      </c>
      <c r="V173">
        <v>1</v>
      </c>
      <c r="W173" t="s">
        <v>35</v>
      </c>
      <c r="X173">
        <v>12</v>
      </c>
      <c r="Y173">
        <v>3</v>
      </c>
      <c r="Z173">
        <v>2</v>
      </c>
      <c r="AA173">
        <v>0</v>
      </c>
      <c r="AB173">
        <v>4</v>
      </c>
      <c r="AC173">
        <v>2</v>
      </c>
      <c r="AD173" t="s">
        <v>81</v>
      </c>
      <c r="AE173">
        <v>4</v>
      </c>
      <c r="AF173" t="str" cm="1">
        <f t="array" ref="AF173">_xlfn.IFS(AE173&gt;=10,"Veteran (10y+)",AE173&gt;=3,"Established (3-10y)",AE173&lt;3,"New Hire (&lt;3y)")</f>
        <v>Established (3-10y)</v>
      </c>
      <c r="AG173">
        <v>3</v>
      </c>
      <c r="AH173">
        <v>1</v>
      </c>
      <c r="AI173">
        <v>2</v>
      </c>
    </row>
    <row r="174" spans="1:35">
      <c r="A174">
        <v>27</v>
      </c>
      <c r="B174" t="str">
        <f t="shared" si="2"/>
        <v>Young Adults</v>
      </c>
      <c r="C174">
        <v>0</v>
      </c>
      <c r="D174" t="s">
        <v>36</v>
      </c>
      <c r="E174">
        <v>1377</v>
      </c>
      <c r="F174" t="s">
        <v>37</v>
      </c>
      <c r="G174">
        <v>2</v>
      </c>
      <c r="H174" t="str" cm="1">
        <f t="array" ref="H174">_xlfn.IFS(G174&gt;15,"Long Commute",G174&gt;5,"Moderate",G174&lt;=5,"Near Office")</f>
        <v>Near Office</v>
      </c>
      <c r="I174" t="s">
        <v>72</v>
      </c>
      <c r="J174" t="s">
        <v>38</v>
      </c>
      <c r="K174">
        <v>4</v>
      </c>
      <c r="L174" t="s">
        <v>46</v>
      </c>
      <c r="M174">
        <v>74</v>
      </c>
      <c r="N174">
        <v>3</v>
      </c>
      <c r="O174">
        <v>2</v>
      </c>
      <c r="P174" t="s">
        <v>40</v>
      </c>
      <c r="Q174" t="s">
        <v>73</v>
      </c>
      <c r="R174" t="s">
        <v>41</v>
      </c>
      <c r="S174">
        <v>4478</v>
      </c>
      <c r="T174" t="str" cm="1">
        <f t="array" ref="T174">_xlfn.IFS(S174&gt;=10000,"High (&gt;10k)",S174&gt;=5000,"Medium (5k-10k)",S174&lt;5000,"Low (&lt;5k)")</f>
        <v>Low (&lt;5k)</v>
      </c>
      <c r="U174">
        <v>5242</v>
      </c>
      <c r="V174">
        <v>1</v>
      </c>
      <c r="W174" t="s">
        <v>35</v>
      </c>
      <c r="X174">
        <v>11</v>
      </c>
      <c r="Y174">
        <v>3</v>
      </c>
      <c r="Z174">
        <v>1</v>
      </c>
      <c r="AA174">
        <v>0</v>
      </c>
      <c r="AB174">
        <v>5</v>
      </c>
      <c r="AC174">
        <v>3</v>
      </c>
      <c r="AD174" t="s">
        <v>74</v>
      </c>
      <c r="AE174">
        <v>5</v>
      </c>
      <c r="AF174" t="str" cm="1">
        <f t="array" ref="AF174">_xlfn.IFS(AE174&gt;=10,"Veteran (10y+)",AE174&gt;=3,"Established (3-10y)",AE174&lt;3,"New Hire (&lt;3y)")</f>
        <v>Established (3-10y)</v>
      </c>
      <c r="AG174">
        <v>4</v>
      </c>
      <c r="AH174">
        <v>0</v>
      </c>
      <c r="AI174">
        <v>4</v>
      </c>
    </row>
    <row r="175" spans="1:35">
      <c r="A175">
        <v>27</v>
      </c>
      <c r="B175" t="str">
        <f t="shared" si="2"/>
        <v>Young Adults</v>
      </c>
      <c r="C175">
        <v>0</v>
      </c>
      <c r="D175" t="s">
        <v>55</v>
      </c>
      <c r="E175">
        <v>210</v>
      </c>
      <c r="F175" t="s">
        <v>37</v>
      </c>
      <c r="G175">
        <v>1</v>
      </c>
      <c r="H175" t="str" cm="1">
        <f t="array" ref="H175">_xlfn.IFS(G175&gt;15,"Long Commute",G175&gt;5,"Moderate",G175&lt;=5,"Near Office")</f>
        <v>Near Office</v>
      </c>
      <c r="I175" t="s">
        <v>78</v>
      </c>
      <c r="J175" t="s">
        <v>59</v>
      </c>
      <c r="K175">
        <v>3</v>
      </c>
      <c r="L175" t="s">
        <v>46</v>
      </c>
      <c r="M175">
        <v>73</v>
      </c>
      <c r="N175">
        <v>3</v>
      </c>
      <c r="O175">
        <v>2</v>
      </c>
      <c r="P175" t="s">
        <v>40</v>
      </c>
      <c r="Q175" t="s">
        <v>75</v>
      </c>
      <c r="R175" t="s">
        <v>48</v>
      </c>
      <c r="S175">
        <v>6349</v>
      </c>
      <c r="T175" t="str" cm="1">
        <f t="array" ref="T175">_xlfn.IFS(S175&gt;=10000,"High (&gt;10k)",S175&gt;=5000,"Medium (5k-10k)",S175&lt;5000,"Low (&lt;5k)")</f>
        <v>Medium (5k-10k)</v>
      </c>
      <c r="U175">
        <v>22107</v>
      </c>
      <c r="V175">
        <v>0</v>
      </c>
      <c r="W175" t="s">
        <v>35</v>
      </c>
      <c r="X175">
        <v>13</v>
      </c>
      <c r="Y175">
        <v>3</v>
      </c>
      <c r="Z175">
        <v>4</v>
      </c>
      <c r="AA175">
        <v>1</v>
      </c>
      <c r="AB175">
        <v>6</v>
      </c>
      <c r="AC175">
        <v>0</v>
      </c>
      <c r="AD175" t="s">
        <v>74</v>
      </c>
      <c r="AE175">
        <v>5</v>
      </c>
      <c r="AF175" t="str" cm="1">
        <f t="array" ref="AF175">_xlfn.IFS(AE175&gt;=10,"Veteran (10y+)",AE175&gt;=3,"Established (3-10y)",AE175&lt;3,"New Hire (&lt;3y)")</f>
        <v>Established (3-10y)</v>
      </c>
      <c r="AG175">
        <v>4</v>
      </c>
      <c r="AH175">
        <v>1</v>
      </c>
      <c r="AI175">
        <v>4</v>
      </c>
    </row>
    <row r="176" spans="1:35">
      <c r="A176">
        <v>27</v>
      </c>
      <c r="B176" t="str">
        <f t="shared" si="2"/>
        <v>Young Adults</v>
      </c>
      <c r="C176">
        <v>0</v>
      </c>
      <c r="D176" t="s">
        <v>36</v>
      </c>
      <c r="E176">
        <v>1130</v>
      </c>
      <c r="F176" t="s">
        <v>37</v>
      </c>
      <c r="G176">
        <v>8</v>
      </c>
      <c r="H176" t="str" cm="1">
        <f t="array" ref="H176">_xlfn.IFS(G176&gt;15,"Long Commute",G176&gt;5,"Moderate",G176&lt;=5,"Near Office")</f>
        <v>Moderate</v>
      </c>
      <c r="I176" t="s">
        <v>83</v>
      </c>
      <c r="J176" t="s">
        <v>59</v>
      </c>
      <c r="K176">
        <v>2</v>
      </c>
      <c r="L176" t="s">
        <v>39</v>
      </c>
      <c r="M176">
        <v>56</v>
      </c>
      <c r="N176">
        <v>3</v>
      </c>
      <c r="O176">
        <v>2</v>
      </c>
      <c r="P176" t="s">
        <v>40</v>
      </c>
      <c r="Q176" t="s">
        <v>75</v>
      </c>
      <c r="R176" t="s">
        <v>48</v>
      </c>
      <c r="S176">
        <v>6214</v>
      </c>
      <c r="T176" t="str" cm="1">
        <f t="array" ref="T176">_xlfn.IFS(S176&gt;=10000,"High (&gt;10k)",S176&gt;=5000,"Medium (5k-10k)",S176&lt;5000,"Low (&lt;5k)")</f>
        <v>Medium (5k-10k)</v>
      </c>
      <c r="U176">
        <v>3415</v>
      </c>
      <c r="V176">
        <v>1</v>
      </c>
      <c r="W176" t="s">
        <v>43</v>
      </c>
      <c r="X176">
        <v>18</v>
      </c>
      <c r="Y176">
        <v>3</v>
      </c>
      <c r="Z176">
        <v>1</v>
      </c>
      <c r="AA176">
        <v>1</v>
      </c>
      <c r="AB176">
        <v>8</v>
      </c>
      <c r="AC176">
        <v>3</v>
      </c>
      <c r="AD176" t="s">
        <v>74</v>
      </c>
      <c r="AE176">
        <v>8</v>
      </c>
      <c r="AF176" t="str" cm="1">
        <f t="array" ref="AF176">_xlfn.IFS(AE176&gt;=10,"Veteran (10y+)",AE176&gt;=3,"Established (3-10y)",AE176&lt;3,"New Hire (&lt;3y)")</f>
        <v>Established (3-10y)</v>
      </c>
      <c r="AG176">
        <v>7</v>
      </c>
      <c r="AH176">
        <v>0</v>
      </c>
      <c r="AI176">
        <v>7</v>
      </c>
    </row>
    <row r="177" spans="1:35">
      <c r="A177">
        <v>27</v>
      </c>
      <c r="B177" t="str">
        <f t="shared" si="2"/>
        <v>Young Adults</v>
      </c>
      <c r="C177">
        <v>0</v>
      </c>
      <c r="D177" t="s">
        <v>36</v>
      </c>
      <c r="E177">
        <v>1469</v>
      </c>
      <c r="F177" t="s">
        <v>45</v>
      </c>
      <c r="G177">
        <v>1</v>
      </c>
      <c r="H177" t="str" cm="1">
        <f t="array" ref="H177">_xlfn.IFS(G177&gt;15,"Long Commute",G177&gt;5,"Moderate",G177&lt;=5,"Near Office")</f>
        <v>Near Office</v>
      </c>
      <c r="I177" t="s">
        <v>76</v>
      </c>
      <c r="J177" t="s">
        <v>51</v>
      </c>
      <c r="K177">
        <v>4</v>
      </c>
      <c r="L177" t="s">
        <v>46</v>
      </c>
      <c r="M177">
        <v>82</v>
      </c>
      <c r="N177">
        <v>3</v>
      </c>
      <c r="O177">
        <v>1</v>
      </c>
      <c r="P177" t="s">
        <v>50</v>
      </c>
      <c r="Q177" t="s">
        <v>75</v>
      </c>
      <c r="R177" t="s">
        <v>52</v>
      </c>
      <c r="S177">
        <v>3816</v>
      </c>
      <c r="T177" t="str" cm="1">
        <f t="array" ref="T177">_xlfn.IFS(S177&gt;=10000,"High (&gt;10k)",S177&gt;=5000,"Medium (5k-10k)",S177&lt;5000,"Low (&lt;5k)")</f>
        <v>Low (&lt;5k)</v>
      </c>
      <c r="U177">
        <v>17881</v>
      </c>
      <c r="V177">
        <v>1</v>
      </c>
      <c r="W177" t="s">
        <v>43</v>
      </c>
      <c r="X177">
        <v>11</v>
      </c>
      <c r="Y177">
        <v>3</v>
      </c>
      <c r="Z177">
        <v>2</v>
      </c>
      <c r="AA177">
        <v>1</v>
      </c>
      <c r="AB177">
        <v>5</v>
      </c>
      <c r="AC177">
        <v>2</v>
      </c>
      <c r="AD177" t="s">
        <v>74</v>
      </c>
      <c r="AE177">
        <v>5</v>
      </c>
      <c r="AF177" t="str" cm="1">
        <f t="array" ref="AF177">_xlfn.IFS(AE177&gt;=10,"Veteran (10y+)",AE177&gt;=3,"Established (3-10y)",AE177&lt;3,"New Hire (&lt;3y)")</f>
        <v>Established (3-10y)</v>
      </c>
      <c r="AG177">
        <v>2</v>
      </c>
      <c r="AH177">
        <v>0</v>
      </c>
      <c r="AI177">
        <v>4</v>
      </c>
    </row>
    <row r="178" spans="1:35">
      <c r="A178">
        <v>27</v>
      </c>
      <c r="B178" t="str">
        <f t="shared" si="2"/>
        <v>Young Adults</v>
      </c>
      <c r="C178">
        <v>0</v>
      </c>
      <c r="D178" t="s">
        <v>36</v>
      </c>
      <c r="E178">
        <v>798</v>
      </c>
      <c r="F178" t="s">
        <v>45</v>
      </c>
      <c r="G178">
        <v>6</v>
      </c>
      <c r="H178" t="str" cm="1">
        <f t="array" ref="H178">_xlfn.IFS(G178&gt;15,"Long Commute",G178&gt;5,"Moderate",G178&lt;=5,"Near Office")</f>
        <v>Moderate</v>
      </c>
      <c r="I178" t="s">
        <v>83</v>
      </c>
      <c r="J178" t="s">
        <v>51</v>
      </c>
      <c r="K178">
        <v>1</v>
      </c>
      <c r="L178" t="s">
        <v>39</v>
      </c>
      <c r="M178">
        <v>66</v>
      </c>
      <c r="N178">
        <v>2</v>
      </c>
      <c r="O178">
        <v>1</v>
      </c>
      <c r="P178" t="s">
        <v>47</v>
      </c>
      <c r="Q178" t="s">
        <v>73</v>
      </c>
      <c r="R178" t="s">
        <v>52</v>
      </c>
      <c r="S178">
        <v>2187</v>
      </c>
      <c r="T178" t="str" cm="1">
        <f t="array" ref="T178">_xlfn.IFS(S178&gt;=10000,"High (&gt;10k)",S178&gt;=5000,"Medium (5k-10k)",S178&lt;5000,"Low (&lt;5k)")</f>
        <v>Low (&lt;5k)</v>
      </c>
      <c r="U178">
        <v>5013</v>
      </c>
      <c r="V178">
        <v>0</v>
      </c>
      <c r="W178" t="s">
        <v>43</v>
      </c>
      <c r="X178">
        <v>12</v>
      </c>
      <c r="Y178">
        <v>3</v>
      </c>
      <c r="Z178">
        <v>3</v>
      </c>
      <c r="AA178">
        <v>2</v>
      </c>
      <c r="AB178">
        <v>6</v>
      </c>
      <c r="AC178">
        <v>5</v>
      </c>
      <c r="AD178" t="s">
        <v>81</v>
      </c>
      <c r="AE178">
        <v>5</v>
      </c>
      <c r="AF178" t="str" cm="1">
        <f t="array" ref="AF178">_xlfn.IFS(AE178&gt;=10,"Veteran (10y+)",AE178&gt;=3,"Established (3-10y)",AE178&lt;3,"New Hire (&lt;3y)")</f>
        <v>Established (3-10y)</v>
      </c>
      <c r="AG178">
        <v>3</v>
      </c>
      <c r="AH178">
        <v>0</v>
      </c>
      <c r="AI178">
        <v>3</v>
      </c>
    </row>
    <row r="179" spans="1:35">
      <c r="A179">
        <v>27</v>
      </c>
      <c r="B179" t="str">
        <f t="shared" si="2"/>
        <v>Young Adults</v>
      </c>
      <c r="C179">
        <v>1</v>
      </c>
      <c r="D179" t="s">
        <v>36</v>
      </c>
      <c r="E179">
        <v>1420</v>
      </c>
      <c r="F179" t="s">
        <v>37</v>
      </c>
      <c r="G179">
        <v>2</v>
      </c>
      <c r="H179" t="str" cm="1">
        <f t="array" ref="H179">_xlfn.IFS(G179&gt;15,"Long Commute",G179&gt;5,"Moderate",G179&lt;=5,"Near Office")</f>
        <v>Near Office</v>
      </c>
      <c r="I179" t="s">
        <v>78</v>
      </c>
      <c r="J179" t="s">
        <v>59</v>
      </c>
      <c r="K179">
        <v>3</v>
      </c>
      <c r="L179" t="s">
        <v>46</v>
      </c>
      <c r="M179">
        <v>85</v>
      </c>
      <c r="N179">
        <v>3</v>
      </c>
      <c r="O179">
        <v>1</v>
      </c>
      <c r="P179" t="s">
        <v>57</v>
      </c>
      <c r="Q179" t="s">
        <v>82</v>
      </c>
      <c r="R179" t="s">
        <v>52</v>
      </c>
      <c r="S179">
        <v>3041</v>
      </c>
      <c r="T179" t="str" cm="1">
        <f t="array" ref="T179">_xlfn.IFS(S179&gt;=10000,"High (&gt;10k)",S179&gt;=5000,"Medium (5k-10k)",S179&lt;5000,"Low (&lt;5k)")</f>
        <v>Low (&lt;5k)</v>
      </c>
      <c r="U179">
        <v>16346</v>
      </c>
      <c r="V179">
        <v>0</v>
      </c>
      <c r="W179" t="s">
        <v>43</v>
      </c>
      <c r="X179">
        <v>11</v>
      </c>
      <c r="Y179">
        <v>3</v>
      </c>
      <c r="Z179">
        <v>2</v>
      </c>
      <c r="AA179">
        <v>1</v>
      </c>
      <c r="AB179">
        <v>5</v>
      </c>
      <c r="AC179">
        <v>3</v>
      </c>
      <c r="AD179" t="s">
        <v>74</v>
      </c>
      <c r="AE179">
        <v>4</v>
      </c>
      <c r="AF179" t="str" cm="1">
        <f t="array" ref="AF179">_xlfn.IFS(AE179&gt;=10,"Veteran (10y+)",AE179&gt;=3,"Established (3-10y)",AE179&lt;3,"New Hire (&lt;3y)")</f>
        <v>Established (3-10y)</v>
      </c>
      <c r="AG179">
        <v>3</v>
      </c>
      <c r="AH179">
        <v>0</v>
      </c>
      <c r="AI179">
        <v>2</v>
      </c>
    </row>
    <row r="180" spans="1:35">
      <c r="A180">
        <v>27</v>
      </c>
      <c r="B180" t="str">
        <f t="shared" si="2"/>
        <v>Young Adults</v>
      </c>
      <c r="C180">
        <v>0</v>
      </c>
      <c r="D180" t="s">
        <v>36</v>
      </c>
      <c r="E180">
        <v>1115</v>
      </c>
      <c r="F180" t="s">
        <v>45</v>
      </c>
      <c r="G180">
        <v>3</v>
      </c>
      <c r="H180" t="str" cm="1">
        <f t="array" ref="H180">_xlfn.IFS(G180&gt;15,"Long Commute",G180&gt;5,"Moderate",G180&lt;=5,"Near Office")</f>
        <v>Near Office</v>
      </c>
      <c r="I180" t="s">
        <v>83</v>
      </c>
      <c r="J180" t="s">
        <v>51</v>
      </c>
      <c r="K180">
        <v>1</v>
      </c>
      <c r="L180" t="s">
        <v>46</v>
      </c>
      <c r="M180">
        <v>54</v>
      </c>
      <c r="N180">
        <v>2</v>
      </c>
      <c r="O180">
        <v>1</v>
      </c>
      <c r="P180" t="s">
        <v>47</v>
      </c>
      <c r="Q180" t="s">
        <v>77</v>
      </c>
      <c r="R180" t="s">
        <v>41</v>
      </c>
      <c r="S180">
        <v>2045</v>
      </c>
      <c r="T180" t="str" cm="1">
        <f t="array" ref="T180">_xlfn.IFS(S180&gt;=10000,"High (&gt;10k)",S180&gt;=5000,"Medium (5k-10k)",S180&lt;5000,"Low (&lt;5k)")</f>
        <v>Low (&lt;5k)</v>
      </c>
      <c r="U180">
        <v>15174</v>
      </c>
      <c r="V180">
        <v>0</v>
      </c>
      <c r="W180" t="s">
        <v>43</v>
      </c>
      <c r="X180">
        <v>13</v>
      </c>
      <c r="Y180">
        <v>3</v>
      </c>
      <c r="Z180">
        <v>4</v>
      </c>
      <c r="AA180">
        <v>0</v>
      </c>
      <c r="AB180">
        <v>5</v>
      </c>
      <c r="AC180">
        <v>0</v>
      </c>
      <c r="AD180" t="s">
        <v>74</v>
      </c>
      <c r="AE180">
        <v>4</v>
      </c>
      <c r="AF180" t="str" cm="1">
        <f t="array" ref="AF180">_xlfn.IFS(AE180&gt;=10,"Veteran (10y+)",AE180&gt;=3,"Established (3-10y)",AE180&lt;3,"New Hire (&lt;3y)")</f>
        <v>Established (3-10y)</v>
      </c>
      <c r="AG180">
        <v>2</v>
      </c>
      <c r="AH180">
        <v>1</v>
      </c>
      <c r="AI180">
        <v>1</v>
      </c>
    </row>
    <row r="181" spans="1:35">
      <c r="A181">
        <v>27</v>
      </c>
      <c r="B181" t="str">
        <f t="shared" si="2"/>
        <v>Young Adults</v>
      </c>
      <c r="C181">
        <v>0</v>
      </c>
      <c r="D181" t="s">
        <v>44</v>
      </c>
      <c r="E181">
        <v>1410</v>
      </c>
      <c r="F181" t="s">
        <v>37</v>
      </c>
      <c r="G181">
        <v>3</v>
      </c>
      <c r="H181" t="str" cm="1">
        <f t="array" ref="H181">_xlfn.IFS(G181&gt;15,"Long Commute",G181&gt;5,"Moderate",G181&lt;=5,"Near Office")</f>
        <v>Near Office</v>
      </c>
      <c r="I181" t="s">
        <v>78</v>
      </c>
      <c r="J181" t="s">
        <v>51</v>
      </c>
      <c r="K181">
        <v>4</v>
      </c>
      <c r="L181" t="s">
        <v>39</v>
      </c>
      <c r="M181">
        <v>71</v>
      </c>
      <c r="N181">
        <v>4</v>
      </c>
      <c r="O181">
        <v>2</v>
      </c>
      <c r="P181" t="s">
        <v>40</v>
      </c>
      <c r="Q181" t="s">
        <v>77</v>
      </c>
      <c r="R181" t="s">
        <v>52</v>
      </c>
      <c r="S181">
        <v>4647</v>
      </c>
      <c r="T181" t="str" cm="1">
        <f t="array" ref="T181">_xlfn.IFS(S181&gt;=10000,"High (&gt;10k)",S181&gt;=5000,"Medium (5k-10k)",S181&lt;5000,"Low (&lt;5k)")</f>
        <v>Low (&lt;5k)</v>
      </c>
      <c r="U181">
        <v>16673</v>
      </c>
      <c r="V181">
        <v>1</v>
      </c>
      <c r="W181" t="s">
        <v>35</v>
      </c>
      <c r="X181">
        <v>20</v>
      </c>
      <c r="Y181">
        <v>4</v>
      </c>
      <c r="Z181">
        <v>2</v>
      </c>
      <c r="AA181">
        <v>2</v>
      </c>
      <c r="AB181">
        <v>6</v>
      </c>
      <c r="AC181">
        <v>3</v>
      </c>
      <c r="AD181" t="s">
        <v>74</v>
      </c>
      <c r="AE181">
        <v>6</v>
      </c>
      <c r="AF181" t="str" cm="1">
        <f t="array" ref="AF181">_xlfn.IFS(AE181&gt;=10,"Veteran (10y+)",AE181&gt;=3,"Established (3-10y)",AE181&lt;3,"New Hire (&lt;3y)")</f>
        <v>Established (3-10y)</v>
      </c>
      <c r="AG181">
        <v>5</v>
      </c>
      <c r="AH181">
        <v>0</v>
      </c>
      <c r="AI181">
        <v>4</v>
      </c>
    </row>
    <row r="182" spans="1:35">
      <c r="A182">
        <v>27</v>
      </c>
      <c r="B182" t="str">
        <f t="shared" si="2"/>
        <v>Young Adults</v>
      </c>
      <c r="C182">
        <v>0</v>
      </c>
      <c r="D182" t="s">
        <v>36</v>
      </c>
      <c r="E182">
        <v>608</v>
      </c>
      <c r="F182" t="s">
        <v>45</v>
      </c>
      <c r="G182">
        <v>1</v>
      </c>
      <c r="H182" t="str" cm="1">
        <f t="array" ref="H182">_xlfn.IFS(G182&gt;15,"Long Commute",G182&gt;5,"Moderate",G182&lt;=5,"Near Office")</f>
        <v>Near Office</v>
      </c>
      <c r="I182" t="s">
        <v>76</v>
      </c>
      <c r="J182" t="s">
        <v>38</v>
      </c>
      <c r="K182">
        <v>3</v>
      </c>
      <c r="L182" t="s">
        <v>39</v>
      </c>
      <c r="M182">
        <v>68</v>
      </c>
      <c r="N182">
        <v>3</v>
      </c>
      <c r="O182">
        <v>3</v>
      </c>
      <c r="P182" t="s">
        <v>53</v>
      </c>
      <c r="Q182" t="s">
        <v>82</v>
      </c>
      <c r="R182" t="s">
        <v>48</v>
      </c>
      <c r="S182">
        <v>7412</v>
      </c>
      <c r="T182" t="str" cm="1">
        <f t="array" ref="T182">_xlfn.IFS(S182&gt;=10000,"High (&gt;10k)",S182&gt;=5000,"Medium (5k-10k)",S182&lt;5000,"Low (&lt;5k)")</f>
        <v>Medium (5k-10k)</v>
      </c>
      <c r="U182">
        <v>6009</v>
      </c>
      <c r="V182">
        <v>1</v>
      </c>
      <c r="W182" t="s">
        <v>43</v>
      </c>
      <c r="X182">
        <v>11</v>
      </c>
      <c r="Y182">
        <v>3</v>
      </c>
      <c r="Z182">
        <v>4</v>
      </c>
      <c r="AA182">
        <v>0</v>
      </c>
      <c r="AB182">
        <v>9</v>
      </c>
      <c r="AC182">
        <v>3</v>
      </c>
      <c r="AD182" t="s">
        <v>74</v>
      </c>
      <c r="AE182">
        <v>9</v>
      </c>
      <c r="AF182" t="str" cm="1">
        <f t="array" ref="AF182">_xlfn.IFS(AE182&gt;=10,"Veteran (10y+)",AE182&gt;=3,"Established (3-10y)",AE182&lt;3,"New Hire (&lt;3y)")</f>
        <v>Established (3-10y)</v>
      </c>
      <c r="AG182">
        <v>7</v>
      </c>
      <c r="AH182">
        <v>0</v>
      </c>
      <c r="AI182">
        <v>7</v>
      </c>
    </row>
    <row r="183" spans="1:35">
      <c r="A183">
        <v>27</v>
      </c>
      <c r="B183" t="str">
        <f t="shared" si="2"/>
        <v>Young Adults</v>
      </c>
      <c r="C183">
        <v>0</v>
      </c>
      <c r="D183" t="s">
        <v>44</v>
      </c>
      <c r="E183">
        <v>294</v>
      </c>
      <c r="F183" t="s">
        <v>45</v>
      </c>
      <c r="G183">
        <v>10</v>
      </c>
      <c r="H183" t="str" cm="1">
        <f t="array" ref="H183">_xlfn.IFS(G183&gt;15,"Long Commute",G183&gt;5,"Moderate",G183&lt;=5,"Near Office")</f>
        <v>Moderate</v>
      </c>
      <c r="I183" t="s">
        <v>76</v>
      </c>
      <c r="J183" t="s">
        <v>38</v>
      </c>
      <c r="K183">
        <v>4</v>
      </c>
      <c r="L183" t="s">
        <v>46</v>
      </c>
      <c r="M183">
        <v>32</v>
      </c>
      <c r="N183">
        <v>3</v>
      </c>
      <c r="O183">
        <v>3</v>
      </c>
      <c r="P183" t="s">
        <v>53</v>
      </c>
      <c r="Q183" t="s">
        <v>82</v>
      </c>
      <c r="R183" t="s">
        <v>52</v>
      </c>
      <c r="S183">
        <v>8793</v>
      </c>
      <c r="T183" t="str" cm="1">
        <f t="array" ref="T183">_xlfn.IFS(S183&gt;=10000,"High (&gt;10k)",S183&gt;=5000,"Medium (5k-10k)",S183&lt;5000,"Low (&lt;5k)")</f>
        <v>Medium (5k-10k)</v>
      </c>
      <c r="U183">
        <v>4809</v>
      </c>
      <c r="V183">
        <v>1</v>
      </c>
      <c r="W183" t="s">
        <v>43</v>
      </c>
      <c r="X183">
        <v>21</v>
      </c>
      <c r="Y183">
        <v>4</v>
      </c>
      <c r="Z183">
        <v>3</v>
      </c>
      <c r="AA183">
        <v>2</v>
      </c>
      <c r="AB183">
        <v>9</v>
      </c>
      <c r="AC183">
        <v>4</v>
      </c>
      <c r="AD183" t="s">
        <v>81</v>
      </c>
      <c r="AE183">
        <v>9</v>
      </c>
      <c r="AF183" t="str" cm="1">
        <f t="array" ref="AF183">_xlfn.IFS(AE183&gt;=10,"Veteran (10y+)",AE183&gt;=3,"Established (3-10y)",AE183&lt;3,"New Hire (&lt;3y)")</f>
        <v>Established (3-10y)</v>
      </c>
      <c r="AG183">
        <v>7</v>
      </c>
      <c r="AH183">
        <v>1</v>
      </c>
      <c r="AI183">
        <v>7</v>
      </c>
    </row>
    <row r="184" spans="1:35">
      <c r="A184">
        <v>27</v>
      </c>
      <c r="B184" t="str">
        <f t="shared" si="2"/>
        <v>Young Adults</v>
      </c>
      <c r="C184">
        <v>0</v>
      </c>
      <c r="D184" t="s">
        <v>36</v>
      </c>
      <c r="E184">
        <v>975</v>
      </c>
      <c r="F184" t="s">
        <v>45</v>
      </c>
      <c r="G184">
        <v>7</v>
      </c>
      <c r="H184" t="str" cm="1">
        <f t="array" ref="H184">_xlfn.IFS(G184&gt;15,"Long Commute",G184&gt;5,"Moderate",G184&lt;=5,"Near Office")</f>
        <v>Moderate</v>
      </c>
      <c r="I184" t="s">
        <v>72</v>
      </c>
      <c r="J184" t="s">
        <v>51</v>
      </c>
      <c r="K184">
        <v>4</v>
      </c>
      <c r="L184" t="s">
        <v>39</v>
      </c>
      <c r="M184">
        <v>55</v>
      </c>
      <c r="N184">
        <v>2</v>
      </c>
      <c r="O184">
        <v>2</v>
      </c>
      <c r="P184" t="s">
        <v>54</v>
      </c>
      <c r="Q184" t="s">
        <v>82</v>
      </c>
      <c r="R184" t="s">
        <v>41</v>
      </c>
      <c r="S184">
        <v>6811</v>
      </c>
      <c r="T184" t="str" cm="1">
        <f t="array" ref="T184">_xlfn.IFS(S184&gt;=10000,"High (&gt;10k)",S184&gt;=5000,"Medium (5k-10k)",S184&lt;5000,"Low (&lt;5k)")</f>
        <v>Medium (5k-10k)</v>
      </c>
      <c r="U184">
        <v>23398</v>
      </c>
      <c r="V184">
        <v>8</v>
      </c>
      <c r="W184" t="s">
        <v>43</v>
      </c>
      <c r="X184">
        <v>19</v>
      </c>
      <c r="Y184">
        <v>3</v>
      </c>
      <c r="Z184">
        <v>1</v>
      </c>
      <c r="AA184">
        <v>0</v>
      </c>
      <c r="AB184">
        <v>9</v>
      </c>
      <c r="AC184">
        <v>2</v>
      </c>
      <c r="AD184" t="s">
        <v>80</v>
      </c>
      <c r="AE184">
        <v>7</v>
      </c>
      <c r="AF184" t="str" cm="1">
        <f t="array" ref="AF184">_xlfn.IFS(AE184&gt;=10,"Veteran (10y+)",AE184&gt;=3,"Established (3-10y)",AE184&lt;3,"New Hire (&lt;3y)")</f>
        <v>Established (3-10y)</v>
      </c>
      <c r="AG184">
        <v>6</v>
      </c>
      <c r="AH184">
        <v>0</v>
      </c>
      <c r="AI184">
        <v>7</v>
      </c>
    </row>
    <row r="185" spans="1:35">
      <c r="A185">
        <v>27</v>
      </c>
      <c r="B185" t="str">
        <f t="shared" si="2"/>
        <v>Young Adults</v>
      </c>
      <c r="C185">
        <v>0</v>
      </c>
      <c r="D185" t="s">
        <v>44</v>
      </c>
      <c r="E185">
        <v>829</v>
      </c>
      <c r="F185" t="s">
        <v>37</v>
      </c>
      <c r="G185">
        <v>8</v>
      </c>
      <c r="H185" t="str" cm="1">
        <f t="array" ref="H185">_xlfn.IFS(G185&gt;15,"Long Commute",G185&gt;5,"Moderate",G185&lt;=5,"Near Office")</f>
        <v>Moderate</v>
      </c>
      <c r="I185" t="s">
        <v>78</v>
      </c>
      <c r="J185" t="s">
        <v>59</v>
      </c>
      <c r="K185">
        <v>3</v>
      </c>
      <c r="L185" t="s">
        <v>46</v>
      </c>
      <c r="M185">
        <v>84</v>
      </c>
      <c r="N185">
        <v>3</v>
      </c>
      <c r="O185">
        <v>2</v>
      </c>
      <c r="P185" t="s">
        <v>40</v>
      </c>
      <c r="Q185" t="s">
        <v>77</v>
      </c>
      <c r="R185" t="s">
        <v>48</v>
      </c>
      <c r="S185">
        <v>4342</v>
      </c>
      <c r="T185" t="str" cm="1">
        <f t="array" ref="T185">_xlfn.IFS(S185&gt;=10000,"High (&gt;10k)",S185&gt;=5000,"Medium (5k-10k)",S185&lt;5000,"Low (&lt;5k)")</f>
        <v>Low (&lt;5k)</v>
      </c>
      <c r="U185">
        <v>24008</v>
      </c>
      <c r="V185">
        <v>0</v>
      </c>
      <c r="W185" t="s">
        <v>43</v>
      </c>
      <c r="X185">
        <v>19</v>
      </c>
      <c r="Y185">
        <v>3</v>
      </c>
      <c r="Z185">
        <v>2</v>
      </c>
      <c r="AA185">
        <v>1</v>
      </c>
      <c r="AB185">
        <v>5</v>
      </c>
      <c r="AC185">
        <v>3</v>
      </c>
      <c r="AD185" t="s">
        <v>74</v>
      </c>
      <c r="AE185">
        <v>4</v>
      </c>
      <c r="AF185" t="str" cm="1">
        <f t="array" ref="AF185">_xlfn.IFS(AE185&gt;=10,"Veteran (10y+)",AE185&gt;=3,"Established (3-10y)",AE185&lt;3,"New Hire (&lt;3y)")</f>
        <v>Established (3-10y)</v>
      </c>
      <c r="AG185">
        <v>2</v>
      </c>
      <c r="AH185">
        <v>1</v>
      </c>
      <c r="AI185">
        <v>1</v>
      </c>
    </row>
    <row r="186" spans="1:35">
      <c r="A186">
        <v>27</v>
      </c>
      <c r="B186" t="str">
        <f t="shared" si="2"/>
        <v>Young Adults</v>
      </c>
      <c r="C186">
        <v>0</v>
      </c>
      <c r="D186" t="s">
        <v>36</v>
      </c>
      <c r="E186">
        <v>269</v>
      </c>
      <c r="F186" t="s">
        <v>45</v>
      </c>
      <c r="G186">
        <v>5</v>
      </c>
      <c r="H186" t="str" cm="1">
        <f t="array" ref="H186">_xlfn.IFS(G186&gt;15,"Long Commute",G186&gt;5,"Moderate",G186&lt;=5,"Near Office")</f>
        <v>Near Office</v>
      </c>
      <c r="I186" t="s">
        <v>78</v>
      </c>
      <c r="J186" t="s">
        <v>60</v>
      </c>
      <c r="K186">
        <v>3</v>
      </c>
      <c r="L186" t="s">
        <v>46</v>
      </c>
      <c r="M186">
        <v>42</v>
      </c>
      <c r="N186">
        <v>2</v>
      </c>
      <c r="O186">
        <v>3</v>
      </c>
      <c r="P186" t="s">
        <v>58</v>
      </c>
      <c r="Q186" t="s">
        <v>77</v>
      </c>
      <c r="R186" t="s">
        <v>52</v>
      </c>
      <c r="S186">
        <v>12808</v>
      </c>
      <c r="T186" t="str" cm="1">
        <f t="array" ref="T186">_xlfn.IFS(S186&gt;=10000,"High (&gt;10k)",S186&gt;=5000,"Medium (5k-10k)",S186&lt;5000,"Low (&lt;5k)")</f>
        <v>High (&gt;10k)</v>
      </c>
      <c r="U186">
        <v>8842</v>
      </c>
      <c r="V186">
        <v>1</v>
      </c>
      <c r="W186" t="s">
        <v>35</v>
      </c>
      <c r="X186">
        <v>16</v>
      </c>
      <c r="Y186">
        <v>3</v>
      </c>
      <c r="Z186">
        <v>2</v>
      </c>
      <c r="AA186">
        <v>1</v>
      </c>
      <c r="AB186">
        <v>9</v>
      </c>
      <c r="AC186">
        <v>3</v>
      </c>
      <c r="AD186" t="s">
        <v>74</v>
      </c>
      <c r="AE186">
        <v>9</v>
      </c>
      <c r="AF186" t="str" cm="1">
        <f t="array" ref="AF186">_xlfn.IFS(AE186&gt;=10,"Veteran (10y+)",AE186&gt;=3,"Established (3-10y)",AE186&lt;3,"New Hire (&lt;3y)")</f>
        <v>Established (3-10y)</v>
      </c>
      <c r="AG186">
        <v>8</v>
      </c>
      <c r="AH186">
        <v>0</v>
      </c>
      <c r="AI186">
        <v>8</v>
      </c>
    </row>
    <row r="187" spans="1:35">
      <c r="A187">
        <v>27</v>
      </c>
      <c r="B187" t="str">
        <f t="shared" si="2"/>
        <v>Young Adults</v>
      </c>
      <c r="C187">
        <v>0</v>
      </c>
      <c r="D187" t="s">
        <v>55</v>
      </c>
      <c r="E187">
        <v>443</v>
      </c>
      <c r="F187" t="s">
        <v>45</v>
      </c>
      <c r="G187">
        <v>3</v>
      </c>
      <c r="H187" t="str" cm="1">
        <f t="array" ref="H187">_xlfn.IFS(G187&gt;15,"Long Commute",G187&gt;5,"Moderate",G187&lt;=5,"Near Office")</f>
        <v>Near Office</v>
      </c>
      <c r="I187" t="s">
        <v>72</v>
      </c>
      <c r="J187" t="s">
        <v>51</v>
      </c>
      <c r="K187">
        <v>4</v>
      </c>
      <c r="L187" t="s">
        <v>46</v>
      </c>
      <c r="M187">
        <v>50</v>
      </c>
      <c r="N187">
        <v>3</v>
      </c>
      <c r="O187">
        <v>1</v>
      </c>
      <c r="P187" t="s">
        <v>47</v>
      </c>
      <c r="Q187" t="s">
        <v>77</v>
      </c>
      <c r="R187" t="s">
        <v>48</v>
      </c>
      <c r="S187">
        <v>1706</v>
      </c>
      <c r="T187" t="str" cm="1">
        <f t="array" ref="T187">_xlfn.IFS(S187&gt;=10000,"High (&gt;10k)",S187&gt;=5000,"Medium (5k-10k)",S187&lt;5000,"Low (&lt;5k)")</f>
        <v>Low (&lt;5k)</v>
      </c>
      <c r="U187">
        <v>16571</v>
      </c>
      <c r="V187">
        <v>1</v>
      </c>
      <c r="W187" t="s">
        <v>43</v>
      </c>
      <c r="X187">
        <v>11</v>
      </c>
      <c r="Y187">
        <v>3</v>
      </c>
      <c r="Z187">
        <v>3</v>
      </c>
      <c r="AA187">
        <v>3</v>
      </c>
      <c r="AB187">
        <v>0</v>
      </c>
      <c r="AC187">
        <v>6</v>
      </c>
      <c r="AD187" t="s">
        <v>81</v>
      </c>
      <c r="AE187">
        <v>0</v>
      </c>
      <c r="AF187" t="str" cm="1">
        <f t="array" ref="AF187">_xlfn.IFS(AE187&gt;=10,"Veteran (10y+)",AE187&gt;=3,"Established (3-10y)",AE187&lt;3,"New Hire (&lt;3y)")</f>
        <v>New Hire (&lt;3y)</v>
      </c>
      <c r="AG187">
        <v>0</v>
      </c>
      <c r="AH187">
        <v>0</v>
      </c>
      <c r="AI187">
        <v>0</v>
      </c>
    </row>
    <row r="188" spans="1:35">
      <c r="A188">
        <v>27</v>
      </c>
      <c r="B188" t="str">
        <f t="shared" si="2"/>
        <v>Young Adults</v>
      </c>
      <c r="C188">
        <v>0</v>
      </c>
      <c r="D188" t="s">
        <v>36</v>
      </c>
      <c r="E188">
        <v>618</v>
      </c>
      <c r="F188" t="s">
        <v>45</v>
      </c>
      <c r="G188">
        <v>4</v>
      </c>
      <c r="H188" t="str" cm="1">
        <f t="array" ref="H188">_xlfn.IFS(G188&gt;15,"Long Commute",G188&gt;5,"Moderate",G188&lt;=5,"Near Office")</f>
        <v>Near Office</v>
      </c>
      <c r="I188" t="s">
        <v>72</v>
      </c>
      <c r="J188" t="s">
        <v>38</v>
      </c>
      <c r="K188">
        <v>2</v>
      </c>
      <c r="L188" t="s">
        <v>39</v>
      </c>
      <c r="M188">
        <v>76</v>
      </c>
      <c r="N188">
        <v>3</v>
      </c>
      <c r="O188">
        <v>1</v>
      </c>
      <c r="P188" t="s">
        <v>47</v>
      </c>
      <c r="Q188" t="s">
        <v>73</v>
      </c>
      <c r="R188" t="s">
        <v>41</v>
      </c>
      <c r="S188">
        <v>2318</v>
      </c>
      <c r="T188" t="str" cm="1">
        <f t="array" ref="T188">_xlfn.IFS(S188&gt;=10000,"High (&gt;10k)",S188&gt;=5000,"Medium (5k-10k)",S188&lt;5000,"Low (&lt;5k)")</f>
        <v>Low (&lt;5k)</v>
      </c>
      <c r="U188">
        <v>17808</v>
      </c>
      <c r="V188">
        <v>1</v>
      </c>
      <c r="W188" t="s">
        <v>43</v>
      </c>
      <c r="X188">
        <v>19</v>
      </c>
      <c r="Y188">
        <v>3</v>
      </c>
      <c r="Z188">
        <v>3</v>
      </c>
      <c r="AA188">
        <v>0</v>
      </c>
      <c r="AB188">
        <v>1</v>
      </c>
      <c r="AC188">
        <v>2</v>
      </c>
      <c r="AD188" t="s">
        <v>74</v>
      </c>
      <c r="AE188">
        <v>1</v>
      </c>
      <c r="AF188" t="str" cm="1">
        <f t="array" ref="AF188">_xlfn.IFS(AE188&gt;=10,"Veteran (10y+)",AE188&gt;=3,"Established (3-10y)",AE188&lt;3,"New Hire (&lt;3y)")</f>
        <v>New Hire (&lt;3y)</v>
      </c>
      <c r="AG188">
        <v>1</v>
      </c>
      <c r="AH188">
        <v>0</v>
      </c>
      <c r="AI188">
        <v>0</v>
      </c>
    </row>
    <row r="189" spans="1:35">
      <c r="A189">
        <v>27</v>
      </c>
      <c r="B189" t="str">
        <f t="shared" si="2"/>
        <v>Young Adults</v>
      </c>
      <c r="C189">
        <v>0</v>
      </c>
      <c r="D189" t="s">
        <v>36</v>
      </c>
      <c r="E189">
        <v>1134</v>
      </c>
      <c r="F189" t="s">
        <v>45</v>
      </c>
      <c r="G189">
        <v>16</v>
      </c>
      <c r="H189" t="str" cm="1">
        <f t="array" ref="H189">_xlfn.IFS(G189&gt;15,"Long Commute",G189&gt;5,"Moderate",G189&lt;=5,"Near Office")</f>
        <v>Long Commute</v>
      </c>
      <c r="I189" t="s">
        <v>83</v>
      </c>
      <c r="J189" t="s">
        <v>60</v>
      </c>
      <c r="K189">
        <v>3</v>
      </c>
      <c r="L189" t="s">
        <v>39</v>
      </c>
      <c r="M189">
        <v>37</v>
      </c>
      <c r="N189">
        <v>3</v>
      </c>
      <c r="O189">
        <v>1</v>
      </c>
      <c r="P189" t="s">
        <v>50</v>
      </c>
      <c r="Q189" t="s">
        <v>75</v>
      </c>
      <c r="R189" t="s">
        <v>48</v>
      </c>
      <c r="S189">
        <v>2811</v>
      </c>
      <c r="T189" t="str" cm="1">
        <f t="array" ref="T189">_xlfn.IFS(S189&gt;=10000,"High (&gt;10k)",S189&gt;=5000,"Medium (5k-10k)",S189&lt;5000,"Low (&lt;5k)")</f>
        <v>Low (&lt;5k)</v>
      </c>
      <c r="U189">
        <v>12086</v>
      </c>
      <c r="V189">
        <v>9</v>
      </c>
      <c r="W189" t="s">
        <v>43</v>
      </c>
      <c r="X189">
        <v>14</v>
      </c>
      <c r="Y189">
        <v>3</v>
      </c>
      <c r="Z189">
        <v>2</v>
      </c>
      <c r="AA189">
        <v>1</v>
      </c>
      <c r="AB189">
        <v>4</v>
      </c>
      <c r="AC189">
        <v>2</v>
      </c>
      <c r="AD189" t="s">
        <v>74</v>
      </c>
      <c r="AE189">
        <v>2</v>
      </c>
      <c r="AF189" t="str" cm="1">
        <f t="array" ref="AF189">_xlfn.IFS(AE189&gt;=10,"Veteran (10y+)",AE189&gt;=3,"Established (3-10y)",AE189&lt;3,"New Hire (&lt;3y)")</f>
        <v>New Hire (&lt;3y)</v>
      </c>
      <c r="AG189">
        <v>2</v>
      </c>
      <c r="AH189">
        <v>2</v>
      </c>
      <c r="AI189">
        <v>2</v>
      </c>
    </row>
    <row r="190" spans="1:35">
      <c r="A190">
        <v>27</v>
      </c>
      <c r="B190" t="str">
        <f t="shared" si="2"/>
        <v>Young Adults</v>
      </c>
      <c r="C190">
        <v>0</v>
      </c>
      <c r="D190" t="s">
        <v>36</v>
      </c>
      <c r="E190">
        <v>1055</v>
      </c>
      <c r="F190" t="s">
        <v>45</v>
      </c>
      <c r="G190">
        <v>2</v>
      </c>
      <c r="H190" t="str" cm="1">
        <f t="array" ref="H190">_xlfn.IFS(G190&gt;15,"Long Commute",G190&gt;5,"Moderate",G190&lt;=5,"Near Office")</f>
        <v>Near Office</v>
      </c>
      <c r="I190" t="s">
        <v>83</v>
      </c>
      <c r="J190" t="s">
        <v>38</v>
      </c>
      <c r="K190">
        <v>1</v>
      </c>
      <c r="L190" t="s">
        <v>39</v>
      </c>
      <c r="M190">
        <v>47</v>
      </c>
      <c r="N190">
        <v>3</v>
      </c>
      <c r="O190">
        <v>2</v>
      </c>
      <c r="P190" t="s">
        <v>53</v>
      </c>
      <c r="Q190" t="s">
        <v>77</v>
      </c>
      <c r="R190" t="s">
        <v>48</v>
      </c>
      <c r="S190">
        <v>4227</v>
      </c>
      <c r="T190" t="str" cm="1">
        <f t="array" ref="T190">_xlfn.IFS(S190&gt;=10000,"High (&gt;10k)",S190&gt;=5000,"Medium (5k-10k)",S190&lt;5000,"Low (&lt;5k)")</f>
        <v>Low (&lt;5k)</v>
      </c>
      <c r="U190">
        <v>4658</v>
      </c>
      <c r="V190">
        <v>0</v>
      </c>
      <c r="W190" t="s">
        <v>43</v>
      </c>
      <c r="X190">
        <v>18</v>
      </c>
      <c r="Y190">
        <v>3</v>
      </c>
      <c r="Z190">
        <v>2</v>
      </c>
      <c r="AA190">
        <v>1</v>
      </c>
      <c r="AB190">
        <v>4</v>
      </c>
      <c r="AC190">
        <v>2</v>
      </c>
      <c r="AD190" t="s">
        <v>74</v>
      </c>
      <c r="AE190">
        <v>3</v>
      </c>
      <c r="AF190" t="str" cm="1">
        <f t="array" ref="AF190">_xlfn.IFS(AE190&gt;=10,"Veteran (10y+)",AE190&gt;=3,"Established (3-10y)",AE190&lt;3,"New Hire (&lt;3y)")</f>
        <v>Established (3-10y)</v>
      </c>
      <c r="AG190">
        <v>2</v>
      </c>
      <c r="AH190">
        <v>2</v>
      </c>
      <c r="AI190">
        <v>2</v>
      </c>
    </row>
    <row r="191" spans="1:35">
      <c r="A191">
        <v>27</v>
      </c>
      <c r="B191" t="str">
        <f t="shared" si="2"/>
        <v>Young Adults</v>
      </c>
      <c r="C191">
        <v>0</v>
      </c>
      <c r="D191" t="s">
        <v>55</v>
      </c>
      <c r="E191">
        <v>1277</v>
      </c>
      <c r="F191" t="s">
        <v>45</v>
      </c>
      <c r="G191">
        <v>8</v>
      </c>
      <c r="H191" t="str" cm="1">
        <f t="array" ref="H191">_xlfn.IFS(G191&gt;15,"Long Commute",G191&gt;5,"Moderate",G191&lt;=5,"Near Office")</f>
        <v>Moderate</v>
      </c>
      <c r="I191" t="s">
        <v>84</v>
      </c>
      <c r="J191" t="s">
        <v>38</v>
      </c>
      <c r="K191">
        <v>1</v>
      </c>
      <c r="L191" t="s">
        <v>46</v>
      </c>
      <c r="M191">
        <v>87</v>
      </c>
      <c r="N191">
        <v>1</v>
      </c>
      <c r="O191">
        <v>1</v>
      </c>
      <c r="P191" t="s">
        <v>50</v>
      </c>
      <c r="Q191" t="s">
        <v>73</v>
      </c>
      <c r="R191" t="s">
        <v>48</v>
      </c>
      <c r="S191">
        <v>4621</v>
      </c>
      <c r="T191" t="str" cm="1">
        <f t="array" ref="T191">_xlfn.IFS(S191&gt;=10000,"High (&gt;10k)",S191&gt;=5000,"Medium (5k-10k)",S191&lt;5000,"Low (&lt;5k)")</f>
        <v>Low (&lt;5k)</v>
      </c>
      <c r="U191">
        <v>5869</v>
      </c>
      <c r="V191">
        <v>1</v>
      </c>
      <c r="W191" t="s">
        <v>43</v>
      </c>
      <c r="X191">
        <v>19</v>
      </c>
      <c r="Y191">
        <v>3</v>
      </c>
      <c r="Z191">
        <v>4</v>
      </c>
      <c r="AA191">
        <v>3</v>
      </c>
      <c r="AB191">
        <v>3</v>
      </c>
      <c r="AC191">
        <v>4</v>
      </c>
      <c r="AD191" t="s">
        <v>74</v>
      </c>
      <c r="AE191">
        <v>3</v>
      </c>
      <c r="AF191" t="str" cm="1">
        <f t="array" ref="AF191">_xlfn.IFS(AE191&gt;=10,"Veteran (10y+)",AE191&gt;=3,"Established (3-10y)",AE191&lt;3,"New Hire (&lt;3y)")</f>
        <v>Established (3-10y)</v>
      </c>
      <c r="AG191">
        <v>2</v>
      </c>
      <c r="AH191">
        <v>1</v>
      </c>
      <c r="AI191">
        <v>2</v>
      </c>
    </row>
    <row r="192" spans="1:35">
      <c r="A192">
        <v>27</v>
      </c>
      <c r="B192" t="str">
        <f t="shared" si="2"/>
        <v>Young Adults</v>
      </c>
      <c r="C192">
        <v>0</v>
      </c>
      <c r="D192" t="s">
        <v>36</v>
      </c>
      <c r="E192">
        <v>199</v>
      </c>
      <c r="F192" t="s">
        <v>45</v>
      </c>
      <c r="G192">
        <v>6</v>
      </c>
      <c r="H192" t="str" cm="1">
        <f t="array" ref="H192">_xlfn.IFS(G192&gt;15,"Long Commute",G192&gt;5,"Moderate",G192&lt;=5,"Near Office")</f>
        <v>Moderate</v>
      </c>
      <c r="I192" t="s">
        <v>72</v>
      </c>
      <c r="J192" t="s">
        <v>38</v>
      </c>
      <c r="K192">
        <v>4</v>
      </c>
      <c r="L192" t="s">
        <v>46</v>
      </c>
      <c r="M192">
        <v>55</v>
      </c>
      <c r="N192">
        <v>2</v>
      </c>
      <c r="O192">
        <v>1</v>
      </c>
      <c r="P192" t="s">
        <v>47</v>
      </c>
      <c r="Q192" t="s">
        <v>73</v>
      </c>
      <c r="R192" t="s">
        <v>48</v>
      </c>
      <c r="S192">
        <v>2539</v>
      </c>
      <c r="T192" t="str" cm="1">
        <f t="array" ref="T192">_xlfn.IFS(S192&gt;=10000,"High (&gt;10k)",S192&gt;=5000,"Medium (5k-10k)",S192&lt;5000,"Low (&lt;5k)")</f>
        <v>Low (&lt;5k)</v>
      </c>
      <c r="U192">
        <v>7950</v>
      </c>
      <c r="V192">
        <v>1</v>
      </c>
      <c r="W192" t="s">
        <v>43</v>
      </c>
      <c r="X192">
        <v>13</v>
      </c>
      <c r="Y192">
        <v>3</v>
      </c>
      <c r="Z192">
        <v>3</v>
      </c>
      <c r="AA192">
        <v>1</v>
      </c>
      <c r="AB192">
        <v>4</v>
      </c>
      <c r="AC192">
        <v>0</v>
      </c>
      <c r="AD192" t="s">
        <v>74</v>
      </c>
      <c r="AE192">
        <v>4</v>
      </c>
      <c r="AF192" t="str" cm="1">
        <f t="array" ref="AF192">_xlfn.IFS(AE192&gt;=10,"Veteran (10y+)",AE192&gt;=3,"Established (3-10y)",AE192&lt;3,"New Hire (&lt;3y)")</f>
        <v>Established (3-10y)</v>
      </c>
      <c r="AG192">
        <v>2</v>
      </c>
      <c r="AH192">
        <v>2</v>
      </c>
      <c r="AI192">
        <v>2</v>
      </c>
    </row>
    <row r="193" spans="1:35">
      <c r="A193">
        <v>27</v>
      </c>
      <c r="B193" t="str">
        <f t="shared" si="2"/>
        <v>Young Adults</v>
      </c>
      <c r="C193">
        <v>0</v>
      </c>
      <c r="D193" t="s">
        <v>36</v>
      </c>
      <c r="E193">
        <v>1103</v>
      </c>
      <c r="F193" t="s">
        <v>45</v>
      </c>
      <c r="G193">
        <v>14</v>
      </c>
      <c r="H193" t="str" cm="1">
        <f t="array" ref="H193">_xlfn.IFS(G193&gt;15,"Long Commute",G193&gt;5,"Moderate",G193&lt;=5,"Near Office")</f>
        <v>Moderate</v>
      </c>
      <c r="I193" t="s">
        <v>72</v>
      </c>
      <c r="J193" t="s">
        <v>38</v>
      </c>
      <c r="K193">
        <v>1</v>
      </c>
      <c r="L193" t="s">
        <v>46</v>
      </c>
      <c r="M193">
        <v>42</v>
      </c>
      <c r="N193">
        <v>3</v>
      </c>
      <c r="O193">
        <v>1</v>
      </c>
      <c r="P193" t="s">
        <v>47</v>
      </c>
      <c r="Q193" t="s">
        <v>82</v>
      </c>
      <c r="R193" t="s">
        <v>48</v>
      </c>
      <c r="S193">
        <v>2235</v>
      </c>
      <c r="T193" t="str" cm="1">
        <f t="array" ref="T193">_xlfn.IFS(S193&gt;=10000,"High (&gt;10k)",S193&gt;=5000,"Medium (5k-10k)",S193&lt;5000,"Low (&lt;5k)")</f>
        <v>Low (&lt;5k)</v>
      </c>
      <c r="U193">
        <v>14377</v>
      </c>
      <c r="V193">
        <v>1</v>
      </c>
      <c r="W193" t="s">
        <v>35</v>
      </c>
      <c r="X193">
        <v>14</v>
      </c>
      <c r="Y193">
        <v>3</v>
      </c>
      <c r="Z193">
        <v>4</v>
      </c>
      <c r="AA193">
        <v>2</v>
      </c>
      <c r="AB193">
        <v>9</v>
      </c>
      <c r="AC193">
        <v>3</v>
      </c>
      <c r="AD193" t="s">
        <v>81</v>
      </c>
      <c r="AE193">
        <v>9</v>
      </c>
      <c r="AF193" t="str" cm="1">
        <f t="array" ref="AF193">_xlfn.IFS(AE193&gt;=10,"Veteran (10y+)",AE193&gt;=3,"Established (3-10y)",AE193&lt;3,"New Hire (&lt;3y)")</f>
        <v>Established (3-10y)</v>
      </c>
      <c r="AG193">
        <v>7</v>
      </c>
      <c r="AH193">
        <v>6</v>
      </c>
      <c r="AI193">
        <v>8</v>
      </c>
    </row>
    <row r="194" spans="1:35">
      <c r="A194">
        <v>27</v>
      </c>
      <c r="B194" t="str">
        <f t="shared" si="2"/>
        <v>Young Adults</v>
      </c>
      <c r="C194">
        <v>0</v>
      </c>
      <c r="D194" t="s">
        <v>36</v>
      </c>
      <c r="E194">
        <v>1167</v>
      </c>
      <c r="F194" t="s">
        <v>45</v>
      </c>
      <c r="G194">
        <v>4</v>
      </c>
      <c r="H194" t="str" cm="1">
        <f t="array" ref="H194">_xlfn.IFS(G194&gt;15,"Long Commute",G194&gt;5,"Moderate",G194&lt;=5,"Near Office")</f>
        <v>Near Office</v>
      </c>
      <c r="I194" t="s">
        <v>76</v>
      </c>
      <c r="J194" t="s">
        <v>38</v>
      </c>
      <c r="K194">
        <v>1</v>
      </c>
      <c r="L194" t="s">
        <v>46</v>
      </c>
      <c r="M194">
        <v>76</v>
      </c>
      <c r="N194">
        <v>3</v>
      </c>
      <c r="O194">
        <v>1</v>
      </c>
      <c r="P194" t="s">
        <v>47</v>
      </c>
      <c r="Q194" t="s">
        <v>73</v>
      </c>
      <c r="R194" t="s">
        <v>52</v>
      </c>
      <c r="S194">
        <v>2517</v>
      </c>
      <c r="T194" t="str" cm="1">
        <f t="array" ref="T194">_xlfn.IFS(S194&gt;=10000,"High (&gt;10k)",S194&gt;=5000,"Medium (5k-10k)",S194&lt;5000,"Low (&lt;5k)")</f>
        <v>Low (&lt;5k)</v>
      </c>
      <c r="U194">
        <v>3208</v>
      </c>
      <c r="V194">
        <v>1</v>
      </c>
      <c r="W194" t="s">
        <v>43</v>
      </c>
      <c r="X194">
        <v>11</v>
      </c>
      <c r="Y194">
        <v>3</v>
      </c>
      <c r="Z194">
        <v>2</v>
      </c>
      <c r="AA194">
        <v>3</v>
      </c>
      <c r="AB194">
        <v>5</v>
      </c>
      <c r="AC194">
        <v>2</v>
      </c>
      <c r="AD194" t="s">
        <v>74</v>
      </c>
      <c r="AE194">
        <v>5</v>
      </c>
      <c r="AF194" t="str" cm="1">
        <f t="array" ref="AF194">_xlfn.IFS(AE194&gt;=10,"Veteran (10y+)",AE194&gt;=3,"Established (3-10y)",AE194&lt;3,"New Hire (&lt;3y)")</f>
        <v>Established (3-10y)</v>
      </c>
      <c r="AG194">
        <v>3</v>
      </c>
      <c r="AH194">
        <v>0</v>
      </c>
      <c r="AI194">
        <v>3</v>
      </c>
    </row>
    <row r="195" spans="1:35">
      <c r="A195">
        <v>27</v>
      </c>
      <c r="B195" t="str">
        <f t="shared" ref="B195:B258" si="3">IF(A195&gt;=46,"Senior",IF(A195&gt;=30,"Middle Aged","Young Adults"))</f>
        <v>Young Adults</v>
      </c>
      <c r="C195">
        <v>0</v>
      </c>
      <c r="D195" t="s">
        <v>36</v>
      </c>
      <c r="E195">
        <v>1291</v>
      </c>
      <c r="F195" t="s">
        <v>37</v>
      </c>
      <c r="G195">
        <v>11</v>
      </c>
      <c r="H195" t="str" cm="1">
        <f t="array" ref="H195">_xlfn.IFS(G195&gt;15,"Long Commute",G195&gt;5,"Moderate",G195&lt;=5,"Near Office")</f>
        <v>Moderate</v>
      </c>
      <c r="I195" t="s">
        <v>72</v>
      </c>
      <c r="J195" t="s">
        <v>51</v>
      </c>
      <c r="K195">
        <v>3</v>
      </c>
      <c r="L195" t="s">
        <v>39</v>
      </c>
      <c r="M195">
        <v>98</v>
      </c>
      <c r="N195">
        <v>4</v>
      </c>
      <c r="O195">
        <v>1</v>
      </c>
      <c r="P195" t="s">
        <v>57</v>
      </c>
      <c r="Q195" t="s">
        <v>77</v>
      </c>
      <c r="R195" t="s">
        <v>48</v>
      </c>
      <c r="S195">
        <v>2534</v>
      </c>
      <c r="T195" t="str" cm="1">
        <f t="array" ref="T195">_xlfn.IFS(S195&gt;=10000,"High (&gt;10k)",S195&gt;=5000,"Medium (5k-10k)",S195&lt;5000,"Low (&lt;5k)")</f>
        <v>Low (&lt;5k)</v>
      </c>
      <c r="U195">
        <v>6527</v>
      </c>
      <c r="V195">
        <v>8</v>
      </c>
      <c r="W195" t="s">
        <v>43</v>
      </c>
      <c r="X195">
        <v>14</v>
      </c>
      <c r="Y195">
        <v>3</v>
      </c>
      <c r="Z195">
        <v>2</v>
      </c>
      <c r="AA195">
        <v>1</v>
      </c>
      <c r="AB195">
        <v>5</v>
      </c>
      <c r="AC195">
        <v>4</v>
      </c>
      <c r="AD195" t="s">
        <v>74</v>
      </c>
      <c r="AE195">
        <v>1</v>
      </c>
      <c r="AF195" t="str" cm="1">
        <f t="array" ref="AF195">_xlfn.IFS(AE195&gt;=10,"Veteran (10y+)",AE195&gt;=3,"Established (3-10y)",AE195&lt;3,"New Hire (&lt;3y)")</f>
        <v>New Hire (&lt;3y)</v>
      </c>
      <c r="AG195">
        <v>0</v>
      </c>
      <c r="AH195">
        <v>0</v>
      </c>
      <c r="AI195">
        <v>0</v>
      </c>
    </row>
    <row r="196" spans="1:35">
      <c r="A196">
        <v>27</v>
      </c>
      <c r="B196" t="str">
        <f t="shared" si="3"/>
        <v>Young Adults</v>
      </c>
      <c r="C196">
        <v>0</v>
      </c>
      <c r="D196" t="s">
        <v>44</v>
      </c>
      <c r="E196">
        <v>793</v>
      </c>
      <c r="F196" t="s">
        <v>37</v>
      </c>
      <c r="G196">
        <v>2</v>
      </c>
      <c r="H196" t="str" cm="1">
        <f t="array" ref="H196">_xlfn.IFS(G196&gt;15,"Long Commute",G196&gt;5,"Moderate",G196&lt;=5,"Near Office")</f>
        <v>Near Office</v>
      </c>
      <c r="I196" t="s">
        <v>78</v>
      </c>
      <c r="J196" t="s">
        <v>38</v>
      </c>
      <c r="K196">
        <v>4</v>
      </c>
      <c r="L196" t="s">
        <v>46</v>
      </c>
      <c r="M196">
        <v>43</v>
      </c>
      <c r="N196">
        <v>1</v>
      </c>
      <c r="O196">
        <v>2</v>
      </c>
      <c r="P196" t="s">
        <v>40</v>
      </c>
      <c r="Q196" t="s">
        <v>77</v>
      </c>
      <c r="R196" t="s">
        <v>41</v>
      </c>
      <c r="S196">
        <v>5071</v>
      </c>
      <c r="T196" t="str" cm="1">
        <f t="array" ref="T196">_xlfn.IFS(S196&gt;=10000,"High (&gt;10k)",S196&gt;=5000,"Medium (5k-10k)",S196&lt;5000,"Low (&lt;5k)")</f>
        <v>Medium (5k-10k)</v>
      </c>
      <c r="U196">
        <v>20392</v>
      </c>
      <c r="V196">
        <v>3</v>
      </c>
      <c r="W196" t="s">
        <v>43</v>
      </c>
      <c r="X196">
        <v>20</v>
      </c>
      <c r="Y196">
        <v>4</v>
      </c>
      <c r="Z196">
        <v>2</v>
      </c>
      <c r="AA196">
        <v>0</v>
      </c>
      <c r="AB196">
        <v>8</v>
      </c>
      <c r="AC196">
        <v>3</v>
      </c>
      <c r="AD196" t="s">
        <v>74</v>
      </c>
      <c r="AE196">
        <v>6</v>
      </c>
      <c r="AF196" t="str" cm="1">
        <f t="array" ref="AF196">_xlfn.IFS(AE196&gt;=10,"Veteran (10y+)",AE196&gt;=3,"Established (3-10y)",AE196&lt;3,"New Hire (&lt;3y)")</f>
        <v>Established (3-10y)</v>
      </c>
      <c r="AG196">
        <v>2</v>
      </c>
      <c r="AH196">
        <v>0</v>
      </c>
      <c r="AI196">
        <v>0</v>
      </c>
    </row>
    <row r="197" spans="1:35">
      <c r="A197">
        <v>27</v>
      </c>
      <c r="B197" t="str">
        <f t="shared" si="3"/>
        <v>Young Adults</v>
      </c>
      <c r="C197">
        <v>0</v>
      </c>
      <c r="D197" t="s">
        <v>36</v>
      </c>
      <c r="E197">
        <v>205</v>
      </c>
      <c r="F197" t="s">
        <v>37</v>
      </c>
      <c r="G197">
        <v>10</v>
      </c>
      <c r="H197" t="str" cm="1">
        <f t="array" ref="H197">_xlfn.IFS(G197&gt;15,"Long Commute",G197&gt;5,"Moderate",G197&lt;=5,"Near Office")</f>
        <v>Moderate</v>
      </c>
      <c r="I197" t="s">
        <v>72</v>
      </c>
      <c r="J197" t="s">
        <v>59</v>
      </c>
      <c r="K197">
        <v>4</v>
      </c>
      <c r="L197" t="s">
        <v>39</v>
      </c>
      <c r="M197">
        <v>98</v>
      </c>
      <c r="N197">
        <v>2</v>
      </c>
      <c r="O197">
        <v>2</v>
      </c>
      <c r="P197" t="s">
        <v>40</v>
      </c>
      <c r="Q197" t="s">
        <v>77</v>
      </c>
      <c r="R197" t="s">
        <v>48</v>
      </c>
      <c r="S197">
        <v>5769</v>
      </c>
      <c r="T197" t="str" cm="1">
        <f t="array" ref="T197">_xlfn.IFS(S197&gt;=10000,"High (&gt;10k)",S197&gt;=5000,"Medium (5k-10k)",S197&lt;5000,"Low (&lt;5k)")</f>
        <v>Medium (5k-10k)</v>
      </c>
      <c r="U197">
        <v>7100</v>
      </c>
      <c r="V197">
        <v>1</v>
      </c>
      <c r="W197" t="s">
        <v>35</v>
      </c>
      <c r="X197">
        <v>11</v>
      </c>
      <c r="Y197">
        <v>3</v>
      </c>
      <c r="Z197">
        <v>4</v>
      </c>
      <c r="AA197">
        <v>0</v>
      </c>
      <c r="AB197">
        <v>6</v>
      </c>
      <c r="AC197">
        <v>3</v>
      </c>
      <c r="AD197" t="s">
        <v>74</v>
      </c>
      <c r="AE197">
        <v>6</v>
      </c>
      <c r="AF197" t="str" cm="1">
        <f t="array" ref="AF197">_xlfn.IFS(AE197&gt;=10,"Veteran (10y+)",AE197&gt;=3,"Established (3-10y)",AE197&lt;3,"New Hire (&lt;3y)")</f>
        <v>Established (3-10y)</v>
      </c>
      <c r="AG197">
        <v>2</v>
      </c>
      <c r="AH197">
        <v>4</v>
      </c>
      <c r="AI197">
        <v>4</v>
      </c>
    </row>
    <row r="198" spans="1:35">
      <c r="A198">
        <v>27</v>
      </c>
      <c r="B198" t="str">
        <f t="shared" si="3"/>
        <v>Young Adults</v>
      </c>
      <c r="C198">
        <v>1</v>
      </c>
      <c r="D198" t="s">
        <v>36</v>
      </c>
      <c r="E198">
        <v>135</v>
      </c>
      <c r="F198" t="s">
        <v>45</v>
      </c>
      <c r="G198">
        <v>17</v>
      </c>
      <c r="H198" t="str" cm="1">
        <f t="array" ref="H198">_xlfn.IFS(G198&gt;15,"Long Commute",G198&gt;5,"Moderate",G198&lt;=5,"Near Office")</f>
        <v>Long Commute</v>
      </c>
      <c r="I198" t="s">
        <v>83</v>
      </c>
      <c r="J198" t="s">
        <v>38</v>
      </c>
      <c r="K198">
        <v>4</v>
      </c>
      <c r="L198" t="s">
        <v>39</v>
      </c>
      <c r="M198">
        <v>51</v>
      </c>
      <c r="N198">
        <v>3</v>
      </c>
      <c r="O198">
        <v>1</v>
      </c>
      <c r="P198" t="s">
        <v>47</v>
      </c>
      <c r="Q198" t="s">
        <v>73</v>
      </c>
      <c r="R198" t="s">
        <v>41</v>
      </c>
      <c r="S198">
        <v>2394</v>
      </c>
      <c r="T198" t="str" cm="1">
        <f t="array" ref="T198">_xlfn.IFS(S198&gt;=10000,"High (&gt;10k)",S198&gt;=5000,"Medium (5k-10k)",S198&lt;5000,"Low (&lt;5k)")</f>
        <v>Low (&lt;5k)</v>
      </c>
      <c r="U198">
        <v>25681</v>
      </c>
      <c r="V198">
        <v>1</v>
      </c>
      <c r="W198" t="s">
        <v>35</v>
      </c>
      <c r="X198">
        <v>13</v>
      </c>
      <c r="Y198">
        <v>3</v>
      </c>
      <c r="Z198">
        <v>4</v>
      </c>
      <c r="AA198">
        <v>0</v>
      </c>
      <c r="AB198">
        <v>8</v>
      </c>
      <c r="AC198">
        <v>2</v>
      </c>
      <c r="AD198" t="s">
        <v>74</v>
      </c>
      <c r="AE198">
        <v>8</v>
      </c>
      <c r="AF198" t="str" cm="1">
        <f t="array" ref="AF198">_xlfn.IFS(AE198&gt;=10,"Veteran (10y+)",AE198&gt;=3,"Established (3-10y)",AE198&lt;3,"New Hire (&lt;3y)")</f>
        <v>Established (3-10y)</v>
      </c>
      <c r="AG198">
        <v>2</v>
      </c>
      <c r="AH198">
        <v>7</v>
      </c>
      <c r="AI198">
        <v>7</v>
      </c>
    </row>
    <row r="199" spans="1:35">
      <c r="A199">
        <v>27</v>
      </c>
      <c r="B199" t="str">
        <f t="shared" si="3"/>
        <v>Young Adults</v>
      </c>
      <c r="C199">
        <v>0</v>
      </c>
      <c r="D199" t="s">
        <v>36</v>
      </c>
      <c r="E199">
        <v>1377</v>
      </c>
      <c r="F199" t="s">
        <v>45</v>
      </c>
      <c r="G199">
        <v>11</v>
      </c>
      <c r="H199" t="str" cm="1">
        <f t="array" ref="H199">_xlfn.IFS(G199&gt;15,"Long Commute",G199&gt;5,"Moderate",G199&lt;=5,"Near Office")</f>
        <v>Moderate</v>
      </c>
      <c r="I199" t="s">
        <v>78</v>
      </c>
      <c r="J199" t="s">
        <v>38</v>
      </c>
      <c r="K199">
        <v>2</v>
      </c>
      <c r="L199" t="s">
        <v>46</v>
      </c>
      <c r="M199">
        <v>91</v>
      </c>
      <c r="N199">
        <v>3</v>
      </c>
      <c r="O199">
        <v>1</v>
      </c>
      <c r="P199" t="s">
        <v>50</v>
      </c>
      <c r="Q199" t="s">
        <v>82</v>
      </c>
      <c r="R199" t="s">
        <v>48</v>
      </c>
      <c r="S199">
        <v>2099</v>
      </c>
      <c r="T199" t="str" cm="1">
        <f t="array" ref="T199">_xlfn.IFS(S199&gt;=10000,"High (&gt;10k)",S199&gt;=5000,"Medium (5k-10k)",S199&lt;5000,"Low (&lt;5k)")</f>
        <v>Low (&lt;5k)</v>
      </c>
      <c r="U199">
        <v>7679</v>
      </c>
      <c r="V199">
        <v>0</v>
      </c>
      <c r="W199" t="s">
        <v>43</v>
      </c>
      <c r="X199">
        <v>14</v>
      </c>
      <c r="Y199">
        <v>3</v>
      </c>
      <c r="Z199">
        <v>2</v>
      </c>
      <c r="AA199">
        <v>0</v>
      </c>
      <c r="AB199">
        <v>6</v>
      </c>
      <c r="AC199">
        <v>3</v>
      </c>
      <c r="AD199" t="s">
        <v>79</v>
      </c>
      <c r="AE199">
        <v>5</v>
      </c>
      <c r="AF199" t="str" cm="1">
        <f t="array" ref="AF199">_xlfn.IFS(AE199&gt;=10,"Veteran (10y+)",AE199&gt;=3,"Established (3-10y)",AE199&lt;3,"New Hire (&lt;3y)")</f>
        <v>Established (3-10y)</v>
      </c>
      <c r="AG199">
        <v>0</v>
      </c>
      <c r="AH199">
        <v>1</v>
      </c>
      <c r="AI199">
        <v>4</v>
      </c>
    </row>
    <row r="200" spans="1:35">
      <c r="A200">
        <v>27</v>
      </c>
      <c r="B200" t="str">
        <f t="shared" si="3"/>
        <v>Young Adults</v>
      </c>
      <c r="C200">
        <v>0</v>
      </c>
      <c r="D200" t="s">
        <v>36</v>
      </c>
      <c r="E200">
        <v>1302</v>
      </c>
      <c r="F200" t="s">
        <v>45</v>
      </c>
      <c r="G200">
        <v>19</v>
      </c>
      <c r="H200" t="str" cm="1">
        <f t="array" ref="H200">_xlfn.IFS(G200&gt;15,"Long Commute",G200&gt;5,"Moderate",G200&lt;=5,"Near Office")</f>
        <v>Long Commute</v>
      </c>
      <c r="I200" t="s">
        <v>72</v>
      </c>
      <c r="J200" t="s">
        <v>49</v>
      </c>
      <c r="K200">
        <v>4</v>
      </c>
      <c r="L200" t="s">
        <v>46</v>
      </c>
      <c r="M200">
        <v>67</v>
      </c>
      <c r="N200">
        <v>2</v>
      </c>
      <c r="O200">
        <v>1</v>
      </c>
      <c r="P200" t="s">
        <v>50</v>
      </c>
      <c r="Q200" t="s">
        <v>82</v>
      </c>
      <c r="R200" t="s">
        <v>52</v>
      </c>
      <c r="S200">
        <v>4066</v>
      </c>
      <c r="T200" t="str" cm="1">
        <f t="array" ref="T200">_xlfn.IFS(S200&gt;=10000,"High (&gt;10k)",S200&gt;=5000,"Medium (5k-10k)",S200&lt;5000,"Low (&lt;5k)")</f>
        <v>Low (&lt;5k)</v>
      </c>
      <c r="U200">
        <v>16290</v>
      </c>
      <c r="V200">
        <v>1</v>
      </c>
      <c r="W200" t="s">
        <v>43</v>
      </c>
      <c r="X200">
        <v>11</v>
      </c>
      <c r="Y200">
        <v>3</v>
      </c>
      <c r="Z200">
        <v>1</v>
      </c>
      <c r="AA200">
        <v>2</v>
      </c>
      <c r="AB200">
        <v>7</v>
      </c>
      <c r="AC200">
        <v>3</v>
      </c>
      <c r="AD200" t="s">
        <v>74</v>
      </c>
      <c r="AE200">
        <v>7</v>
      </c>
      <c r="AF200" t="str" cm="1">
        <f t="array" ref="AF200">_xlfn.IFS(AE200&gt;=10,"Veteran (10y+)",AE200&gt;=3,"Established (3-10y)",AE200&lt;3,"New Hire (&lt;3y)")</f>
        <v>Established (3-10y)</v>
      </c>
      <c r="AG200">
        <v>7</v>
      </c>
      <c r="AH200">
        <v>0</v>
      </c>
      <c r="AI200">
        <v>7</v>
      </c>
    </row>
    <row r="201" spans="1:35">
      <c r="A201">
        <v>27</v>
      </c>
      <c r="B201" t="str">
        <f t="shared" si="3"/>
        <v>Young Adults</v>
      </c>
      <c r="C201">
        <v>0</v>
      </c>
      <c r="D201" t="s">
        <v>36</v>
      </c>
      <c r="E201">
        <v>486</v>
      </c>
      <c r="F201" t="s">
        <v>45</v>
      </c>
      <c r="G201">
        <v>8</v>
      </c>
      <c r="H201" t="str" cm="1">
        <f t="array" ref="H201">_xlfn.IFS(G201&gt;15,"Long Commute",G201&gt;5,"Moderate",G201&lt;=5,"Near Office")</f>
        <v>Moderate</v>
      </c>
      <c r="I201" t="s">
        <v>72</v>
      </c>
      <c r="J201" t="s">
        <v>51</v>
      </c>
      <c r="K201">
        <v>2</v>
      </c>
      <c r="L201" t="s">
        <v>39</v>
      </c>
      <c r="M201">
        <v>86</v>
      </c>
      <c r="N201">
        <v>4</v>
      </c>
      <c r="O201">
        <v>1</v>
      </c>
      <c r="P201" t="s">
        <v>47</v>
      </c>
      <c r="Q201" t="s">
        <v>73</v>
      </c>
      <c r="R201" t="s">
        <v>48</v>
      </c>
      <c r="S201">
        <v>3517</v>
      </c>
      <c r="T201" t="str" cm="1">
        <f t="array" ref="T201">_xlfn.IFS(S201&gt;=10000,"High (&gt;10k)",S201&gt;=5000,"Medium (5k-10k)",S201&lt;5000,"Low (&lt;5k)")</f>
        <v>Low (&lt;5k)</v>
      </c>
      <c r="U201">
        <v>22490</v>
      </c>
      <c r="V201">
        <v>7</v>
      </c>
      <c r="W201" t="s">
        <v>43</v>
      </c>
      <c r="X201">
        <v>17</v>
      </c>
      <c r="Y201">
        <v>3</v>
      </c>
      <c r="Z201">
        <v>1</v>
      </c>
      <c r="AA201">
        <v>0</v>
      </c>
      <c r="AB201">
        <v>5</v>
      </c>
      <c r="AC201">
        <v>0</v>
      </c>
      <c r="AD201" t="s">
        <v>74</v>
      </c>
      <c r="AE201">
        <v>3</v>
      </c>
      <c r="AF201" t="str" cm="1">
        <f t="array" ref="AF201">_xlfn.IFS(AE201&gt;=10,"Veteran (10y+)",AE201&gt;=3,"Established (3-10y)",AE201&lt;3,"New Hire (&lt;3y)")</f>
        <v>Established (3-10y)</v>
      </c>
      <c r="AG201">
        <v>2</v>
      </c>
      <c r="AH201">
        <v>0</v>
      </c>
      <c r="AI201">
        <v>2</v>
      </c>
    </row>
    <row r="202" spans="1:35">
      <c r="A202">
        <v>27</v>
      </c>
      <c r="B202" t="str">
        <f t="shared" si="3"/>
        <v>Young Adults</v>
      </c>
      <c r="C202">
        <v>0</v>
      </c>
      <c r="D202" t="s">
        <v>44</v>
      </c>
      <c r="E202">
        <v>591</v>
      </c>
      <c r="F202" t="s">
        <v>45</v>
      </c>
      <c r="G202">
        <v>2</v>
      </c>
      <c r="H202" t="str" cm="1">
        <f t="array" ref="H202">_xlfn.IFS(G202&gt;15,"Long Commute",G202&gt;5,"Moderate",G202&lt;=5,"Near Office")</f>
        <v>Near Office</v>
      </c>
      <c r="I202" t="s">
        <v>72</v>
      </c>
      <c r="J202" t="s">
        <v>51</v>
      </c>
      <c r="K202">
        <v>4</v>
      </c>
      <c r="L202" t="s">
        <v>46</v>
      </c>
      <c r="M202">
        <v>87</v>
      </c>
      <c r="N202">
        <v>3</v>
      </c>
      <c r="O202">
        <v>1</v>
      </c>
      <c r="P202" t="s">
        <v>47</v>
      </c>
      <c r="Q202" t="s">
        <v>77</v>
      </c>
      <c r="R202" t="s">
        <v>41</v>
      </c>
      <c r="S202">
        <v>2580</v>
      </c>
      <c r="T202" t="str" cm="1">
        <f t="array" ref="T202">_xlfn.IFS(S202&gt;=10000,"High (&gt;10k)",S202&gt;=5000,"Medium (5k-10k)",S202&lt;5000,"Low (&lt;5k)")</f>
        <v>Low (&lt;5k)</v>
      </c>
      <c r="U202">
        <v>6297</v>
      </c>
      <c r="V202">
        <v>2</v>
      </c>
      <c r="W202" t="s">
        <v>43</v>
      </c>
      <c r="X202">
        <v>13</v>
      </c>
      <c r="Y202">
        <v>3</v>
      </c>
      <c r="Z202">
        <v>3</v>
      </c>
      <c r="AA202">
        <v>0</v>
      </c>
      <c r="AB202">
        <v>6</v>
      </c>
      <c r="AC202">
        <v>0</v>
      </c>
      <c r="AD202" t="s">
        <v>81</v>
      </c>
      <c r="AE202">
        <v>4</v>
      </c>
      <c r="AF202" t="str" cm="1">
        <f t="array" ref="AF202">_xlfn.IFS(AE202&gt;=10,"Veteran (10y+)",AE202&gt;=3,"Established (3-10y)",AE202&lt;3,"New Hire (&lt;3y)")</f>
        <v>Established (3-10y)</v>
      </c>
      <c r="AG202">
        <v>2</v>
      </c>
      <c r="AH202">
        <v>1</v>
      </c>
      <c r="AI202">
        <v>2</v>
      </c>
    </row>
    <row r="203" spans="1:35">
      <c r="A203">
        <v>27</v>
      </c>
      <c r="B203" t="str">
        <f t="shared" si="3"/>
        <v>Young Adults</v>
      </c>
      <c r="C203">
        <v>0</v>
      </c>
      <c r="D203" t="s">
        <v>36</v>
      </c>
      <c r="E203">
        <v>1054</v>
      </c>
      <c r="F203" t="s">
        <v>45</v>
      </c>
      <c r="G203">
        <v>8</v>
      </c>
      <c r="H203" t="str" cm="1">
        <f t="array" ref="H203">_xlfn.IFS(G203&gt;15,"Long Commute",G203&gt;5,"Moderate",G203&lt;=5,"Near Office")</f>
        <v>Moderate</v>
      </c>
      <c r="I203" t="s">
        <v>72</v>
      </c>
      <c r="J203" t="s">
        <v>51</v>
      </c>
      <c r="K203">
        <v>3</v>
      </c>
      <c r="L203" t="s">
        <v>39</v>
      </c>
      <c r="M203">
        <v>67</v>
      </c>
      <c r="N203">
        <v>3</v>
      </c>
      <c r="O203">
        <v>1</v>
      </c>
      <c r="P203" t="s">
        <v>47</v>
      </c>
      <c r="Q203" t="s">
        <v>77</v>
      </c>
      <c r="R203" t="s">
        <v>41</v>
      </c>
      <c r="S203">
        <v>3445</v>
      </c>
      <c r="T203" t="str" cm="1">
        <f t="array" ref="T203">_xlfn.IFS(S203&gt;=10000,"High (&gt;10k)",S203&gt;=5000,"Medium (5k-10k)",S203&lt;5000,"Low (&lt;5k)")</f>
        <v>Low (&lt;5k)</v>
      </c>
      <c r="U203">
        <v>6152</v>
      </c>
      <c r="V203">
        <v>1</v>
      </c>
      <c r="W203" t="s">
        <v>43</v>
      </c>
      <c r="X203">
        <v>11</v>
      </c>
      <c r="Y203">
        <v>3</v>
      </c>
      <c r="Z203">
        <v>3</v>
      </c>
      <c r="AA203">
        <v>0</v>
      </c>
      <c r="AB203">
        <v>6</v>
      </c>
      <c r="AC203">
        <v>5</v>
      </c>
      <c r="AD203" t="s">
        <v>81</v>
      </c>
      <c r="AE203">
        <v>6</v>
      </c>
      <c r="AF203" t="str" cm="1">
        <f t="array" ref="AF203">_xlfn.IFS(AE203&gt;=10,"Veteran (10y+)",AE203&gt;=3,"Established (3-10y)",AE203&lt;3,"New Hire (&lt;3y)")</f>
        <v>Established (3-10y)</v>
      </c>
      <c r="AG203">
        <v>2</v>
      </c>
      <c r="AH203">
        <v>1</v>
      </c>
      <c r="AI203">
        <v>4</v>
      </c>
    </row>
    <row r="204" spans="1:35">
      <c r="A204">
        <v>27</v>
      </c>
      <c r="B204" t="str">
        <f t="shared" si="3"/>
        <v>Young Adults</v>
      </c>
      <c r="C204">
        <v>0</v>
      </c>
      <c r="D204" t="s">
        <v>44</v>
      </c>
      <c r="E204">
        <v>1297</v>
      </c>
      <c r="F204" t="s">
        <v>45</v>
      </c>
      <c r="G204">
        <v>5</v>
      </c>
      <c r="H204" t="str" cm="1">
        <f t="array" ref="H204">_xlfn.IFS(G204&gt;15,"Long Commute",G204&gt;5,"Moderate",G204&lt;=5,"Near Office")</f>
        <v>Near Office</v>
      </c>
      <c r="I204" t="s">
        <v>76</v>
      </c>
      <c r="J204" t="s">
        <v>38</v>
      </c>
      <c r="K204">
        <v>4</v>
      </c>
      <c r="L204" t="s">
        <v>39</v>
      </c>
      <c r="M204">
        <v>53</v>
      </c>
      <c r="N204">
        <v>3</v>
      </c>
      <c r="O204">
        <v>1</v>
      </c>
      <c r="P204" t="s">
        <v>50</v>
      </c>
      <c r="Q204" t="s">
        <v>77</v>
      </c>
      <c r="R204" t="s">
        <v>41</v>
      </c>
      <c r="S204">
        <v>2379</v>
      </c>
      <c r="T204" t="str" cm="1">
        <f t="array" ref="T204">_xlfn.IFS(S204&gt;=10000,"High (&gt;10k)",S204&gt;=5000,"Medium (5k-10k)",S204&lt;5000,"Low (&lt;5k)")</f>
        <v>Low (&lt;5k)</v>
      </c>
      <c r="U204">
        <v>19826</v>
      </c>
      <c r="V204">
        <v>0</v>
      </c>
      <c r="W204" t="s">
        <v>35</v>
      </c>
      <c r="X204">
        <v>14</v>
      </c>
      <c r="Y204">
        <v>3</v>
      </c>
      <c r="Z204">
        <v>3</v>
      </c>
      <c r="AA204">
        <v>0</v>
      </c>
      <c r="AB204">
        <v>6</v>
      </c>
      <c r="AC204">
        <v>3</v>
      </c>
      <c r="AD204" t="s">
        <v>81</v>
      </c>
      <c r="AE204">
        <v>5</v>
      </c>
      <c r="AF204" t="str" cm="1">
        <f t="array" ref="AF204">_xlfn.IFS(AE204&gt;=10,"Veteran (10y+)",AE204&gt;=3,"Established (3-10y)",AE204&lt;3,"New Hire (&lt;3y)")</f>
        <v>Established (3-10y)</v>
      </c>
      <c r="AG204">
        <v>4</v>
      </c>
      <c r="AH204">
        <v>0</v>
      </c>
      <c r="AI204">
        <v>2</v>
      </c>
    </row>
    <row r="205" spans="1:35">
      <c r="A205">
        <v>27</v>
      </c>
      <c r="B205" t="str">
        <f t="shared" si="3"/>
        <v>Young Adults</v>
      </c>
      <c r="C205">
        <v>0</v>
      </c>
      <c r="D205" t="s">
        <v>36</v>
      </c>
      <c r="E205">
        <v>728</v>
      </c>
      <c r="F205" t="s">
        <v>37</v>
      </c>
      <c r="G205">
        <v>23</v>
      </c>
      <c r="H205" t="str" cm="1">
        <f t="array" ref="H205">_xlfn.IFS(G205&gt;15,"Long Commute",G205&gt;5,"Moderate",G205&lt;=5,"Near Office")</f>
        <v>Long Commute</v>
      </c>
      <c r="I205" t="s">
        <v>78</v>
      </c>
      <c r="J205" t="s">
        <v>51</v>
      </c>
      <c r="K205">
        <v>2</v>
      </c>
      <c r="L205" t="s">
        <v>39</v>
      </c>
      <c r="M205">
        <v>36</v>
      </c>
      <c r="N205">
        <v>2</v>
      </c>
      <c r="O205">
        <v>2</v>
      </c>
      <c r="P205" t="s">
        <v>57</v>
      </c>
      <c r="Q205" t="s">
        <v>73</v>
      </c>
      <c r="R205" t="s">
        <v>48</v>
      </c>
      <c r="S205">
        <v>3540</v>
      </c>
      <c r="T205" t="str" cm="1">
        <f t="array" ref="T205">_xlfn.IFS(S205&gt;=10000,"High (&gt;10k)",S205&gt;=5000,"Medium (5k-10k)",S205&lt;5000,"Low (&lt;5k)")</f>
        <v>Low (&lt;5k)</v>
      </c>
      <c r="U205">
        <v>7018</v>
      </c>
      <c r="V205">
        <v>1</v>
      </c>
      <c r="W205" t="s">
        <v>43</v>
      </c>
      <c r="X205">
        <v>21</v>
      </c>
      <c r="Y205">
        <v>4</v>
      </c>
      <c r="Z205">
        <v>4</v>
      </c>
      <c r="AA205">
        <v>1</v>
      </c>
      <c r="AB205">
        <v>9</v>
      </c>
      <c r="AC205">
        <v>5</v>
      </c>
      <c r="AD205" t="s">
        <v>74</v>
      </c>
      <c r="AE205">
        <v>9</v>
      </c>
      <c r="AF205" t="str" cm="1">
        <f t="array" ref="AF205">_xlfn.IFS(AE205&gt;=10,"Veteran (10y+)",AE205&gt;=3,"Established (3-10y)",AE205&lt;3,"New Hire (&lt;3y)")</f>
        <v>Established (3-10y)</v>
      </c>
      <c r="AG205">
        <v>8</v>
      </c>
      <c r="AH205">
        <v>5</v>
      </c>
      <c r="AI205">
        <v>8</v>
      </c>
    </row>
    <row r="206" spans="1:35">
      <c r="A206">
        <v>27</v>
      </c>
      <c r="B206" t="str">
        <f t="shared" si="3"/>
        <v>Young Adults</v>
      </c>
      <c r="C206">
        <v>0</v>
      </c>
      <c r="D206" t="s">
        <v>44</v>
      </c>
      <c r="E206">
        <v>1131</v>
      </c>
      <c r="F206" t="s">
        <v>45</v>
      </c>
      <c r="G206">
        <v>15</v>
      </c>
      <c r="H206" t="str" cm="1">
        <f t="array" ref="H206">_xlfn.IFS(G206&gt;15,"Long Commute",G206&gt;5,"Moderate",G206&lt;=5,"Near Office")</f>
        <v>Moderate</v>
      </c>
      <c r="I206" t="s">
        <v>72</v>
      </c>
      <c r="J206" t="s">
        <v>38</v>
      </c>
      <c r="K206">
        <v>4</v>
      </c>
      <c r="L206" t="s">
        <v>39</v>
      </c>
      <c r="M206">
        <v>77</v>
      </c>
      <c r="N206">
        <v>2</v>
      </c>
      <c r="O206">
        <v>1</v>
      </c>
      <c r="P206" t="s">
        <v>47</v>
      </c>
      <c r="Q206" t="s">
        <v>82</v>
      </c>
      <c r="R206" t="s">
        <v>48</v>
      </c>
      <c r="S206">
        <v>4774</v>
      </c>
      <c r="T206" t="str" cm="1">
        <f t="array" ref="T206">_xlfn.IFS(S206&gt;=10000,"High (&gt;10k)",S206&gt;=5000,"Medium (5k-10k)",S206&lt;5000,"Low (&lt;5k)")</f>
        <v>Low (&lt;5k)</v>
      </c>
      <c r="U206">
        <v>23844</v>
      </c>
      <c r="V206">
        <v>0</v>
      </c>
      <c r="W206" t="s">
        <v>43</v>
      </c>
      <c r="X206">
        <v>19</v>
      </c>
      <c r="Y206">
        <v>3</v>
      </c>
      <c r="Z206">
        <v>4</v>
      </c>
      <c r="AA206">
        <v>1</v>
      </c>
      <c r="AB206">
        <v>8</v>
      </c>
      <c r="AC206">
        <v>2</v>
      </c>
      <c r="AD206" t="s">
        <v>81</v>
      </c>
      <c r="AE206">
        <v>7</v>
      </c>
      <c r="AF206" t="str" cm="1">
        <f t="array" ref="AF206">_xlfn.IFS(AE206&gt;=10,"Veteran (10y+)",AE206&gt;=3,"Established (3-10y)",AE206&lt;3,"New Hire (&lt;3y)")</f>
        <v>Established (3-10y)</v>
      </c>
      <c r="AG206">
        <v>6</v>
      </c>
      <c r="AH206">
        <v>7</v>
      </c>
      <c r="AI206">
        <v>3</v>
      </c>
    </row>
    <row r="207" spans="1:35">
      <c r="A207">
        <v>27</v>
      </c>
      <c r="B207" t="str">
        <f t="shared" si="3"/>
        <v>Young Adults</v>
      </c>
      <c r="C207">
        <v>0</v>
      </c>
      <c r="D207" t="s">
        <v>36</v>
      </c>
      <c r="E207">
        <v>511</v>
      </c>
      <c r="F207" t="s">
        <v>37</v>
      </c>
      <c r="G207">
        <v>2</v>
      </c>
      <c r="H207" t="str" cm="1">
        <f t="array" ref="H207">_xlfn.IFS(G207&gt;15,"Long Commute",G207&gt;5,"Moderate",G207&lt;=5,"Near Office")</f>
        <v>Near Office</v>
      </c>
      <c r="I207" t="s">
        <v>76</v>
      </c>
      <c r="J207" t="s">
        <v>51</v>
      </c>
      <c r="K207">
        <v>1</v>
      </c>
      <c r="L207" t="s">
        <v>39</v>
      </c>
      <c r="M207">
        <v>89</v>
      </c>
      <c r="N207">
        <v>4</v>
      </c>
      <c r="O207">
        <v>2</v>
      </c>
      <c r="P207" t="s">
        <v>40</v>
      </c>
      <c r="Q207" t="s">
        <v>73</v>
      </c>
      <c r="R207" t="s">
        <v>41</v>
      </c>
      <c r="S207">
        <v>6500</v>
      </c>
      <c r="T207" t="str" cm="1">
        <f t="array" ref="T207">_xlfn.IFS(S207&gt;=10000,"High (&gt;10k)",S207&gt;=5000,"Medium (5k-10k)",S207&lt;5000,"Low (&lt;5k)")</f>
        <v>Medium (5k-10k)</v>
      </c>
      <c r="U207">
        <v>26997</v>
      </c>
      <c r="V207">
        <v>0</v>
      </c>
      <c r="W207" t="s">
        <v>43</v>
      </c>
      <c r="X207">
        <v>14</v>
      </c>
      <c r="Y207">
        <v>3</v>
      </c>
      <c r="Z207">
        <v>2</v>
      </c>
      <c r="AA207">
        <v>0</v>
      </c>
      <c r="AB207">
        <v>9</v>
      </c>
      <c r="AC207">
        <v>5</v>
      </c>
      <c r="AD207" t="s">
        <v>81</v>
      </c>
      <c r="AE207">
        <v>8</v>
      </c>
      <c r="AF207" t="str" cm="1">
        <f t="array" ref="AF207">_xlfn.IFS(AE207&gt;=10,"Veteran (10y+)",AE207&gt;=3,"Established (3-10y)",AE207&lt;3,"New Hire (&lt;3y)")</f>
        <v>Established (3-10y)</v>
      </c>
      <c r="AG207">
        <v>7</v>
      </c>
      <c r="AH207">
        <v>0</v>
      </c>
      <c r="AI207">
        <v>7</v>
      </c>
    </row>
    <row r="208" spans="1:35">
      <c r="A208">
        <v>27</v>
      </c>
      <c r="B208" t="str">
        <f t="shared" si="3"/>
        <v>Young Adults</v>
      </c>
      <c r="C208">
        <v>0</v>
      </c>
      <c r="D208" t="s">
        <v>36</v>
      </c>
      <c r="E208">
        <v>1354</v>
      </c>
      <c r="F208" t="s">
        <v>45</v>
      </c>
      <c r="G208">
        <v>2</v>
      </c>
      <c r="H208" t="str" cm="1">
        <f t="array" ref="H208">_xlfn.IFS(G208&gt;15,"Long Commute",G208&gt;5,"Moderate",G208&lt;=5,"Near Office")</f>
        <v>Near Office</v>
      </c>
      <c r="I208" t="s">
        <v>83</v>
      </c>
      <c r="J208" t="s">
        <v>60</v>
      </c>
      <c r="K208">
        <v>2</v>
      </c>
      <c r="L208" t="s">
        <v>46</v>
      </c>
      <c r="M208">
        <v>41</v>
      </c>
      <c r="N208">
        <v>3</v>
      </c>
      <c r="O208">
        <v>1</v>
      </c>
      <c r="P208" t="s">
        <v>47</v>
      </c>
      <c r="Q208" t="s">
        <v>75</v>
      </c>
      <c r="R208" t="s">
        <v>48</v>
      </c>
      <c r="S208">
        <v>2226</v>
      </c>
      <c r="T208" t="str" cm="1">
        <f t="array" ref="T208">_xlfn.IFS(S208&gt;=10000,"High (&gt;10k)",S208&gt;=5000,"Medium (5k-10k)",S208&lt;5000,"Low (&lt;5k)")</f>
        <v>Low (&lt;5k)</v>
      </c>
      <c r="U208">
        <v>6073</v>
      </c>
      <c r="V208">
        <v>1</v>
      </c>
      <c r="W208" t="s">
        <v>43</v>
      </c>
      <c r="X208">
        <v>11</v>
      </c>
      <c r="Y208">
        <v>3</v>
      </c>
      <c r="Z208">
        <v>3</v>
      </c>
      <c r="AA208">
        <v>1</v>
      </c>
      <c r="AB208">
        <v>6</v>
      </c>
      <c r="AC208">
        <v>3</v>
      </c>
      <c r="AD208" t="s">
        <v>81</v>
      </c>
      <c r="AE208">
        <v>5</v>
      </c>
      <c r="AF208" t="str" cm="1">
        <f t="array" ref="AF208">_xlfn.IFS(AE208&gt;=10,"Veteran (10y+)",AE208&gt;=3,"Established (3-10y)",AE208&lt;3,"New Hire (&lt;3y)")</f>
        <v>Established (3-10y)</v>
      </c>
      <c r="AG208">
        <v>3</v>
      </c>
      <c r="AH208">
        <v>1</v>
      </c>
      <c r="AI208">
        <v>2</v>
      </c>
    </row>
    <row r="209" spans="1:35">
      <c r="A209">
        <v>27</v>
      </c>
      <c r="B209" t="str">
        <f t="shared" si="3"/>
        <v>Young Adults</v>
      </c>
      <c r="C209">
        <v>1</v>
      </c>
      <c r="D209" t="s">
        <v>44</v>
      </c>
      <c r="E209">
        <v>1337</v>
      </c>
      <c r="F209" t="s">
        <v>61</v>
      </c>
      <c r="G209">
        <v>22</v>
      </c>
      <c r="H209" t="str" cm="1">
        <f t="array" ref="H209">_xlfn.IFS(G209&gt;15,"Long Commute",G209&gt;5,"Moderate",G209&lt;=5,"Near Office")</f>
        <v>Long Commute</v>
      </c>
      <c r="I209" t="s">
        <v>72</v>
      </c>
      <c r="J209" t="s">
        <v>61</v>
      </c>
      <c r="K209">
        <v>1</v>
      </c>
      <c r="L209" t="s">
        <v>39</v>
      </c>
      <c r="M209">
        <v>58</v>
      </c>
      <c r="N209">
        <v>2</v>
      </c>
      <c r="O209">
        <v>1</v>
      </c>
      <c r="P209" t="s">
        <v>61</v>
      </c>
      <c r="Q209" t="s">
        <v>75</v>
      </c>
      <c r="R209" t="s">
        <v>48</v>
      </c>
      <c r="S209">
        <v>2863</v>
      </c>
      <c r="T209" t="str" cm="1">
        <f t="array" ref="T209">_xlfn.IFS(S209&gt;=10000,"High (&gt;10k)",S209&gt;=5000,"Medium (5k-10k)",S209&lt;5000,"Low (&lt;5k)")</f>
        <v>Low (&lt;5k)</v>
      </c>
      <c r="U209">
        <v>19555</v>
      </c>
      <c r="V209">
        <v>1</v>
      </c>
      <c r="W209" t="s">
        <v>43</v>
      </c>
      <c r="X209">
        <v>12</v>
      </c>
      <c r="Y209">
        <v>3</v>
      </c>
      <c r="Z209">
        <v>1</v>
      </c>
      <c r="AA209">
        <v>0</v>
      </c>
      <c r="AB209">
        <v>1</v>
      </c>
      <c r="AC209">
        <v>2</v>
      </c>
      <c r="AD209" t="s">
        <v>74</v>
      </c>
      <c r="AE209">
        <v>1</v>
      </c>
      <c r="AF209" t="str" cm="1">
        <f t="array" ref="AF209">_xlfn.IFS(AE209&gt;=10,"Veteran (10y+)",AE209&gt;=3,"Established (3-10y)",AE209&lt;3,"New Hire (&lt;3y)")</f>
        <v>New Hire (&lt;3y)</v>
      </c>
      <c r="AG209">
        <v>0</v>
      </c>
      <c r="AH209">
        <v>0</v>
      </c>
      <c r="AI209">
        <v>0</v>
      </c>
    </row>
    <row r="210" spans="1:35">
      <c r="A210">
        <v>27</v>
      </c>
      <c r="B210" t="str">
        <f t="shared" si="3"/>
        <v>Young Adults</v>
      </c>
      <c r="C210">
        <v>0</v>
      </c>
      <c r="D210" t="s">
        <v>36</v>
      </c>
      <c r="E210">
        <v>954</v>
      </c>
      <c r="F210" t="s">
        <v>37</v>
      </c>
      <c r="G210">
        <v>9</v>
      </c>
      <c r="H210" t="str" cm="1">
        <f t="array" ref="H210">_xlfn.IFS(G210&gt;15,"Long Commute",G210&gt;5,"Moderate",G210&lt;=5,"Near Office")</f>
        <v>Moderate</v>
      </c>
      <c r="I210" t="s">
        <v>72</v>
      </c>
      <c r="J210" t="s">
        <v>59</v>
      </c>
      <c r="K210">
        <v>4</v>
      </c>
      <c r="L210" t="s">
        <v>46</v>
      </c>
      <c r="M210">
        <v>44</v>
      </c>
      <c r="N210">
        <v>3</v>
      </c>
      <c r="O210">
        <v>2</v>
      </c>
      <c r="P210" t="s">
        <v>40</v>
      </c>
      <c r="Q210" t="s">
        <v>77</v>
      </c>
      <c r="R210" t="s">
        <v>41</v>
      </c>
      <c r="S210">
        <v>4105</v>
      </c>
      <c r="T210" t="str" cm="1">
        <f t="array" ref="T210">_xlfn.IFS(S210&gt;=10000,"High (&gt;10k)",S210&gt;=5000,"Medium (5k-10k)",S210&lt;5000,"Low (&lt;5k)")</f>
        <v>Low (&lt;5k)</v>
      </c>
      <c r="U210">
        <v>5099</v>
      </c>
      <c r="V210">
        <v>1</v>
      </c>
      <c r="W210" t="s">
        <v>43</v>
      </c>
      <c r="X210">
        <v>14</v>
      </c>
      <c r="Y210">
        <v>3</v>
      </c>
      <c r="Z210">
        <v>1</v>
      </c>
      <c r="AA210">
        <v>0</v>
      </c>
      <c r="AB210">
        <v>7</v>
      </c>
      <c r="AC210">
        <v>5</v>
      </c>
      <c r="AD210" t="s">
        <v>74</v>
      </c>
      <c r="AE210">
        <v>7</v>
      </c>
      <c r="AF210" t="str" cm="1">
        <f t="array" ref="AF210">_xlfn.IFS(AE210&gt;=10,"Veteran (10y+)",AE210&gt;=3,"Established (3-10y)",AE210&lt;3,"New Hire (&lt;3y)")</f>
        <v>Established (3-10y)</v>
      </c>
      <c r="AG210">
        <v>7</v>
      </c>
      <c r="AH210">
        <v>0</v>
      </c>
      <c r="AI210">
        <v>7</v>
      </c>
    </row>
    <row r="211" spans="1:35">
      <c r="A211">
        <v>27</v>
      </c>
      <c r="B211" t="str">
        <f t="shared" si="3"/>
        <v>Young Adults</v>
      </c>
      <c r="C211">
        <v>0</v>
      </c>
      <c r="D211" t="s">
        <v>36</v>
      </c>
      <c r="E211">
        <v>155</v>
      </c>
      <c r="F211" t="s">
        <v>45</v>
      </c>
      <c r="G211">
        <v>4</v>
      </c>
      <c r="H211" t="str" cm="1">
        <f t="array" ref="H211">_xlfn.IFS(G211&gt;15,"Long Commute",G211&gt;5,"Moderate",G211&lt;=5,"Near Office")</f>
        <v>Near Office</v>
      </c>
      <c r="I211" t="s">
        <v>72</v>
      </c>
      <c r="J211" t="s">
        <v>38</v>
      </c>
      <c r="K211">
        <v>2</v>
      </c>
      <c r="L211" t="s">
        <v>46</v>
      </c>
      <c r="M211">
        <v>87</v>
      </c>
      <c r="N211">
        <v>4</v>
      </c>
      <c r="O211">
        <v>2</v>
      </c>
      <c r="P211" t="s">
        <v>53</v>
      </c>
      <c r="Q211" t="s">
        <v>75</v>
      </c>
      <c r="R211" t="s">
        <v>48</v>
      </c>
      <c r="S211">
        <v>6142</v>
      </c>
      <c r="T211" t="str" cm="1">
        <f t="array" ref="T211">_xlfn.IFS(S211&gt;=10000,"High (&gt;10k)",S211&gt;=5000,"Medium (5k-10k)",S211&lt;5000,"Low (&lt;5k)")</f>
        <v>Medium (5k-10k)</v>
      </c>
      <c r="U211">
        <v>5174</v>
      </c>
      <c r="V211">
        <v>1</v>
      </c>
      <c r="W211" t="s">
        <v>35</v>
      </c>
      <c r="X211">
        <v>20</v>
      </c>
      <c r="Y211">
        <v>4</v>
      </c>
      <c r="Z211">
        <v>2</v>
      </c>
      <c r="AA211">
        <v>1</v>
      </c>
      <c r="AB211">
        <v>6</v>
      </c>
      <c r="AC211">
        <v>0</v>
      </c>
      <c r="AD211" t="s">
        <v>74</v>
      </c>
      <c r="AE211">
        <v>6</v>
      </c>
      <c r="AF211" t="str" cm="1">
        <f t="array" ref="AF211">_xlfn.IFS(AE211&gt;=10,"Veteran (10y+)",AE211&gt;=3,"Established (3-10y)",AE211&lt;3,"New Hire (&lt;3y)")</f>
        <v>Established (3-10y)</v>
      </c>
      <c r="AG211">
        <v>2</v>
      </c>
      <c r="AH211">
        <v>0</v>
      </c>
      <c r="AI211">
        <v>3</v>
      </c>
    </row>
    <row r="212" spans="1:35">
      <c r="A212">
        <v>28</v>
      </c>
      <c r="B212" t="str">
        <f t="shared" si="3"/>
        <v>Young Adults</v>
      </c>
      <c r="C212">
        <v>1</v>
      </c>
      <c r="D212" t="s">
        <v>36</v>
      </c>
      <c r="E212">
        <v>103</v>
      </c>
      <c r="F212" t="s">
        <v>45</v>
      </c>
      <c r="G212">
        <v>24</v>
      </c>
      <c r="H212" t="str" cm="1">
        <f t="array" ref="H212">_xlfn.IFS(G212&gt;15,"Long Commute",G212&gt;5,"Moderate",G212&lt;=5,"Near Office")</f>
        <v>Long Commute</v>
      </c>
      <c r="I212" t="s">
        <v>72</v>
      </c>
      <c r="J212" t="s">
        <v>38</v>
      </c>
      <c r="K212">
        <v>3</v>
      </c>
      <c r="L212" t="s">
        <v>46</v>
      </c>
      <c r="M212">
        <v>50</v>
      </c>
      <c r="N212">
        <v>2</v>
      </c>
      <c r="O212">
        <v>1</v>
      </c>
      <c r="P212" t="s">
        <v>50</v>
      </c>
      <c r="Q212" t="s">
        <v>73</v>
      </c>
      <c r="R212" t="s">
        <v>41</v>
      </c>
      <c r="S212">
        <v>2028</v>
      </c>
      <c r="T212" t="str" cm="1">
        <f t="array" ref="T212">_xlfn.IFS(S212&gt;=10000,"High (&gt;10k)",S212&gt;=5000,"Medium (5k-10k)",S212&lt;5000,"Low (&lt;5k)")</f>
        <v>Low (&lt;5k)</v>
      </c>
      <c r="U212">
        <v>12947</v>
      </c>
      <c r="V212">
        <v>5</v>
      </c>
      <c r="W212" t="s">
        <v>35</v>
      </c>
      <c r="X212">
        <v>14</v>
      </c>
      <c r="Y212">
        <v>3</v>
      </c>
      <c r="Z212">
        <v>2</v>
      </c>
      <c r="AA212">
        <v>0</v>
      </c>
      <c r="AB212">
        <v>6</v>
      </c>
      <c r="AC212">
        <v>4</v>
      </c>
      <c r="AD212" t="s">
        <v>74</v>
      </c>
      <c r="AE212">
        <v>4</v>
      </c>
      <c r="AF212" t="str" cm="1">
        <f t="array" ref="AF212">_xlfn.IFS(AE212&gt;=10,"Veteran (10y+)",AE212&gt;=3,"Established (3-10y)",AE212&lt;3,"New Hire (&lt;3y)")</f>
        <v>Established (3-10y)</v>
      </c>
      <c r="AG212">
        <v>2</v>
      </c>
      <c r="AH212">
        <v>0</v>
      </c>
      <c r="AI212">
        <v>3</v>
      </c>
    </row>
    <row r="213" spans="1:35">
      <c r="A213">
        <v>28</v>
      </c>
      <c r="B213" t="str">
        <f t="shared" si="3"/>
        <v>Young Adults</v>
      </c>
      <c r="C213">
        <v>1</v>
      </c>
      <c r="D213" t="s">
        <v>36</v>
      </c>
      <c r="E213">
        <v>1434</v>
      </c>
      <c r="F213" t="s">
        <v>45</v>
      </c>
      <c r="G213">
        <v>5</v>
      </c>
      <c r="H213" t="str" cm="1">
        <f t="array" ref="H213">_xlfn.IFS(G213&gt;15,"Long Commute",G213&gt;5,"Moderate",G213&lt;=5,"Near Office")</f>
        <v>Near Office</v>
      </c>
      <c r="I213" t="s">
        <v>83</v>
      </c>
      <c r="J213" t="s">
        <v>60</v>
      </c>
      <c r="K213">
        <v>3</v>
      </c>
      <c r="L213" t="s">
        <v>46</v>
      </c>
      <c r="M213">
        <v>50</v>
      </c>
      <c r="N213">
        <v>3</v>
      </c>
      <c r="O213">
        <v>1</v>
      </c>
      <c r="P213" t="s">
        <v>50</v>
      </c>
      <c r="Q213" t="s">
        <v>73</v>
      </c>
      <c r="R213" t="s">
        <v>41</v>
      </c>
      <c r="S213">
        <v>3441</v>
      </c>
      <c r="T213" t="str" cm="1">
        <f t="array" ref="T213">_xlfn.IFS(S213&gt;=10000,"High (&gt;10k)",S213&gt;=5000,"Medium (5k-10k)",S213&lt;5000,"Low (&lt;5k)")</f>
        <v>Low (&lt;5k)</v>
      </c>
      <c r="U213">
        <v>11179</v>
      </c>
      <c r="V213">
        <v>1</v>
      </c>
      <c r="W213" t="s">
        <v>35</v>
      </c>
      <c r="X213">
        <v>13</v>
      </c>
      <c r="Y213">
        <v>3</v>
      </c>
      <c r="Z213">
        <v>3</v>
      </c>
      <c r="AA213">
        <v>0</v>
      </c>
      <c r="AB213">
        <v>2</v>
      </c>
      <c r="AC213">
        <v>3</v>
      </c>
      <c r="AD213" t="s">
        <v>81</v>
      </c>
      <c r="AE213">
        <v>2</v>
      </c>
      <c r="AF213" t="str" cm="1">
        <f t="array" ref="AF213">_xlfn.IFS(AE213&gt;=10,"Veteran (10y+)",AE213&gt;=3,"Established (3-10y)",AE213&lt;3,"New Hire (&lt;3y)")</f>
        <v>New Hire (&lt;3y)</v>
      </c>
      <c r="AG213">
        <v>2</v>
      </c>
      <c r="AH213">
        <v>2</v>
      </c>
      <c r="AI213">
        <v>2</v>
      </c>
    </row>
    <row r="214" spans="1:35">
      <c r="A214">
        <v>28</v>
      </c>
      <c r="B214" t="str">
        <f t="shared" si="3"/>
        <v>Young Adults</v>
      </c>
      <c r="C214">
        <v>0</v>
      </c>
      <c r="D214" t="s">
        <v>55</v>
      </c>
      <c r="E214">
        <v>120</v>
      </c>
      <c r="F214" t="s">
        <v>37</v>
      </c>
      <c r="G214">
        <v>4</v>
      </c>
      <c r="H214" t="str" cm="1">
        <f t="array" ref="H214">_xlfn.IFS(G214&gt;15,"Long Commute",G214&gt;5,"Moderate",G214&lt;=5,"Near Office")</f>
        <v>Near Office</v>
      </c>
      <c r="I214" t="s">
        <v>72</v>
      </c>
      <c r="J214" t="s">
        <v>51</v>
      </c>
      <c r="K214">
        <v>2</v>
      </c>
      <c r="L214" t="s">
        <v>46</v>
      </c>
      <c r="M214">
        <v>43</v>
      </c>
      <c r="N214">
        <v>3</v>
      </c>
      <c r="O214">
        <v>2</v>
      </c>
      <c r="P214" t="s">
        <v>40</v>
      </c>
      <c r="Q214" t="s">
        <v>73</v>
      </c>
      <c r="R214" t="s">
        <v>48</v>
      </c>
      <c r="S214">
        <v>4221</v>
      </c>
      <c r="T214" t="str" cm="1">
        <f t="array" ref="T214">_xlfn.IFS(S214&gt;=10000,"High (&gt;10k)",S214&gt;=5000,"Medium (5k-10k)",S214&lt;5000,"Low (&lt;5k)")</f>
        <v>Low (&lt;5k)</v>
      </c>
      <c r="U214">
        <v>8863</v>
      </c>
      <c r="V214">
        <v>1</v>
      </c>
      <c r="W214" t="s">
        <v>43</v>
      </c>
      <c r="X214">
        <v>15</v>
      </c>
      <c r="Y214">
        <v>3</v>
      </c>
      <c r="Z214">
        <v>2</v>
      </c>
      <c r="AA214">
        <v>0</v>
      </c>
      <c r="AB214">
        <v>5</v>
      </c>
      <c r="AC214">
        <v>3</v>
      </c>
      <c r="AD214" t="s">
        <v>79</v>
      </c>
      <c r="AE214">
        <v>5</v>
      </c>
      <c r="AF214" t="str" cm="1">
        <f t="array" ref="AF214">_xlfn.IFS(AE214&gt;=10,"Veteran (10y+)",AE214&gt;=3,"Established (3-10y)",AE214&lt;3,"New Hire (&lt;3y)")</f>
        <v>Established (3-10y)</v>
      </c>
      <c r="AG214">
        <v>4</v>
      </c>
      <c r="AH214">
        <v>0</v>
      </c>
      <c r="AI214">
        <v>4</v>
      </c>
    </row>
    <row r="215" spans="1:35">
      <c r="A215">
        <v>28</v>
      </c>
      <c r="B215" t="str">
        <f t="shared" si="3"/>
        <v>Young Adults</v>
      </c>
      <c r="C215">
        <v>0</v>
      </c>
      <c r="D215" t="s">
        <v>36</v>
      </c>
      <c r="E215">
        <v>440</v>
      </c>
      <c r="F215" t="s">
        <v>45</v>
      </c>
      <c r="G215">
        <v>21</v>
      </c>
      <c r="H215" t="str" cm="1">
        <f t="array" ref="H215">_xlfn.IFS(G215&gt;15,"Long Commute",G215&gt;5,"Moderate",G215&lt;=5,"Near Office")</f>
        <v>Long Commute</v>
      </c>
      <c r="I215" t="s">
        <v>72</v>
      </c>
      <c r="J215" t="s">
        <v>51</v>
      </c>
      <c r="K215">
        <v>3</v>
      </c>
      <c r="L215" t="s">
        <v>46</v>
      </c>
      <c r="M215">
        <v>42</v>
      </c>
      <c r="N215">
        <v>3</v>
      </c>
      <c r="O215">
        <v>1</v>
      </c>
      <c r="P215" t="s">
        <v>47</v>
      </c>
      <c r="Q215" t="s">
        <v>77</v>
      </c>
      <c r="R215" t="s">
        <v>48</v>
      </c>
      <c r="S215">
        <v>2713</v>
      </c>
      <c r="T215" t="str" cm="1">
        <f t="array" ref="T215">_xlfn.IFS(S215&gt;=10000,"High (&gt;10k)",S215&gt;=5000,"Medium (5k-10k)",S215&lt;5000,"Low (&lt;5k)")</f>
        <v>Low (&lt;5k)</v>
      </c>
      <c r="U215">
        <v>6672</v>
      </c>
      <c r="V215">
        <v>1</v>
      </c>
      <c r="W215" t="s">
        <v>43</v>
      </c>
      <c r="X215">
        <v>11</v>
      </c>
      <c r="Y215">
        <v>3</v>
      </c>
      <c r="Z215">
        <v>3</v>
      </c>
      <c r="AA215">
        <v>1</v>
      </c>
      <c r="AB215">
        <v>5</v>
      </c>
      <c r="AC215">
        <v>2</v>
      </c>
      <c r="AD215" t="s">
        <v>80</v>
      </c>
      <c r="AE215">
        <v>5</v>
      </c>
      <c r="AF215" t="str" cm="1">
        <f t="array" ref="AF215">_xlfn.IFS(AE215&gt;=10,"Veteran (10y+)",AE215&gt;=3,"Established (3-10y)",AE215&lt;3,"New Hire (&lt;3y)")</f>
        <v>Established (3-10y)</v>
      </c>
      <c r="AG215">
        <v>2</v>
      </c>
      <c r="AH215">
        <v>0</v>
      </c>
      <c r="AI215">
        <v>2</v>
      </c>
    </row>
    <row r="216" spans="1:35">
      <c r="A216">
        <v>28</v>
      </c>
      <c r="B216" t="str">
        <f t="shared" si="3"/>
        <v>Young Adults</v>
      </c>
      <c r="C216">
        <v>1</v>
      </c>
      <c r="D216" t="s">
        <v>36</v>
      </c>
      <c r="E216">
        <v>529</v>
      </c>
      <c r="F216" t="s">
        <v>45</v>
      </c>
      <c r="G216">
        <v>2</v>
      </c>
      <c r="H216" t="str" cm="1">
        <f t="array" ref="H216">_xlfn.IFS(G216&gt;15,"Long Commute",G216&gt;5,"Moderate",G216&lt;=5,"Near Office")</f>
        <v>Near Office</v>
      </c>
      <c r="I216" t="s">
        <v>83</v>
      </c>
      <c r="J216" t="s">
        <v>38</v>
      </c>
      <c r="K216">
        <v>1</v>
      </c>
      <c r="L216" t="s">
        <v>46</v>
      </c>
      <c r="M216">
        <v>79</v>
      </c>
      <c r="N216">
        <v>3</v>
      </c>
      <c r="O216">
        <v>1</v>
      </c>
      <c r="P216" t="s">
        <v>50</v>
      </c>
      <c r="Q216" t="s">
        <v>73</v>
      </c>
      <c r="R216" t="s">
        <v>41</v>
      </c>
      <c r="S216">
        <v>3485</v>
      </c>
      <c r="T216" t="str" cm="1">
        <f t="array" ref="T216">_xlfn.IFS(S216&gt;=10000,"High (&gt;10k)",S216&gt;=5000,"Medium (5k-10k)",S216&lt;5000,"Low (&lt;5k)")</f>
        <v>Low (&lt;5k)</v>
      </c>
      <c r="U216">
        <v>14935</v>
      </c>
      <c r="V216">
        <v>2</v>
      </c>
      <c r="W216" t="s">
        <v>43</v>
      </c>
      <c r="X216">
        <v>11</v>
      </c>
      <c r="Y216">
        <v>3</v>
      </c>
      <c r="Z216">
        <v>3</v>
      </c>
      <c r="AA216">
        <v>0</v>
      </c>
      <c r="AB216">
        <v>5</v>
      </c>
      <c r="AC216">
        <v>5</v>
      </c>
      <c r="AD216" t="s">
        <v>80</v>
      </c>
      <c r="AE216">
        <v>0</v>
      </c>
      <c r="AF216" t="str" cm="1">
        <f t="array" ref="AF216">_xlfn.IFS(AE216&gt;=10,"Veteran (10y+)",AE216&gt;=3,"Established (3-10y)",AE216&lt;3,"New Hire (&lt;3y)")</f>
        <v>New Hire (&lt;3y)</v>
      </c>
      <c r="AG216">
        <v>0</v>
      </c>
      <c r="AH216">
        <v>0</v>
      </c>
      <c r="AI216">
        <v>0</v>
      </c>
    </row>
    <row r="217" spans="1:35">
      <c r="A217">
        <v>28</v>
      </c>
      <c r="B217" t="str">
        <f t="shared" si="3"/>
        <v>Young Adults</v>
      </c>
      <c r="C217">
        <v>0</v>
      </c>
      <c r="D217" t="s">
        <v>36</v>
      </c>
      <c r="E217">
        <v>1158</v>
      </c>
      <c r="F217" t="s">
        <v>45</v>
      </c>
      <c r="G217">
        <v>9</v>
      </c>
      <c r="H217" t="str" cm="1">
        <f t="array" ref="H217">_xlfn.IFS(G217&gt;15,"Long Commute",G217&gt;5,"Moderate",G217&lt;=5,"Near Office")</f>
        <v>Moderate</v>
      </c>
      <c r="I217" t="s">
        <v>72</v>
      </c>
      <c r="J217" t="s">
        <v>51</v>
      </c>
      <c r="K217">
        <v>4</v>
      </c>
      <c r="L217" t="s">
        <v>46</v>
      </c>
      <c r="M217">
        <v>94</v>
      </c>
      <c r="N217">
        <v>3</v>
      </c>
      <c r="O217">
        <v>1</v>
      </c>
      <c r="P217" t="s">
        <v>47</v>
      </c>
      <c r="Q217" t="s">
        <v>77</v>
      </c>
      <c r="R217" t="s">
        <v>48</v>
      </c>
      <c r="S217">
        <v>2070</v>
      </c>
      <c r="T217" t="str" cm="1">
        <f t="array" ref="T217">_xlfn.IFS(S217&gt;=10000,"High (&gt;10k)",S217&gt;=5000,"Medium (5k-10k)",S217&lt;5000,"Low (&lt;5k)")</f>
        <v>Low (&lt;5k)</v>
      </c>
      <c r="U217">
        <v>2613</v>
      </c>
      <c r="V217">
        <v>1</v>
      </c>
      <c r="W217" t="s">
        <v>43</v>
      </c>
      <c r="X217">
        <v>23</v>
      </c>
      <c r="Y217">
        <v>4</v>
      </c>
      <c r="Z217">
        <v>4</v>
      </c>
      <c r="AA217">
        <v>1</v>
      </c>
      <c r="AB217">
        <v>5</v>
      </c>
      <c r="AC217">
        <v>3</v>
      </c>
      <c r="AD217" t="s">
        <v>81</v>
      </c>
      <c r="AE217">
        <v>5</v>
      </c>
      <c r="AF217" t="str" cm="1">
        <f t="array" ref="AF217">_xlfn.IFS(AE217&gt;=10,"Veteran (10y+)",AE217&gt;=3,"Established (3-10y)",AE217&lt;3,"New Hire (&lt;3y)")</f>
        <v>Established (3-10y)</v>
      </c>
      <c r="AG217">
        <v>2</v>
      </c>
      <c r="AH217">
        <v>0</v>
      </c>
      <c r="AI217">
        <v>4</v>
      </c>
    </row>
    <row r="218" spans="1:35">
      <c r="A218">
        <v>28</v>
      </c>
      <c r="B218" t="str">
        <f t="shared" si="3"/>
        <v>Young Adults</v>
      </c>
      <c r="C218">
        <v>0</v>
      </c>
      <c r="D218" t="s">
        <v>36</v>
      </c>
      <c r="E218">
        <v>1117</v>
      </c>
      <c r="F218" t="s">
        <v>45</v>
      </c>
      <c r="G218">
        <v>8</v>
      </c>
      <c r="H218" t="str" cm="1">
        <f t="array" ref="H218">_xlfn.IFS(G218&gt;15,"Long Commute",G218&gt;5,"Moderate",G218&lt;=5,"Near Office")</f>
        <v>Moderate</v>
      </c>
      <c r="I218" t="s">
        <v>76</v>
      </c>
      <c r="J218" t="s">
        <v>38</v>
      </c>
      <c r="K218">
        <v>4</v>
      </c>
      <c r="L218" t="s">
        <v>39</v>
      </c>
      <c r="M218">
        <v>66</v>
      </c>
      <c r="N218">
        <v>3</v>
      </c>
      <c r="O218">
        <v>1</v>
      </c>
      <c r="P218" t="s">
        <v>47</v>
      </c>
      <c r="Q218" t="s">
        <v>77</v>
      </c>
      <c r="R218" t="s">
        <v>41</v>
      </c>
      <c r="S218">
        <v>3310</v>
      </c>
      <c r="T218" t="str" cm="1">
        <f t="array" ref="T218">_xlfn.IFS(S218&gt;=10000,"High (&gt;10k)",S218&gt;=5000,"Medium (5k-10k)",S218&lt;5000,"Low (&lt;5k)")</f>
        <v>Low (&lt;5k)</v>
      </c>
      <c r="U218">
        <v>4488</v>
      </c>
      <c r="V218">
        <v>1</v>
      </c>
      <c r="W218" t="s">
        <v>43</v>
      </c>
      <c r="X218">
        <v>21</v>
      </c>
      <c r="Y218">
        <v>4</v>
      </c>
      <c r="Z218">
        <v>4</v>
      </c>
      <c r="AA218">
        <v>0</v>
      </c>
      <c r="AB218">
        <v>5</v>
      </c>
      <c r="AC218">
        <v>3</v>
      </c>
      <c r="AD218" t="s">
        <v>74</v>
      </c>
      <c r="AE218">
        <v>5</v>
      </c>
      <c r="AF218" t="str" cm="1">
        <f t="array" ref="AF218">_xlfn.IFS(AE218&gt;=10,"Veteran (10y+)",AE218&gt;=3,"Established (3-10y)",AE218&lt;3,"New Hire (&lt;3y)")</f>
        <v>Established (3-10y)</v>
      </c>
      <c r="AG218">
        <v>3</v>
      </c>
      <c r="AH218">
        <v>0</v>
      </c>
      <c r="AI218">
        <v>2</v>
      </c>
    </row>
    <row r="219" spans="1:35">
      <c r="A219">
        <v>28</v>
      </c>
      <c r="B219" t="str">
        <f t="shared" si="3"/>
        <v>Young Adults</v>
      </c>
      <c r="C219">
        <v>0</v>
      </c>
      <c r="D219" t="s">
        <v>36</v>
      </c>
      <c r="E219">
        <v>1476</v>
      </c>
      <c r="F219" t="s">
        <v>45</v>
      </c>
      <c r="G219">
        <v>16</v>
      </c>
      <c r="H219" t="str" cm="1">
        <f t="array" ref="H219">_xlfn.IFS(G219&gt;15,"Long Commute",G219&gt;5,"Moderate",G219&lt;=5,"Near Office")</f>
        <v>Long Commute</v>
      </c>
      <c r="I219" t="s">
        <v>76</v>
      </c>
      <c r="J219" t="s">
        <v>51</v>
      </c>
      <c r="K219">
        <v>2</v>
      </c>
      <c r="L219" t="s">
        <v>46</v>
      </c>
      <c r="M219">
        <v>68</v>
      </c>
      <c r="N219">
        <v>4</v>
      </c>
      <c r="O219">
        <v>2</v>
      </c>
      <c r="P219" t="s">
        <v>54</v>
      </c>
      <c r="Q219" t="s">
        <v>82</v>
      </c>
      <c r="R219" t="s">
        <v>41</v>
      </c>
      <c r="S219">
        <v>5661</v>
      </c>
      <c r="T219" t="str" cm="1">
        <f t="array" ref="T219">_xlfn.IFS(S219&gt;=10000,"High (&gt;10k)",S219&gt;=5000,"Medium (5k-10k)",S219&lt;5000,"Low (&lt;5k)")</f>
        <v>Medium (5k-10k)</v>
      </c>
      <c r="U219">
        <v>4824</v>
      </c>
      <c r="V219">
        <v>0</v>
      </c>
      <c r="W219" t="s">
        <v>43</v>
      </c>
      <c r="X219">
        <v>19</v>
      </c>
      <c r="Y219">
        <v>3</v>
      </c>
      <c r="Z219">
        <v>3</v>
      </c>
      <c r="AA219">
        <v>0</v>
      </c>
      <c r="AB219">
        <v>9</v>
      </c>
      <c r="AC219">
        <v>2</v>
      </c>
      <c r="AD219" t="s">
        <v>74</v>
      </c>
      <c r="AE219">
        <v>8</v>
      </c>
      <c r="AF219" t="str" cm="1">
        <f t="array" ref="AF219">_xlfn.IFS(AE219&gt;=10,"Veteran (10y+)",AE219&gt;=3,"Established (3-10y)",AE219&lt;3,"New Hire (&lt;3y)")</f>
        <v>Established (3-10y)</v>
      </c>
      <c r="AG219">
        <v>3</v>
      </c>
      <c r="AH219">
        <v>0</v>
      </c>
      <c r="AI219">
        <v>7</v>
      </c>
    </row>
    <row r="220" spans="1:35">
      <c r="A220">
        <v>28</v>
      </c>
      <c r="B220" t="str">
        <f t="shared" si="3"/>
        <v>Young Adults</v>
      </c>
      <c r="C220">
        <v>1</v>
      </c>
      <c r="D220" t="s">
        <v>36</v>
      </c>
      <c r="E220">
        <v>1157</v>
      </c>
      <c r="F220" t="s">
        <v>45</v>
      </c>
      <c r="G220">
        <v>2</v>
      </c>
      <c r="H220" t="str" cm="1">
        <f t="array" ref="H220">_xlfn.IFS(G220&gt;15,"Long Commute",G220&gt;5,"Moderate",G220&lt;=5,"Near Office")</f>
        <v>Near Office</v>
      </c>
      <c r="I220" t="s">
        <v>83</v>
      </c>
      <c r="J220" t="s">
        <v>51</v>
      </c>
      <c r="K220">
        <v>1</v>
      </c>
      <c r="L220" t="s">
        <v>46</v>
      </c>
      <c r="M220">
        <v>84</v>
      </c>
      <c r="N220">
        <v>1</v>
      </c>
      <c r="O220">
        <v>1</v>
      </c>
      <c r="P220" t="s">
        <v>47</v>
      </c>
      <c r="Q220" t="s">
        <v>77</v>
      </c>
      <c r="R220" t="s">
        <v>48</v>
      </c>
      <c r="S220">
        <v>3464</v>
      </c>
      <c r="T220" t="str" cm="1">
        <f t="array" ref="T220">_xlfn.IFS(S220&gt;=10000,"High (&gt;10k)",S220&gt;=5000,"Medium (5k-10k)",S220&lt;5000,"Low (&lt;5k)")</f>
        <v>Low (&lt;5k)</v>
      </c>
      <c r="U220">
        <v>24737</v>
      </c>
      <c r="V220">
        <v>5</v>
      </c>
      <c r="W220" t="s">
        <v>35</v>
      </c>
      <c r="X220">
        <v>13</v>
      </c>
      <c r="Y220">
        <v>3</v>
      </c>
      <c r="Z220">
        <v>4</v>
      </c>
      <c r="AA220">
        <v>0</v>
      </c>
      <c r="AB220">
        <v>5</v>
      </c>
      <c r="AC220">
        <v>4</v>
      </c>
      <c r="AD220" t="s">
        <v>81</v>
      </c>
      <c r="AE220">
        <v>3</v>
      </c>
      <c r="AF220" t="str" cm="1">
        <f t="array" ref="AF220">_xlfn.IFS(AE220&gt;=10,"Veteran (10y+)",AE220&gt;=3,"Established (3-10y)",AE220&lt;3,"New Hire (&lt;3y)")</f>
        <v>Established (3-10y)</v>
      </c>
      <c r="AG220">
        <v>2</v>
      </c>
      <c r="AH220">
        <v>2</v>
      </c>
      <c r="AI220">
        <v>2</v>
      </c>
    </row>
    <row r="221" spans="1:35">
      <c r="A221">
        <v>28</v>
      </c>
      <c r="B221" t="str">
        <f t="shared" si="3"/>
        <v>Young Adults</v>
      </c>
      <c r="C221">
        <v>0</v>
      </c>
      <c r="D221" t="s">
        <v>36</v>
      </c>
      <c r="E221">
        <v>304</v>
      </c>
      <c r="F221" t="s">
        <v>37</v>
      </c>
      <c r="G221">
        <v>9</v>
      </c>
      <c r="H221" t="str" cm="1">
        <f t="array" ref="H221">_xlfn.IFS(G221&gt;15,"Long Commute",G221&gt;5,"Moderate",G221&lt;=5,"Near Office")</f>
        <v>Moderate</v>
      </c>
      <c r="I221" t="s">
        <v>83</v>
      </c>
      <c r="J221" t="s">
        <v>38</v>
      </c>
      <c r="K221">
        <v>2</v>
      </c>
      <c r="L221" t="s">
        <v>46</v>
      </c>
      <c r="M221">
        <v>92</v>
      </c>
      <c r="N221">
        <v>3</v>
      </c>
      <c r="O221">
        <v>2</v>
      </c>
      <c r="P221" t="s">
        <v>40</v>
      </c>
      <c r="Q221" t="s">
        <v>77</v>
      </c>
      <c r="R221" t="s">
        <v>41</v>
      </c>
      <c r="S221">
        <v>5253</v>
      </c>
      <c r="T221" t="str" cm="1">
        <f t="array" ref="T221">_xlfn.IFS(S221&gt;=10000,"High (&gt;10k)",S221&gt;=5000,"Medium (5k-10k)",S221&lt;5000,"Low (&lt;5k)")</f>
        <v>Medium (5k-10k)</v>
      </c>
      <c r="U221">
        <v>20750</v>
      </c>
      <c r="V221">
        <v>1</v>
      </c>
      <c r="W221" t="s">
        <v>43</v>
      </c>
      <c r="X221">
        <v>16</v>
      </c>
      <c r="Y221">
        <v>3</v>
      </c>
      <c r="Z221">
        <v>4</v>
      </c>
      <c r="AA221">
        <v>0</v>
      </c>
      <c r="AB221">
        <v>7</v>
      </c>
      <c r="AC221">
        <v>1</v>
      </c>
      <c r="AD221" t="s">
        <v>74</v>
      </c>
      <c r="AE221">
        <v>7</v>
      </c>
      <c r="AF221" t="str" cm="1">
        <f t="array" ref="AF221">_xlfn.IFS(AE221&gt;=10,"Veteran (10y+)",AE221&gt;=3,"Established (3-10y)",AE221&lt;3,"New Hire (&lt;3y)")</f>
        <v>Established (3-10y)</v>
      </c>
      <c r="AG221">
        <v>5</v>
      </c>
      <c r="AH221">
        <v>0</v>
      </c>
      <c r="AI221">
        <v>7</v>
      </c>
    </row>
    <row r="222" spans="1:35">
      <c r="A222">
        <v>28</v>
      </c>
      <c r="B222" t="str">
        <f t="shared" si="3"/>
        <v>Young Adults</v>
      </c>
      <c r="C222">
        <v>0</v>
      </c>
      <c r="D222" t="s">
        <v>36</v>
      </c>
      <c r="E222">
        <v>1300</v>
      </c>
      <c r="F222" t="s">
        <v>45</v>
      </c>
      <c r="G222">
        <v>17</v>
      </c>
      <c r="H222" t="str" cm="1">
        <f t="array" ref="H222">_xlfn.IFS(G222&gt;15,"Long Commute",G222&gt;5,"Moderate",G222&lt;=5,"Near Office")</f>
        <v>Long Commute</v>
      </c>
      <c r="I222" t="s">
        <v>76</v>
      </c>
      <c r="J222" t="s">
        <v>51</v>
      </c>
      <c r="K222">
        <v>3</v>
      </c>
      <c r="L222" t="s">
        <v>46</v>
      </c>
      <c r="M222">
        <v>79</v>
      </c>
      <c r="N222">
        <v>3</v>
      </c>
      <c r="O222">
        <v>2</v>
      </c>
      <c r="P222" t="s">
        <v>50</v>
      </c>
      <c r="Q222" t="s">
        <v>82</v>
      </c>
      <c r="R222" t="s">
        <v>52</v>
      </c>
      <c r="S222">
        <v>4558</v>
      </c>
      <c r="T222" t="str" cm="1">
        <f t="array" ref="T222">_xlfn.IFS(S222&gt;=10000,"High (&gt;10k)",S222&gt;=5000,"Medium (5k-10k)",S222&lt;5000,"Low (&lt;5k)")</f>
        <v>Low (&lt;5k)</v>
      </c>
      <c r="U222">
        <v>13535</v>
      </c>
      <c r="V222">
        <v>1</v>
      </c>
      <c r="W222" t="s">
        <v>43</v>
      </c>
      <c r="X222">
        <v>12</v>
      </c>
      <c r="Y222">
        <v>3</v>
      </c>
      <c r="Z222">
        <v>4</v>
      </c>
      <c r="AA222">
        <v>1</v>
      </c>
      <c r="AB222">
        <v>10</v>
      </c>
      <c r="AC222">
        <v>2</v>
      </c>
      <c r="AD222" t="s">
        <v>74</v>
      </c>
      <c r="AE222">
        <v>10</v>
      </c>
      <c r="AF222" t="str" cm="1">
        <f t="array" ref="AF222">_xlfn.IFS(AE222&gt;=10,"Veteran (10y+)",AE222&gt;=3,"Established (3-10y)",AE222&lt;3,"New Hire (&lt;3y)")</f>
        <v>Veteran (10y+)</v>
      </c>
      <c r="AG222">
        <v>0</v>
      </c>
      <c r="AH222">
        <v>1</v>
      </c>
      <c r="AI222">
        <v>8</v>
      </c>
    </row>
    <row r="223" spans="1:35">
      <c r="A223">
        <v>28</v>
      </c>
      <c r="B223" t="str">
        <f t="shared" si="3"/>
        <v>Young Adults</v>
      </c>
      <c r="C223">
        <v>1</v>
      </c>
      <c r="D223" t="s">
        <v>36</v>
      </c>
      <c r="E223">
        <v>654</v>
      </c>
      <c r="F223" t="s">
        <v>45</v>
      </c>
      <c r="G223">
        <v>1</v>
      </c>
      <c r="H223" t="str" cm="1">
        <f t="array" ref="H223">_xlfn.IFS(G223&gt;15,"Long Commute",G223&gt;5,"Moderate",G223&lt;=5,"Near Office")</f>
        <v>Near Office</v>
      </c>
      <c r="I223" t="s">
        <v>76</v>
      </c>
      <c r="J223" t="s">
        <v>38</v>
      </c>
      <c r="K223">
        <v>1</v>
      </c>
      <c r="L223" t="s">
        <v>39</v>
      </c>
      <c r="M223">
        <v>67</v>
      </c>
      <c r="N223">
        <v>1</v>
      </c>
      <c r="O223">
        <v>1</v>
      </c>
      <c r="P223" t="s">
        <v>47</v>
      </c>
      <c r="Q223" t="s">
        <v>75</v>
      </c>
      <c r="R223" t="s">
        <v>41</v>
      </c>
      <c r="S223">
        <v>2216</v>
      </c>
      <c r="T223" t="str" cm="1">
        <f t="array" ref="T223">_xlfn.IFS(S223&gt;=10000,"High (&gt;10k)",S223&gt;=5000,"Medium (5k-10k)",S223&lt;5000,"Low (&lt;5k)")</f>
        <v>Low (&lt;5k)</v>
      </c>
      <c r="U223">
        <v>3872</v>
      </c>
      <c r="V223">
        <v>7</v>
      </c>
      <c r="W223" t="s">
        <v>35</v>
      </c>
      <c r="X223">
        <v>13</v>
      </c>
      <c r="Y223">
        <v>3</v>
      </c>
      <c r="Z223">
        <v>4</v>
      </c>
      <c r="AA223">
        <v>0</v>
      </c>
      <c r="AB223">
        <v>10</v>
      </c>
      <c r="AC223">
        <v>4</v>
      </c>
      <c r="AD223" t="s">
        <v>74</v>
      </c>
      <c r="AE223">
        <v>7</v>
      </c>
      <c r="AF223" t="str" cm="1">
        <f t="array" ref="AF223">_xlfn.IFS(AE223&gt;=10,"Veteran (10y+)",AE223&gt;=3,"Established (3-10y)",AE223&lt;3,"New Hire (&lt;3y)")</f>
        <v>Established (3-10y)</v>
      </c>
      <c r="AG223">
        <v>7</v>
      </c>
      <c r="AH223">
        <v>3</v>
      </c>
      <c r="AI223">
        <v>7</v>
      </c>
    </row>
    <row r="224" spans="1:35">
      <c r="A224">
        <v>28</v>
      </c>
      <c r="B224" t="str">
        <f t="shared" si="3"/>
        <v>Young Adults</v>
      </c>
      <c r="C224">
        <v>1</v>
      </c>
      <c r="D224" t="s">
        <v>36</v>
      </c>
      <c r="E224">
        <v>890</v>
      </c>
      <c r="F224" t="s">
        <v>45</v>
      </c>
      <c r="G224">
        <v>2</v>
      </c>
      <c r="H224" t="str" cm="1">
        <f t="array" ref="H224">_xlfn.IFS(G224&gt;15,"Long Commute",G224&gt;5,"Moderate",G224&lt;=5,"Near Office")</f>
        <v>Near Office</v>
      </c>
      <c r="I224" t="s">
        <v>83</v>
      </c>
      <c r="J224" t="s">
        <v>51</v>
      </c>
      <c r="K224">
        <v>3</v>
      </c>
      <c r="L224" t="s">
        <v>46</v>
      </c>
      <c r="M224">
        <v>46</v>
      </c>
      <c r="N224">
        <v>3</v>
      </c>
      <c r="O224">
        <v>1</v>
      </c>
      <c r="P224" t="s">
        <v>47</v>
      </c>
      <c r="Q224" t="s">
        <v>73</v>
      </c>
      <c r="R224" t="s">
        <v>41</v>
      </c>
      <c r="S224">
        <v>4382</v>
      </c>
      <c r="T224" t="str" cm="1">
        <f t="array" ref="T224">_xlfn.IFS(S224&gt;=10000,"High (&gt;10k)",S224&gt;=5000,"Medium (5k-10k)",S224&lt;5000,"Low (&lt;5k)")</f>
        <v>Low (&lt;5k)</v>
      </c>
      <c r="U224">
        <v>16374</v>
      </c>
      <c r="V224">
        <v>6</v>
      </c>
      <c r="W224" t="s">
        <v>43</v>
      </c>
      <c r="X224">
        <v>17</v>
      </c>
      <c r="Y224">
        <v>3</v>
      </c>
      <c r="Z224">
        <v>4</v>
      </c>
      <c r="AA224">
        <v>0</v>
      </c>
      <c r="AB224">
        <v>5</v>
      </c>
      <c r="AC224">
        <v>3</v>
      </c>
      <c r="AD224" t="s">
        <v>81</v>
      </c>
      <c r="AE224">
        <v>2</v>
      </c>
      <c r="AF224" t="str" cm="1">
        <f t="array" ref="AF224">_xlfn.IFS(AE224&gt;=10,"Veteran (10y+)",AE224&gt;=3,"Established (3-10y)",AE224&lt;3,"New Hire (&lt;3y)")</f>
        <v>New Hire (&lt;3y)</v>
      </c>
      <c r="AG224">
        <v>2</v>
      </c>
      <c r="AH224">
        <v>2</v>
      </c>
      <c r="AI224">
        <v>1</v>
      </c>
    </row>
    <row r="225" spans="1:35">
      <c r="A225">
        <v>28</v>
      </c>
      <c r="B225" t="str">
        <f t="shared" si="3"/>
        <v>Young Adults</v>
      </c>
      <c r="C225">
        <v>0</v>
      </c>
      <c r="D225" t="s">
        <v>36</v>
      </c>
      <c r="E225">
        <v>760</v>
      </c>
      <c r="F225" t="s">
        <v>37</v>
      </c>
      <c r="G225">
        <v>2</v>
      </c>
      <c r="H225" t="str" cm="1">
        <f t="array" ref="H225">_xlfn.IFS(G225&gt;15,"Long Commute",G225&gt;5,"Moderate",G225&lt;=5,"Near Office")</f>
        <v>Near Office</v>
      </c>
      <c r="I225" t="s">
        <v>83</v>
      </c>
      <c r="J225" t="s">
        <v>59</v>
      </c>
      <c r="K225">
        <v>2</v>
      </c>
      <c r="L225" t="s">
        <v>39</v>
      </c>
      <c r="M225">
        <v>81</v>
      </c>
      <c r="N225">
        <v>3</v>
      </c>
      <c r="O225">
        <v>2</v>
      </c>
      <c r="P225" t="s">
        <v>40</v>
      </c>
      <c r="Q225" t="s">
        <v>75</v>
      </c>
      <c r="R225" t="s">
        <v>48</v>
      </c>
      <c r="S225">
        <v>4779</v>
      </c>
      <c r="T225" t="str" cm="1">
        <f t="array" ref="T225">_xlfn.IFS(S225&gt;=10000,"High (&gt;10k)",S225&gt;=5000,"Medium (5k-10k)",S225&lt;5000,"Low (&lt;5k)")</f>
        <v>Low (&lt;5k)</v>
      </c>
      <c r="U225">
        <v>3698</v>
      </c>
      <c r="V225">
        <v>1</v>
      </c>
      <c r="W225" t="s">
        <v>35</v>
      </c>
      <c r="X225">
        <v>20</v>
      </c>
      <c r="Y225">
        <v>4</v>
      </c>
      <c r="Z225">
        <v>1</v>
      </c>
      <c r="AA225">
        <v>0</v>
      </c>
      <c r="AB225">
        <v>8</v>
      </c>
      <c r="AC225">
        <v>2</v>
      </c>
      <c r="AD225" t="s">
        <v>74</v>
      </c>
      <c r="AE225">
        <v>8</v>
      </c>
      <c r="AF225" t="str" cm="1">
        <f t="array" ref="AF225">_xlfn.IFS(AE225&gt;=10,"Veteran (10y+)",AE225&gt;=3,"Established (3-10y)",AE225&lt;3,"New Hire (&lt;3y)")</f>
        <v>Established (3-10y)</v>
      </c>
      <c r="AG225">
        <v>7</v>
      </c>
      <c r="AH225">
        <v>7</v>
      </c>
      <c r="AI225">
        <v>5</v>
      </c>
    </row>
    <row r="226" spans="1:35">
      <c r="A226">
        <v>28</v>
      </c>
      <c r="B226" t="str">
        <f t="shared" si="3"/>
        <v>Young Adults</v>
      </c>
      <c r="C226">
        <v>0</v>
      </c>
      <c r="D226" t="s">
        <v>36</v>
      </c>
      <c r="E226">
        <v>1169</v>
      </c>
      <c r="F226" t="s">
        <v>61</v>
      </c>
      <c r="G226">
        <v>8</v>
      </c>
      <c r="H226" t="str" cm="1">
        <f t="array" ref="H226">_xlfn.IFS(G226&gt;15,"Long Commute",G226&gt;5,"Moderate",G226&lt;=5,"Near Office")</f>
        <v>Moderate</v>
      </c>
      <c r="I226" t="s">
        <v>76</v>
      </c>
      <c r="J226" t="s">
        <v>51</v>
      </c>
      <c r="K226">
        <v>2</v>
      </c>
      <c r="L226" t="s">
        <v>46</v>
      </c>
      <c r="M226">
        <v>63</v>
      </c>
      <c r="N226">
        <v>2</v>
      </c>
      <c r="O226">
        <v>1</v>
      </c>
      <c r="P226" t="s">
        <v>61</v>
      </c>
      <c r="Q226" t="s">
        <v>77</v>
      </c>
      <c r="R226" t="s">
        <v>52</v>
      </c>
      <c r="S226">
        <v>4936</v>
      </c>
      <c r="T226" t="str" cm="1">
        <f t="array" ref="T226">_xlfn.IFS(S226&gt;=10000,"High (&gt;10k)",S226&gt;=5000,"Medium (5k-10k)",S226&lt;5000,"Low (&lt;5k)")</f>
        <v>Low (&lt;5k)</v>
      </c>
      <c r="U226">
        <v>23965</v>
      </c>
      <c r="V226">
        <v>1</v>
      </c>
      <c r="W226" t="s">
        <v>43</v>
      </c>
      <c r="X226">
        <v>13</v>
      </c>
      <c r="Y226">
        <v>3</v>
      </c>
      <c r="Z226">
        <v>4</v>
      </c>
      <c r="AA226">
        <v>1</v>
      </c>
      <c r="AB226">
        <v>6</v>
      </c>
      <c r="AC226">
        <v>6</v>
      </c>
      <c r="AD226" t="s">
        <v>74</v>
      </c>
      <c r="AE226">
        <v>5</v>
      </c>
      <c r="AF226" t="str" cm="1">
        <f t="array" ref="AF226">_xlfn.IFS(AE226&gt;=10,"Veteran (10y+)",AE226&gt;=3,"Established (3-10y)",AE226&lt;3,"New Hire (&lt;3y)")</f>
        <v>Established (3-10y)</v>
      </c>
      <c r="AG226">
        <v>1</v>
      </c>
      <c r="AH226">
        <v>0</v>
      </c>
      <c r="AI226">
        <v>4</v>
      </c>
    </row>
    <row r="227" spans="1:35">
      <c r="A227">
        <v>28</v>
      </c>
      <c r="B227" t="str">
        <f t="shared" si="3"/>
        <v>Young Adults</v>
      </c>
      <c r="C227">
        <v>0</v>
      </c>
      <c r="D227" t="s">
        <v>36</v>
      </c>
      <c r="E227">
        <v>821</v>
      </c>
      <c r="F227" t="s">
        <v>37</v>
      </c>
      <c r="G227">
        <v>5</v>
      </c>
      <c r="H227" t="str" cm="1">
        <f t="array" ref="H227">_xlfn.IFS(G227&gt;15,"Long Commute",G227&gt;5,"Moderate",G227&lt;=5,"Near Office")</f>
        <v>Near Office</v>
      </c>
      <c r="I227" t="s">
        <v>83</v>
      </c>
      <c r="J227" t="s">
        <v>51</v>
      </c>
      <c r="K227">
        <v>1</v>
      </c>
      <c r="L227" t="s">
        <v>46</v>
      </c>
      <c r="M227">
        <v>98</v>
      </c>
      <c r="N227">
        <v>3</v>
      </c>
      <c r="O227">
        <v>2</v>
      </c>
      <c r="P227" t="s">
        <v>40</v>
      </c>
      <c r="Q227" t="s">
        <v>77</v>
      </c>
      <c r="R227" t="s">
        <v>41</v>
      </c>
      <c r="S227">
        <v>4908</v>
      </c>
      <c r="T227" t="str" cm="1">
        <f t="array" ref="T227">_xlfn.IFS(S227&gt;=10000,"High (&gt;10k)",S227&gt;=5000,"Medium (5k-10k)",S227&lt;5000,"Low (&lt;5k)")</f>
        <v>Low (&lt;5k)</v>
      </c>
      <c r="U227">
        <v>24252</v>
      </c>
      <c r="V227">
        <v>1</v>
      </c>
      <c r="W227" t="s">
        <v>43</v>
      </c>
      <c r="X227">
        <v>14</v>
      </c>
      <c r="Y227">
        <v>3</v>
      </c>
      <c r="Z227">
        <v>2</v>
      </c>
      <c r="AA227">
        <v>0</v>
      </c>
      <c r="AB227">
        <v>4</v>
      </c>
      <c r="AC227">
        <v>3</v>
      </c>
      <c r="AD227" t="s">
        <v>74</v>
      </c>
      <c r="AE227">
        <v>4</v>
      </c>
      <c r="AF227" t="str" cm="1">
        <f t="array" ref="AF227">_xlfn.IFS(AE227&gt;=10,"Veteran (10y+)",AE227&gt;=3,"Established (3-10y)",AE227&lt;3,"New Hire (&lt;3y)")</f>
        <v>Established (3-10y)</v>
      </c>
      <c r="AG227">
        <v>2</v>
      </c>
      <c r="AH227">
        <v>0</v>
      </c>
      <c r="AI227">
        <v>2</v>
      </c>
    </row>
    <row r="228" spans="1:35">
      <c r="A228">
        <v>28</v>
      </c>
      <c r="B228" t="str">
        <f t="shared" si="3"/>
        <v>Young Adults</v>
      </c>
      <c r="C228">
        <v>0</v>
      </c>
      <c r="D228" t="s">
        <v>36</v>
      </c>
      <c r="E228">
        <v>995</v>
      </c>
      <c r="F228" t="s">
        <v>45</v>
      </c>
      <c r="G228">
        <v>9</v>
      </c>
      <c r="H228" t="str" cm="1">
        <f t="array" ref="H228">_xlfn.IFS(G228&gt;15,"Long Commute",G228&gt;5,"Moderate",G228&lt;=5,"Near Office")</f>
        <v>Moderate</v>
      </c>
      <c r="I228" t="s">
        <v>72</v>
      </c>
      <c r="J228" t="s">
        <v>51</v>
      </c>
      <c r="K228">
        <v>3</v>
      </c>
      <c r="L228" t="s">
        <v>39</v>
      </c>
      <c r="M228">
        <v>77</v>
      </c>
      <c r="N228">
        <v>3</v>
      </c>
      <c r="O228">
        <v>1</v>
      </c>
      <c r="P228" t="s">
        <v>47</v>
      </c>
      <c r="Q228" t="s">
        <v>73</v>
      </c>
      <c r="R228" t="s">
        <v>52</v>
      </c>
      <c r="S228">
        <v>2377</v>
      </c>
      <c r="T228" t="str" cm="1">
        <f t="array" ref="T228">_xlfn.IFS(S228&gt;=10000,"High (&gt;10k)",S228&gt;=5000,"Medium (5k-10k)",S228&lt;5000,"Low (&lt;5k)")</f>
        <v>Low (&lt;5k)</v>
      </c>
      <c r="U228">
        <v>9834</v>
      </c>
      <c r="V228">
        <v>5</v>
      </c>
      <c r="W228" t="s">
        <v>43</v>
      </c>
      <c r="X228">
        <v>18</v>
      </c>
      <c r="Y228">
        <v>3</v>
      </c>
      <c r="Z228">
        <v>2</v>
      </c>
      <c r="AA228">
        <v>1</v>
      </c>
      <c r="AB228">
        <v>6</v>
      </c>
      <c r="AC228">
        <v>2</v>
      </c>
      <c r="AD228" t="s">
        <v>74</v>
      </c>
      <c r="AE228">
        <v>2</v>
      </c>
      <c r="AF228" t="str" cm="1">
        <f t="array" ref="AF228">_xlfn.IFS(AE228&gt;=10,"Veteran (10y+)",AE228&gt;=3,"Established (3-10y)",AE228&lt;3,"New Hire (&lt;3y)")</f>
        <v>New Hire (&lt;3y)</v>
      </c>
      <c r="AG228">
        <v>2</v>
      </c>
      <c r="AH228">
        <v>2</v>
      </c>
      <c r="AI228">
        <v>2</v>
      </c>
    </row>
    <row r="229" spans="1:35">
      <c r="A229">
        <v>28</v>
      </c>
      <c r="B229" t="str">
        <f t="shared" si="3"/>
        <v>Young Adults</v>
      </c>
      <c r="C229">
        <v>0</v>
      </c>
      <c r="D229" t="s">
        <v>36</v>
      </c>
      <c r="E229">
        <v>1144</v>
      </c>
      <c r="F229" t="s">
        <v>37</v>
      </c>
      <c r="G229">
        <v>10</v>
      </c>
      <c r="H229" t="str" cm="1">
        <f t="array" ref="H229">_xlfn.IFS(G229&gt;15,"Long Commute",G229&gt;5,"Moderate",G229&lt;=5,"Near Office")</f>
        <v>Moderate</v>
      </c>
      <c r="I229" t="s">
        <v>78</v>
      </c>
      <c r="J229" t="s">
        <v>51</v>
      </c>
      <c r="K229">
        <v>4</v>
      </c>
      <c r="L229" t="s">
        <v>46</v>
      </c>
      <c r="M229">
        <v>74</v>
      </c>
      <c r="N229">
        <v>3</v>
      </c>
      <c r="O229">
        <v>1</v>
      </c>
      <c r="P229" t="s">
        <v>57</v>
      </c>
      <c r="Q229" t="s">
        <v>75</v>
      </c>
      <c r="R229" t="s">
        <v>48</v>
      </c>
      <c r="S229">
        <v>1052</v>
      </c>
      <c r="T229" t="str" cm="1">
        <f t="array" ref="T229">_xlfn.IFS(S229&gt;=10000,"High (&gt;10k)",S229&gt;=5000,"Medium (5k-10k)",S229&lt;5000,"Low (&lt;5k)")</f>
        <v>Low (&lt;5k)</v>
      </c>
      <c r="U229">
        <v>23384</v>
      </c>
      <c r="V229">
        <v>1</v>
      </c>
      <c r="W229" t="s">
        <v>43</v>
      </c>
      <c r="X229">
        <v>22</v>
      </c>
      <c r="Y229">
        <v>4</v>
      </c>
      <c r="Z229">
        <v>2</v>
      </c>
      <c r="AA229">
        <v>0</v>
      </c>
      <c r="AB229">
        <v>1</v>
      </c>
      <c r="AC229">
        <v>5</v>
      </c>
      <c r="AD229" t="s">
        <v>74</v>
      </c>
      <c r="AE229">
        <v>1</v>
      </c>
      <c r="AF229" t="str" cm="1">
        <f t="array" ref="AF229">_xlfn.IFS(AE229&gt;=10,"Veteran (10y+)",AE229&gt;=3,"Established (3-10y)",AE229&lt;3,"New Hire (&lt;3y)")</f>
        <v>New Hire (&lt;3y)</v>
      </c>
      <c r="AG229">
        <v>0</v>
      </c>
      <c r="AH229">
        <v>0</v>
      </c>
      <c r="AI229">
        <v>0</v>
      </c>
    </row>
    <row r="230" spans="1:35">
      <c r="A230">
        <v>28</v>
      </c>
      <c r="B230" t="str">
        <f t="shared" si="3"/>
        <v>Young Adults</v>
      </c>
      <c r="C230">
        <v>1</v>
      </c>
      <c r="D230" t="s">
        <v>55</v>
      </c>
      <c r="E230">
        <v>1366</v>
      </c>
      <c r="F230" t="s">
        <v>45</v>
      </c>
      <c r="G230">
        <v>24</v>
      </c>
      <c r="H230" t="str" cm="1">
        <f t="array" ref="H230">_xlfn.IFS(G230&gt;15,"Long Commute",G230&gt;5,"Moderate",G230&lt;=5,"Near Office")</f>
        <v>Long Commute</v>
      </c>
      <c r="I230" t="s">
        <v>76</v>
      </c>
      <c r="J230" t="s">
        <v>60</v>
      </c>
      <c r="K230">
        <v>2</v>
      </c>
      <c r="L230" t="s">
        <v>46</v>
      </c>
      <c r="M230">
        <v>72</v>
      </c>
      <c r="N230">
        <v>2</v>
      </c>
      <c r="O230">
        <v>3</v>
      </c>
      <c r="P230" t="s">
        <v>54</v>
      </c>
      <c r="Q230" t="s">
        <v>82</v>
      </c>
      <c r="R230" t="s">
        <v>41</v>
      </c>
      <c r="S230">
        <v>8722</v>
      </c>
      <c r="T230" t="str" cm="1">
        <f t="array" ref="T230">_xlfn.IFS(S230&gt;=10000,"High (&gt;10k)",S230&gt;=5000,"Medium (5k-10k)",S230&lt;5000,"Low (&lt;5k)")</f>
        <v>Medium (5k-10k)</v>
      </c>
      <c r="U230">
        <v>12355</v>
      </c>
      <c r="V230">
        <v>1</v>
      </c>
      <c r="W230" t="s">
        <v>43</v>
      </c>
      <c r="X230">
        <v>12</v>
      </c>
      <c r="Y230">
        <v>3</v>
      </c>
      <c r="Z230">
        <v>1</v>
      </c>
      <c r="AA230">
        <v>0</v>
      </c>
      <c r="AB230">
        <v>10</v>
      </c>
      <c r="AC230">
        <v>2</v>
      </c>
      <c r="AD230" t="s">
        <v>81</v>
      </c>
      <c r="AE230">
        <v>10</v>
      </c>
      <c r="AF230" t="str" cm="1">
        <f t="array" ref="AF230">_xlfn.IFS(AE230&gt;=10,"Veteran (10y+)",AE230&gt;=3,"Established (3-10y)",AE230&lt;3,"New Hire (&lt;3y)")</f>
        <v>Veteran (10y+)</v>
      </c>
      <c r="AG230">
        <v>7</v>
      </c>
      <c r="AH230">
        <v>1</v>
      </c>
      <c r="AI230">
        <v>9</v>
      </c>
    </row>
    <row r="231" spans="1:35">
      <c r="A231">
        <v>28</v>
      </c>
      <c r="B231" t="str">
        <f t="shared" si="3"/>
        <v>Young Adults</v>
      </c>
      <c r="C231">
        <v>0</v>
      </c>
      <c r="D231" t="s">
        <v>36</v>
      </c>
      <c r="E231">
        <v>857</v>
      </c>
      <c r="F231" t="s">
        <v>45</v>
      </c>
      <c r="G231">
        <v>10</v>
      </c>
      <c r="H231" t="str" cm="1">
        <f t="array" ref="H231">_xlfn.IFS(G231&gt;15,"Long Commute",G231&gt;5,"Moderate",G231&lt;=5,"Near Office")</f>
        <v>Moderate</v>
      </c>
      <c r="I231" t="s">
        <v>72</v>
      </c>
      <c r="J231" t="s">
        <v>49</v>
      </c>
      <c r="K231">
        <v>3</v>
      </c>
      <c r="L231" t="s">
        <v>39</v>
      </c>
      <c r="M231">
        <v>59</v>
      </c>
      <c r="N231">
        <v>3</v>
      </c>
      <c r="O231">
        <v>2</v>
      </c>
      <c r="P231" t="s">
        <v>47</v>
      </c>
      <c r="Q231" t="s">
        <v>73</v>
      </c>
      <c r="R231" t="s">
        <v>41</v>
      </c>
      <c r="S231">
        <v>3660</v>
      </c>
      <c r="T231" t="str" cm="1">
        <f t="array" ref="T231">_xlfn.IFS(S231&gt;=10000,"High (&gt;10k)",S231&gt;=5000,"Medium (5k-10k)",S231&lt;5000,"Low (&lt;5k)")</f>
        <v>Low (&lt;5k)</v>
      </c>
      <c r="U231">
        <v>7909</v>
      </c>
      <c r="V231">
        <v>3</v>
      </c>
      <c r="W231" t="s">
        <v>43</v>
      </c>
      <c r="X231">
        <v>13</v>
      </c>
      <c r="Y231">
        <v>3</v>
      </c>
      <c r="Z231">
        <v>4</v>
      </c>
      <c r="AA231">
        <v>0</v>
      </c>
      <c r="AB231">
        <v>10</v>
      </c>
      <c r="AC231">
        <v>4</v>
      </c>
      <c r="AD231" t="s">
        <v>79</v>
      </c>
      <c r="AE231">
        <v>8</v>
      </c>
      <c r="AF231" t="str" cm="1">
        <f t="array" ref="AF231">_xlfn.IFS(AE231&gt;=10,"Veteran (10y+)",AE231&gt;=3,"Established (3-10y)",AE231&lt;3,"New Hire (&lt;3y)")</f>
        <v>Established (3-10y)</v>
      </c>
      <c r="AG231">
        <v>7</v>
      </c>
      <c r="AH231">
        <v>1</v>
      </c>
      <c r="AI231">
        <v>7</v>
      </c>
    </row>
    <row r="232" spans="1:35">
      <c r="A232">
        <v>28</v>
      </c>
      <c r="B232" t="str">
        <f t="shared" si="3"/>
        <v>Young Adults</v>
      </c>
      <c r="C232">
        <v>0</v>
      </c>
      <c r="D232" t="s">
        <v>36</v>
      </c>
      <c r="E232">
        <v>895</v>
      </c>
      <c r="F232" t="s">
        <v>45</v>
      </c>
      <c r="G232">
        <v>15</v>
      </c>
      <c r="H232" t="str" cm="1">
        <f t="array" ref="H232">_xlfn.IFS(G232&gt;15,"Long Commute",G232&gt;5,"Moderate",G232&lt;=5,"Near Office")</f>
        <v>Moderate</v>
      </c>
      <c r="I232" t="s">
        <v>76</v>
      </c>
      <c r="J232" t="s">
        <v>38</v>
      </c>
      <c r="K232">
        <v>1</v>
      </c>
      <c r="L232" t="s">
        <v>46</v>
      </c>
      <c r="M232">
        <v>50</v>
      </c>
      <c r="N232">
        <v>3</v>
      </c>
      <c r="O232">
        <v>1</v>
      </c>
      <c r="P232" t="s">
        <v>50</v>
      </c>
      <c r="Q232" t="s">
        <v>73</v>
      </c>
      <c r="R232" t="s">
        <v>52</v>
      </c>
      <c r="S232">
        <v>2207</v>
      </c>
      <c r="T232" t="str" cm="1">
        <f t="array" ref="T232">_xlfn.IFS(S232&gt;=10000,"High (&gt;10k)",S232&gt;=5000,"Medium (5k-10k)",S232&lt;5000,"Low (&lt;5k)")</f>
        <v>Low (&lt;5k)</v>
      </c>
      <c r="U232">
        <v>22482</v>
      </c>
      <c r="V232">
        <v>1</v>
      </c>
      <c r="W232" t="s">
        <v>43</v>
      </c>
      <c r="X232">
        <v>16</v>
      </c>
      <c r="Y232">
        <v>3</v>
      </c>
      <c r="Z232">
        <v>4</v>
      </c>
      <c r="AA232">
        <v>1</v>
      </c>
      <c r="AB232">
        <v>4</v>
      </c>
      <c r="AC232">
        <v>5</v>
      </c>
      <c r="AD232" t="s">
        <v>81</v>
      </c>
      <c r="AE232">
        <v>4</v>
      </c>
      <c r="AF232" t="str" cm="1">
        <f t="array" ref="AF232">_xlfn.IFS(AE232&gt;=10,"Veteran (10y+)",AE232&gt;=3,"Established (3-10y)",AE232&lt;3,"New Hire (&lt;3y)")</f>
        <v>Established (3-10y)</v>
      </c>
      <c r="AG232">
        <v>2</v>
      </c>
      <c r="AH232">
        <v>2</v>
      </c>
      <c r="AI232">
        <v>2</v>
      </c>
    </row>
    <row r="233" spans="1:35">
      <c r="A233">
        <v>28</v>
      </c>
      <c r="B233" t="str">
        <f t="shared" si="3"/>
        <v>Young Adults</v>
      </c>
      <c r="C233">
        <v>1</v>
      </c>
      <c r="D233" t="s">
        <v>44</v>
      </c>
      <c r="E233">
        <v>1009</v>
      </c>
      <c r="F233" t="s">
        <v>45</v>
      </c>
      <c r="G233">
        <v>1</v>
      </c>
      <c r="H233" t="str" cm="1">
        <f t="array" ref="H233">_xlfn.IFS(G233&gt;15,"Long Commute",G233&gt;5,"Moderate",G233&lt;=5,"Near Office")</f>
        <v>Near Office</v>
      </c>
      <c r="I233" t="s">
        <v>72</v>
      </c>
      <c r="J233" t="s">
        <v>51</v>
      </c>
      <c r="K233">
        <v>1</v>
      </c>
      <c r="L233" t="s">
        <v>46</v>
      </c>
      <c r="M233">
        <v>45</v>
      </c>
      <c r="N233">
        <v>2</v>
      </c>
      <c r="O233">
        <v>1</v>
      </c>
      <c r="P233" t="s">
        <v>50</v>
      </c>
      <c r="Q233" t="s">
        <v>75</v>
      </c>
      <c r="R233" t="s">
        <v>52</v>
      </c>
      <c r="S233">
        <v>2596</v>
      </c>
      <c r="T233" t="str" cm="1">
        <f t="array" ref="T233">_xlfn.IFS(S233&gt;=10000,"High (&gt;10k)",S233&gt;=5000,"Medium (5k-10k)",S233&lt;5000,"Low (&lt;5k)")</f>
        <v>Low (&lt;5k)</v>
      </c>
      <c r="U233">
        <v>7160</v>
      </c>
      <c r="V233">
        <v>1</v>
      </c>
      <c r="W233" t="s">
        <v>43</v>
      </c>
      <c r="X233">
        <v>15</v>
      </c>
      <c r="Y233">
        <v>3</v>
      </c>
      <c r="Z233">
        <v>1</v>
      </c>
      <c r="AA233">
        <v>2</v>
      </c>
      <c r="AB233">
        <v>1</v>
      </c>
      <c r="AC233">
        <v>2</v>
      </c>
      <c r="AD233" t="s">
        <v>74</v>
      </c>
      <c r="AE233">
        <v>1</v>
      </c>
      <c r="AF233" t="str" cm="1">
        <f t="array" ref="AF233">_xlfn.IFS(AE233&gt;=10,"Veteran (10y+)",AE233&gt;=3,"Established (3-10y)",AE233&lt;3,"New Hire (&lt;3y)")</f>
        <v>New Hire (&lt;3y)</v>
      </c>
      <c r="AG233">
        <v>0</v>
      </c>
      <c r="AH233">
        <v>0</v>
      </c>
      <c r="AI233">
        <v>0</v>
      </c>
    </row>
    <row r="234" spans="1:35">
      <c r="A234">
        <v>28</v>
      </c>
      <c r="B234" t="str">
        <f t="shared" si="3"/>
        <v>Young Adults</v>
      </c>
      <c r="C234">
        <v>0</v>
      </c>
      <c r="D234" t="s">
        <v>36</v>
      </c>
      <c r="E234">
        <v>950</v>
      </c>
      <c r="F234" t="s">
        <v>45</v>
      </c>
      <c r="G234">
        <v>3</v>
      </c>
      <c r="H234" t="str" cm="1">
        <f t="array" ref="H234">_xlfn.IFS(G234&gt;15,"Long Commute",G234&gt;5,"Moderate",G234&lt;=5,"Near Office")</f>
        <v>Near Office</v>
      </c>
      <c r="I234" t="s">
        <v>72</v>
      </c>
      <c r="J234" t="s">
        <v>51</v>
      </c>
      <c r="K234">
        <v>4</v>
      </c>
      <c r="L234" t="s">
        <v>39</v>
      </c>
      <c r="M234">
        <v>93</v>
      </c>
      <c r="N234">
        <v>3</v>
      </c>
      <c r="O234">
        <v>3</v>
      </c>
      <c r="P234" t="s">
        <v>53</v>
      </c>
      <c r="Q234" t="s">
        <v>75</v>
      </c>
      <c r="R234" t="s">
        <v>52</v>
      </c>
      <c r="S234">
        <v>7655</v>
      </c>
      <c r="T234" t="str" cm="1">
        <f t="array" ref="T234">_xlfn.IFS(S234&gt;=10000,"High (&gt;10k)",S234&gt;=5000,"Medium (5k-10k)",S234&lt;5000,"Low (&lt;5k)")</f>
        <v>Medium (5k-10k)</v>
      </c>
      <c r="U234">
        <v>8039</v>
      </c>
      <c r="V234">
        <v>0</v>
      </c>
      <c r="W234" t="s">
        <v>43</v>
      </c>
      <c r="X234">
        <v>17</v>
      </c>
      <c r="Y234">
        <v>3</v>
      </c>
      <c r="Z234">
        <v>2</v>
      </c>
      <c r="AA234">
        <v>3</v>
      </c>
      <c r="AB234">
        <v>10</v>
      </c>
      <c r="AC234">
        <v>3</v>
      </c>
      <c r="AD234" t="s">
        <v>81</v>
      </c>
      <c r="AE234">
        <v>9</v>
      </c>
      <c r="AF234" t="str" cm="1">
        <f t="array" ref="AF234">_xlfn.IFS(AE234&gt;=10,"Veteran (10y+)",AE234&gt;=3,"Established (3-10y)",AE234&lt;3,"New Hire (&lt;3y)")</f>
        <v>Established (3-10y)</v>
      </c>
      <c r="AG234">
        <v>7</v>
      </c>
      <c r="AH234">
        <v>1</v>
      </c>
      <c r="AI234">
        <v>7</v>
      </c>
    </row>
    <row r="235" spans="1:35">
      <c r="A235">
        <v>28</v>
      </c>
      <c r="B235" t="str">
        <f t="shared" si="3"/>
        <v>Young Adults</v>
      </c>
      <c r="C235">
        <v>0</v>
      </c>
      <c r="D235" t="s">
        <v>36</v>
      </c>
      <c r="E235">
        <v>1451</v>
      </c>
      <c r="F235" t="s">
        <v>45</v>
      </c>
      <c r="G235">
        <v>2</v>
      </c>
      <c r="H235" t="str" cm="1">
        <f t="array" ref="H235">_xlfn.IFS(G235&gt;15,"Long Commute",G235&gt;5,"Moderate",G235&lt;=5,"Near Office")</f>
        <v>Near Office</v>
      </c>
      <c r="I235" t="s">
        <v>78</v>
      </c>
      <c r="J235" t="s">
        <v>38</v>
      </c>
      <c r="K235">
        <v>1</v>
      </c>
      <c r="L235" t="s">
        <v>46</v>
      </c>
      <c r="M235">
        <v>67</v>
      </c>
      <c r="N235">
        <v>2</v>
      </c>
      <c r="O235">
        <v>1</v>
      </c>
      <c r="P235" t="s">
        <v>47</v>
      </c>
      <c r="Q235" t="s">
        <v>75</v>
      </c>
      <c r="R235" t="s">
        <v>48</v>
      </c>
      <c r="S235">
        <v>3201</v>
      </c>
      <c r="T235" t="str" cm="1">
        <f t="array" ref="T235">_xlfn.IFS(S235&gt;=10000,"High (&gt;10k)",S235&gt;=5000,"Medium (5k-10k)",S235&lt;5000,"Low (&lt;5k)")</f>
        <v>Low (&lt;5k)</v>
      </c>
      <c r="U235">
        <v>19911</v>
      </c>
      <c r="V235">
        <v>0</v>
      </c>
      <c r="W235" t="s">
        <v>43</v>
      </c>
      <c r="X235">
        <v>17</v>
      </c>
      <c r="Y235">
        <v>3</v>
      </c>
      <c r="Z235">
        <v>1</v>
      </c>
      <c r="AA235">
        <v>0</v>
      </c>
      <c r="AB235">
        <v>6</v>
      </c>
      <c r="AC235">
        <v>2</v>
      </c>
      <c r="AD235" t="s">
        <v>80</v>
      </c>
      <c r="AE235">
        <v>5</v>
      </c>
      <c r="AF235" t="str" cm="1">
        <f t="array" ref="AF235">_xlfn.IFS(AE235&gt;=10,"Veteran (10y+)",AE235&gt;=3,"Established (3-10y)",AE235&lt;3,"New Hire (&lt;3y)")</f>
        <v>Established (3-10y)</v>
      </c>
      <c r="AG235">
        <v>3</v>
      </c>
      <c r="AH235">
        <v>0</v>
      </c>
      <c r="AI235">
        <v>4</v>
      </c>
    </row>
    <row r="236" spans="1:35">
      <c r="A236">
        <v>28</v>
      </c>
      <c r="B236" t="str">
        <f t="shared" si="3"/>
        <v>Young Adults</v>
      </c>
      <c r="C236">
        <v>0</v>
      </c>
      <c r="D236" t="s">
        <v>44</v>
      </c>
      <c r="E236">
        <v>773</v>
      </c>
      <c r="F236" t="s">
        <v>45</v>
      </c>
      <c r="G236">
        <v>6</v>
      </c>
      <c r="H236" t="str" cm="1">
        <f t="array" ref="H236">_xlfn.IFS(G236&gt;15,"Long Commute",G236&gt;5,"Moderate",G236&lt;=5,"Near Office")</f>
        <v>Moderate</v>
      </c>
      <c r="I236" t="s">
        <v>72</v>
      </c>
      <c r="J236" t="s">
        <v>38</v>
      </c>
      <c r="K236">
        <v>3</v>
      </c>
      <c r="L236" t="s">
        <v>46</v>
      </c>
      <c r="M236">
        <v>39</v>
      </c>
      <c r="N236">
        <v>2</v>
      </c>
      <c r="O236">
        <v>1</v>
      </c>
      <c r="P236" t="s">
        <v>47</v>
      </c>
      <c r="Q236" t="s">
        <v>73</v>
      </c>
      <c r="R236" t="s">
        <v>52</v>
      </c>
      <c r="S236">
        <v>2703</v>
      </c>
      <c r="T236" t="str" cm="1">
        <f t="array" ref="T236">_xlfn.IFS(S236&gt;=10000,"High (&gt;10k)",S236&gt;=5000,"Medium (5k-10k)",S236&lt;5000,"Low (&lt;5k)")</f>
        <v>Low (&lt;5k)</v>
      </c>
      <c r="U236">
        <v>22088</v>
      </c>
      <c r="V236">
        <v>1</v>
      </c>
      <c r="W236" t="s">
        <v>35</v>
      </c>
      <c r="X236">
        <v>14</v>
      </c>
      <c r="Y236">
        <v>3</v>
      </c>
      <c r="Z236">
        <v>4</v>
      </c>
      <c r="AA236">
        <v>1</v>
      </c>
      <c r="AB236">
        <v>3</v>
      </c>
      <c r="AC236">
        <v>2</v>
      </c>
      <c r="AD236" t="s">
        <v>74</v>
      </c>
      <c r="AE236">
        <v>3</v>
      </c>
      <c r="AF236" t="str" cm="1">
        <f t="array" ref="AF236">_xlfn.IFS(AE236&gt;=10,"Veteran (10y+)",AE236&gt;=3,"Established (3-10y)",AE236&lt;3,"New Hire (&lt;3y)")</f>
        <v>Established (3-10y)</v>
      </c>
      <c r="AG236">
        <v>1</v>
      </c>
      <c r="AH236">
        <v>0</v>
      </c>
      <c r="AI236">
        <v>2</v>
      </c>
    </row>
    <row r="237" spans="1:35">
      <c r="A237">
        <v>28</v>
      </c>
      <c r="B237" t="str">
        <f t="shared" si="3"/>
        <v>Young Adults</v>
      </c>
      <c r="C237">
        <v>1</v>
      </c>
      <c r="D237" t="s">
        <v>36</v>
      </c>
      <c r="E237">
        <v>1485</v>
      </c>
      <c r="F237" t="s">
        <v>45</v>
      </c>
      <c r="G237">
        <v>12</v>
      </c>
      <c r="H237" t="str" cm="1">
        <f t="array" ref="H237">_xlfn.IFS(G237&gt;15,"Long Commute",G237&gt;5,"Moderate",G237&lt;=5,"Near Office")</f>
        <v>Moderate</v>
      </c>
      <c r="I237" t="s">
        <v>78</v>
      </c>
      <c r="J237" t="s">
        <v>38</v>
      </c>
      <c r="K237">
        <v>3</v>
      </c>
      <c r="L237" t="s">
        <v>39</v>
      </c>
      <c r="M237">
        <v>79</v>
      </c>
      <c r="N237">
        <v>3</v>
      </c>
      <c r="O237">
        <v>1</v>
      </c>
      <c r="P237" t="s">
        <v>50</v>
      </c>
      <c r="Q237" t="s">
        <v>77</v>
      </c>
      <c r="R237" t="s">
        <v>48</v>
      </c>
      <c r="S237">
        <v>2515</v>
      </c>
      <c r="T237" t="str" cm="1">
        <f t="array" ref="T237">_xlfn.IFS(S237&gt;=10000,"High (&gt;10k)",S237&gt;=5000,"Medium (5k-10k)",S237&lt;5000,"Low (&lt;5k)")</f>
        <v>Low (&lt;5k)</v>
      </c>
      <c r="U237">
        <v>22955</v>
      </c>
      <c r="V237">
        <v>1</v>
      </c>
      <c r="W237" t="s">
        <v>35</v>
      </c>
      <c r="X237">
        <v>11</v>
      </c>
      <c r="Y237">
        <v>3</v>
      </c>
      <c r="Z237">
        <v>4</v>
      </c>
      <c r="AA237">
        <v>0</v>
      </c>
      <c r="AB237">
        <v>1</v>
      </c>
      <c r="AC237">
        <v>4</v>
      </c>
      <c r="AD237" t="s">
        <v>81</v>
      </c>
      <c r="AE237">
        <v>1</v>
      </c>
      <c r="AF237" t="str" cm="1">
        <f t="array" ref="AF237">_xlfn.IFS(AE237&gt;=10,"Veteran (10y+)",AE237&gt;=3,"Established (3-10y)",AE237&lt;3,"New Hire (&lt;3y)")</f>
        <v>New Hire (&lt;3y)</v>
      </c>
      <c r="AG237">
        <v>1</v>
      </c>
      <c r="AH237">
        <v>0</v>
      </c>
      <c r="AI237">
        <v>0</v>
      </c>
    </row>
    <row r="238" spans="1:35">
      <c r="A238">
        <v>28</v>
      </c>
      <c r="B238" t="str">
        <f t="shared" si="3"/>
        <v>Young Adults</v>
      </c>
      <c r="C238">
        <v>0</v>
      </c>
      <c r="D238" t="s">
        <v>36</v>
      </c>
      <c r="E238">
        <v>1179</v>
      </c>
      <c r="F238" t="s">
        <v>45</v>
      </c>
      <c r="G238">
        <v>19</v>
      </c>
      <c r="H238" t="str" cm="1">
        <f t="array" ref="H238">_xlfn.IFS(G238&gt;15,"Long Commute",G238&gt;5,"Moderate",G238&lt;=5,"Near Office")</f>
        <v>Long Commute</v>
      </c>
      <c r="I238" t="s">
        <v>83</v>
      </c>
      <c r="J238" t="s">
        <v>51</v>
      </c>
      <c r="K238">
        <v>4</v>
      </c>
      <c r="L238" t="s">
        <v>46</v>
      </c>
      <c r="M238">
        <v>78</v>
      </c>
      <c r="N238">
        <v>2</v>
      </c>
      <c r="O238">
        <v>1</v>
      </c>
      <c r="P238" t="s">
        <v>50</v>
      </c>
      <c r="Q238" t="s">
        <v>82</v>
      </c>
      <c r="R238" t="s">
        <v>48</v>
      </c>
      <c r="S238">
        <v>3196</v>
      </c>
      <c r="T238" t="str" cm="1">
        <f t="array" ref="T238">_xlfn.IFS(S238&gt;=10000,"High (&gt;10k)",S238&gt;=5000,"Medium (5k-10k)",S238&lt;5000,"Low (&lt;5k)")</f>
        <v>Low (&lt;5k)</v>
      </c>
      <c r="U238">
        <v>12449</v>
      </c>
      <c r="V238">
        <v>1</v>
      </c>
      <c r="W238" t="s">
        <v>43</v>
      </c>
      <c r="X238">
        <v>12</v>
      </c>
      <c r="Y238">
        <v>3</v>
      </c>
      <c r="Z238">
        <v>3</v>
      </c>
      <c r="AA238">
        <v>3</v>
      </c>
      <c r="AB238">
        <v>6</v>
      </c>
      <c r="AC238">
        <v>2</v>
      </c>
      <c r="AD238" t="s">
        <v>74</v>
      </c>
      <c r="AE238">
        <v>6</v>
      </c>
      <c r="AF238" t="str" cm="1">
        <f t="array" ref="AF238">_xlfn.IFS(AE238&gt;=10,"Veteran (10y+)",AE238&gt;=3,"Established (3-10y)",AE238&lt;3,"New Hire (&lt;3y)")</f>
        <v>Established (3-10y)</v>
      </c>
      <c r="AG238">
        <v>5</v>
      </c>
      <c r="AH238">
        <v>3</v>
      </c>
      <c r="AI238">
        <v>3</v>
      </c>
    </row>
    <row r="239" spans="1:35">
      <c r="A239">
        <v>28</v>
      </c>
      <c r="B239" t="str">
        <f t="shared" si="3"/>
        <v>Young Adults</v>
      </c>
      <c r="C239">
        <v>0</v>
      </c>
      <c r="D239" t="s">
        <v>44</v>
      </c>
      <c r="E239">
        <v>791</v>
      </c>
      <c r="F239" t="s">
        <v>45</v>
      </c>
      <c r="G239">
        <v>1</v>
      </c>
      <c r="H239" t="str" cm="1">
        <f t="array" ref="H239">_xlfn.IFS(G239&gt;15,"Long Commute",G239&gt;5,"Moderate",G239&lt;=5,"Near Office")</f>
        <v>Near Office</v>
      </c>
      <c r="I239" t="s">
        <v>83</v>
      </c>
      <c r="J239" t="s">
        <v>51</v>
      </c>
      <c r="K239">
        <v>4</v>
      </c>
      <c r="L239" t="s">
        <v>46</v>
      </c>
      <c r="M239">
        <v>44</v>
      </c>
      <c r="N239">
        <v>3</v>
      </c>
      <c r="O239">
        <v>1</v>
      </c>
      <c r="P239" t="s">
        <v>50</v>
      </c>
      <c r="Q239" t="s">
        <v>73</v>
      </c>
      <c r="R239" t="s">
        <v>41</v>
      </c>
      <c r="S239">
        <v>2154</v>
      </c>
      <c r="T239" t="str" cm="1">
        <f t="array" ref="T239">_xlfn.IFS(S239&gt;=10000,"High (&gt;10k)",S239&gt;=5000,"Medium (5k-10k)",S239&lt;5000,"Low (&lt;5k)")</f>
        <v>Low (&lt;5k)</v>
      </c>
      <c r="U239">
        <v>6842</v>
      </c>
      <c r="V239">
        <v>0</v>
      </c>
      <c r="W239" t="s">
        <v>35</v>
      </c>
      <c r="X239">
        <v>11</v>
      </c>
      <c r="Y239">
        <v>3</v>
      </c>
      <c r="Z239">
        <v>3</v>
      </c>
      <c r="AA239">
        <v>0</v>
      </c>
      <c r="AB239">
        <v>5</v>
      </c>
      <c r="AC239">
        <v>2</v>
      </c>
      <c r="AD239" t="s">
        <v>81</v>
      </c>
      <c r="AE239">
        <v>4</v>
      </c>
      <c r="AF239" t="str" cm="1">
        <f t="array" ref="AF239">_xlfn.IFS(AE239&gt;=10,"Veteran (10y+)",AE239&gt;=3,"Established (3-10y)",AE239&lt;3,"New Hire (&lt;3y)")</f>
        <v>Established (3-10y)</v>
      </c>
      <c r="AG239">
        <v>2</v>
      </c>
      <c r="AH239">
        <v>0</v>
      </c>
      <c r="AI239">
        <v>2</v>
      </c>
    </row>
    <row r="240" spans="1:35">
      <c r="A240">
        <v>28</v>
      </c>
      <c r="B240" t="str">
        <f t="shared" si="3"/>
        <v>Young Adults</v>
      </c>
      <c r="C240">
        <v>0</v>
      </c>
      <c r="D240" t="s">
        <v>44</v>
      </c>
      <c r="E240">
        <v>193</v>
      </c>
      <c r="F240" t="s">
        <v>45</v>
      </c>
      <c r="G240">
        <v>2</v>
      </c>
      <c r="H240" t="str" cm="1">
        <f t="array" ref="H240">_xlfn.IFS(G240&gt;15,"Long Commute",G240&gt;5,"Moderate",G240&lt;=5,"Near Office")</f>
        <v>Near Office</v>
      </c>
      <c r="I240" t="s">
        <v>72</v>
      </c>
      <c r="J240" t="s">
        <v>38</v>
      </c>
      <c r="K240">
        <v>4</v>
      </c>
      <c r="L240" t="s">
        <v>46</v>
      </c>
      <c r="M240">
        <v>52</v>
      </c>
      <c r="N240">
        <v>2</v>
      </c>
      <c r="O240">
        <v>1</v>
      </c>
      <c r="P240" t="s">
        <v>50</v>
      </c>
      <c r="Q240" t="s">
        <v>77</v>
      </c>
      <c r="R240" t="s">
        <v>48</v>
      </c>
      <c r="S240">
        <v>3867</v>
      </c>
      <c r="T240" t="str" cm="1">
        <f t="array" ref="T240">_xlfn.IFS(S240&gt;=10000,"High (&gt;10k)",S240&gt;=5000,"Medium (5k-10k)",S240&lt;5000,"Low (&lt;5k)")</f>
        <v>Low (&lt;5k)</v>
      </c>
      <c r="U240">
        <v>14222</v>
      </c>
      <c r="V240">
        <v>1</v>
      </c>
      <c r="W240" t="s">
        <v>35</v>
      </c>
      <c r="X240">
        <v>12</v>
      </c>
      <c r="Y240">
        <v>3</v>
      </c>
      <c r="Z240">
        <v>2</v>
      </c>
      <c r="AA240">
        <v>1</v>
      </c>
      <c r="AB240">
        <v>2</v>
      </c>
      <c r="AC240">
        <v>2</v>
      </c>
      <c r="AD240" t="s">
        <v>74</v>
      </c>
      <c r="AE240">
        <v>2</v>
      </c>
      <c r="AF240" t="str" cm="1">
        <f t="array" ref="AF240">_xlfn.IFS(AE240&gt;=10,"Veteran (10y+)",AE240&gt;=3,"Established (3-10y)",AE240&lt;3,"New Hire (&lt;3y)")</f>
        <v>New Hire (&lt;3y)</v>
      </c>
      <c r="AG240">
        <v>2</v>
      </c>
      <c r="AH240">
        <v>2</v>
      </c>
      <c r="AI240">
        <v>2</v>
      </c>
    </row>
    <row r="241" spans="1:35">
      <c r="A241">
        <v>28</v>
      </c>
      <c r="B241" t="str">
        <f t="shared" si="3"/>
        <v>Young Adults</v>
      </c>
      <c r="C241">
        <v>0</v>
      </c>
      <c r="D241" t="s">
        <v>36</v>
      </c>
      <c r="E241">
        <v>640</v>
      </c>
      <c r="F241" t="s">
        <v>45</v>
      </c>
      <c r="G241">
        <v>1</v>
      </c>
      <c r="H241" t="str" cm="1">
        <f t="array" ref="H241">_xlfn.IFS(G241&gt;15,"Long Commute",G241&gt;5,"Moderate",G241&lt;=5,"Near Office")</f>
        <v>Near Office</v>
      </c>
      <c r="I241" t="s">
        <v>72</v>
      </c>
      <c r="J241" t="s">
        <v>60</v>
      </c>
      <c r="K241">
        <v>4</v>
      </c>
      <c r="L241" t="s">
        <v>46</v>
      </c>
      <c r="M241">
        <v>84</v>
      </c>
      <c r="N241">
        <v>3</v>
      </c>
      <c r="O241">
        <v>1</v>
      </c>
      <c r="P241" t="s">
        <v>47</v>
      </c>
      <c r="Q241" t="s">
        <v>82</v>
      </c>
      <c r="R241" t="s">
        <v>41</v>
      </c>
      <c r="S241">
        <v>2080</v>
      </c>
      <c r="T241" t="str" cm="1">
        <f t="array" ref="T241">_xlfn.IFS(S241&gt;=10000,"High (&gt;10k)",S241&gt;=5000,"Medium (5k-10k)",S241&lt;5000,"Low (&lt;5k)")</f>
        <v>Low (&lt;5k)</v>
      </c>
      <c r="U241">
        <v>4732</v>
      </c>
      <c r="V241">
        <v>2</v>
      </c>
      <c r="W241" t="s">
        <v>43</v>
      </c>
      <c r="X241">
        <v>11</v>
      </c>
      <c r="Y241">
        <v>3</v>
      </c>
      <c r="Z241">
        <v>2</v>
      </c>
      <c r="AA241">
        <v>0</v>
      </c>
      <c r="AB241">
        <v>5</v>
      </c>
      <c r="AC241">
        <v>2</v>
      </c>
      <c r="AD241" t="s">
        <v>81</v>
      </c>
      <c r="AE241">
        <v>3</v>
      </c>
      <c r="AF241" t="str" cm="1">
        <f t="array" ref="AF241">_xlfn.IFS(AE241&gt;=10,"Veteran (10y+)",AE241&gt;=3,"Established (3-10y)",AE241&lt;3,"New Hire (&lt;3y)")</f>
        <v>Established (3-10y)</v>
      </c>
      <c r="AG241">
        <v>2</v>
      </c>
      <c r="AH241">
        <v>1</v>
      </c>
      <c r="AI241">
        <v>2</v>
      </c>
    </row>
    <row r="242" spans="1:35">
      <c r="A242">
        <v>28</v>
      </c>
      <c r="B242" t="str">
        <f t="shared" si="3"/>
        <v>Young Adults</v>
      </c>
      <c r="C242">
        <v>0</v>
      </c>
      <c r="D242" t="s">
        <v>55</v>
      </c>
      <c r="E242">
        <v>1476</v>
      </c>
      <c r="F242" t="s">
        <v>45</v>
      </c>
      <c r="G242">
        <v>1</v>
      </c>
      <c r="H242" t="str" cm="1">
        <f t="array" ref="H242">_xlfn.IFS(G242&gt;15,"Long Commute",G242&gt;5,"Moderate",G242&lt;=5,"Near Office")</f>
        <v>Near Office</v>
      </c>
      <c r="I242" t="s">
        <v>72</v>
      </c>
      <c r="J242" t="s">
        <v>38</v>
      </c>
      <c r="K242">
        <v>3</v>
      </c>
      <c r="L242" t="s">
        <v>39</v>
      </c>
      <c r="M242">
        <v>55</v>
      </c>
      <c r="N242">
        <v>1</v>
      </c>
      <c r="O242">
        <v>2</v>
      </c>
      <c r="P242" t="s">
        <v>50</v>
      </c>
      <c r="Q242" t="s">
        <v>77</v>
      </c>
      <c r="R242" t="s">
        <v>48</v>
      </c>
      <c r="S242">
        <v>6674</v>
      </c>
      <c r="T242" t="str" cm="1">
        <f t="array" ref="T242">_xlfn.IFS(S242&gt;=10000,"High (&gt;10k)",S242&gt;=5000,"Medium (5k-10k)",S242&lt;5000,"Low (&lt;5k)")</f>
        <v>Medium (5k-10k)</v>
      </c>
      <c r="U242">
        <v>16392</v>
      </c>
      <c r="V242">
        <v>0</v>
      </c>
      <c r="W242" t="s">
        <v>43</v>
      </c>
      <c r="X242">
        <v>11</v>
      </c>
      <c r="Y242">
        <v>3</v>
      </c>
      <c r="Z242">
        <v>1</v>
      </c>
      <c r="AA242">
        <v>3</v>
      </c>
      <c r="AB242">
        <v>10</v>
      </c>
      <c r="AC242">
        <v>6</v>
      </c>
      <c r="AD242" t="s">
        <v>74</v>
      </c>
      <c r="AE242">
        <v>9</v>
      </c>
      <c r="AF242" t="str" cm="1">
        <f t="array" ref="AF242">_xlfn.IFS(AE242&gt;=10,"Veteran (10y+)",AE242&gt;=3,"Established (3-10y)",AE242&lt;3,"New Hire (&lt;3y)")</f>
        <v>Established (3-10y)</v>
      </c>
      <c r="AG242">
        <v>8</v>
      </c>
      <c r="AH242">
        <v>7</v>
      </c>
      <c r="AI242">
        <v>5</v>
      </c>
    </row>
    <row r="243" spans="1:35">
      <c r="A243">
        <v>28</v>
      </c>
      <c r="B243" t="str">
        <f t="shared" si="3"/>
        <v>Young Adults</v>
      </c>
      <c r="C243">
        <v>0</v>
      </c>
      <c r="D243" t="s">
        <v>36</v>
      </c>
      <c r="E243">
        <v>736</v>
      </c>
      <c r="F243" t="s">
        <v>37</v>
      </c>
      <c r="G243">
        <v>26</v>
      </c>
      <c r="H243" t="str" cm="1">
        <f t="array" ref="H243">_xlfn.IFS(G243&gt;15,"Long Commute",G243&gt;5,"Moderate",G243&lt;=5,"Near Office")</f>
        <v>Long Commute</v>
      </c>
      <c r="I243" t="s">
        <v>72</v>
      </c>
      <c r="J243" t="s">
        <v>38</v>
      </c>
      <c r="K243">
        <v>3</v>
      </c>
      <c r="L243" t="s">
        <v>46</v>
      </c>
      <c r="M243">
        <v>48</v>
      </c>
      <c r="N243">
        <v>2</v>
      </c>
      <c r="O243">
        <v>2</v>
      </c>
      <c r="P243" t="s">
        <v>40</v>
      </c>
      <c r="Q243" t="s">
        <v>82</v>
      </c>
      <c r="R243" t="s">
        <v>48</v>
      </c>
      <c r="S243">
        <v>4724</v>
      </c>
      <c r="T243" t="str" cm="1">
        <f t="array" ref="T243">_xlfn.IFS(S243&gt;=10000,"High (&gt;10k)",S243&gt;=5000,"Medium (5k-10k)",S243&lt;5000,"Low (&lt;5k)")</f>
        <v>Low (&lt;5k)</v>
      </c>
      <c r="U243">
        <v>24232</v>
      </c>
      <c r="V243">
        <v>1</v>
      </c>
      <c r="W243" t="s">
        <v>43</v>
      </c>
      <c r="X243">
        <v>11</v>
      </c>
      <c r="Y243">
        <v>3</v>
      </c>
      <c r="Z243">
        <v>3</v>
      </c>
      <c r="AA243">
        <v>1</v>
      </c>
      <c r="AB243">
        <v>5</v>
      </c>
      <c r="AC243">
        <v>0</v>
      </c>
      <c r="AD243" t="s">
        <v>74</v>
      </c>
      <c r="AE243">
        <v>5</v>
      </c>
      <c r="AF243" t="str" cm="1">
        <f t="array" ref="AF243">_xlfn.IFS(AE243&gt;=10,"Veteran (10y+)",AE243&gt;=3,"Established (3-10y)",AE243&lt;3,"New Hire (&lt;3y)")</f>
        <v>Established (3-10y)</v>
      </c>
      <c r="AG243">
        <v>3</v>
      </c>
      <c r="AH243">
        <v>0</v>
      </c>
      <c r="AI243">
        <v>4</v>
      </c>
    </row>
    <row r="244" spans="1:35">
      <c r="A244">
        <v>28</v>
      </c>
      <c r="B244" t="str">
        <f t="shared" si="3"/>
        <v>Young Adults</v>
      </c>
      <c r="C244">
        <v>0</v>
      </c>
      <c r="D244" t="s">
        <v>36</v>
      </c>
      <c r="E244">
        <v>866</v>
      </c>
      <c r="F244" t="s">
        <v>37</v>
      </c>
      <c r="G244">
        <v>5</v>
      </c>
      <c r="H244" t="str" cm="1">
        <f t="array" ref="H244">_xlfn.IFS(G244&gt;15,"Long Commute",G244&gt;5,"Moderate",G244&lt;=5,"Near Office")</f>
        <v>Near Office</v>
      </c>
      <c r="I244" t="s">
        <v>72</v>
      </c>
      <c r="J244" t="s">
        <v>51</v>
      </c>
      <c r="K244">
        <v>4</v>
      </c>
      <c r="L244" t="s">
        <v>46</v>
      </c>
      <c r="M244">
        <v>84</v>
      </c>
      <c r="N244">
        <v>3</v>
      </c>
      <c r="O244">
        <v>2</v>
      </c>
      <c r="P244" t="s">
        <v>40</v>
      </c>
      <c r="Q244" t="s">
        <v>82</v>
      </c>
      <c r="R244" t="s">
        <v>41</v>
      </c>
      <c r="S244">
        <v>8463</v>
      </c>
      <c r="T244" t="str" cm="1">
        <f t="array" ref="T244">_xlfn.IFS(S244&gt;=10000,"High (&gt;10k)",S244&gt;=5000,"Medium (5k-10k)",S244&lt;5000,"Low (&lt;5k)")</f>
        <v>Medium (5k-10k)</v>
      </c>
      <c r="U244">
        <v>23490</v>
      </c>
      <c r="V244">
        <v>0</v>
      </c>
      <c r="W244" t="s">
        <v>43</v>
      </c>
      <c r="X244">
        <v>18</v>
      </c>
      <c r="Y244">
        <v>3</v>
      </c>
      <c r="Z244">
        <v>4</v>
      </c>
      <c r="AA244">
        <v>0</v>
      </c>
      <c r="AB244">
        <v>6</v>
      </c>
      <c r="AC244">
        <v>4</v>
      </c>
      <c r="AD244" t="s">
        <v>74</v>
      </c>
      <c r="AE244">
        <v>5</v>
      </c>
      <c r="AF244" t="str" cm="1">
        <f t="array" ref="AF244">_xlfn.IFS(AE244&gt;=10,"Veteran (10y+)",AE244&gt;=3,"Established (3-10y)",AE244&lt;3,"New Hire (&lt;3y)")</f>
        <v>Established (3-10y)</v>
      </c>
      <c r="AG244">
        <v>4</v>
      </c>
      <c r="AH244">
        <v>1</v>
      </c>
      <c r="AI244">
        <v>3</v>
      </c>
    </row>
    <row r="245" spans="1:35">
      <c r="A245">
        <v>28</v>
      </c>
      <c r="B245" t="str">
        <f t="shared" si="3"/>
        <v>Young Adults</v>
      </c>
      <c r="C245">
        <v>1</v>
      </c>
      <c r="D245" t="s">
        <v>44</v>
      </c>
      <c r="E245">
        <v>1496</v>
      </c>
      <c r="F245" t="s">
        <v>37</v>
      </c>
      <c r="G245">
        <v>1</v>
      </c>
      <c r="H245" t="str" cm="1">
        <f t="array" ref="H245">_xlfn.IFS(G245&gt;15,"Long Commute",G245&gt;5,"Moderate",G245&lt;=5,"Near Office")</f>
        <v>Near Office</v>
      </c>
      <c r="I245" t="s">
        <v>72</v>
      </c>
      <c r="J245" t="s">
        <v>60</v>
      </c>
      <c r="K245">
        <v>1</v>
      </c>
      <c r="L245" t="s">
        <v>46</v>
      </c>
      <c r="M245">
        <v>92</v>
      </c>
      <c r="N245">
        <v>3</v>
      </c>
      <c r="O245">
        <v>1</v>
      </c>
      <c r="P245" t="s">
        <v>57</v>
      </c>
      <c r="Q245" t="s">
        <v>73</v>
      </c>
      <c r="R245" t="s">
        <v>48</v>
      </c>
      <c r="S245">
        <v>2909</v>
      </c>
      <c r="T245" t="str" cm="1">
        <f t="array" ref="T245">_xlfn.IFS(S245&gt;=10000,"High (&gt;10k)",S245&gt;=5000,"Medium (5k-10k)",S245&lt;5000,"Low (&lt;5k)")</f>
        <v>Low (&lt;5k)</v>
      </c>
      <c r="U245">
        <v>15747</v>
      </c>
      <c r="V245">
        <v>3</v>
      </c>
      <c r="W245" t="s">
        <v>43</v>
      </c>
      <c r="X245">
        <v>15</v>
      </c>
      <c r="Y245">
        <v>3</v>
      </c>
      <c r="Z245">
        <v>4</v>
      </c>
      <c r="AA245">
        <v>1</v>
      </c>
      <c r="AB245">
        <v>5</v>
      </c>
      <c r="AC245">
        <v>3</v>
      </c>
      <c r="AD245" t="s">
        <v>79</v>
      </c>
      <c r="AE245">
        <v>3</v>
      </c>
      <c r="AF245" t="str" cm="1">
        <f t="array" ref="AF245">_xlfn.IFS(AE245&gt;=10,"Veteran (10y+)",AE245&gt;=3,"Established (3-10y)",AE245&lt;3,"New Hire (&lt;3y)")</f>
        <v>Established (3-10y)</v>
      </c>
      <c r="AG245">
        <v>2</v>
      </c>
      <c r="AH245">
        <v>1</v>
      </c>
      <c r="AI245">
        <v>2</v>
      </c>
    </row>
    <row r="246" spans="1:35">
      <c r="A246">
        <v>28</v>
      </c>
      <c r="B246" t="str">
        <f t="shared" si="3"/>
        <v>Young Adults</v>
      </c>
      <c r="C246">
        <v>1</v>
      </c>
      <c r="D246" t="s">
        <v>44</v>
      </c>
      <c r="E246">
        <v>289</v>
      </c>
      <c r="F246" t="s">
        <v>45</v>
      </c>
      <c r="G246">
        <v>2</v>
      </c>
      <c r="H246" t="str" cm="1">
        <f t="array" ref="H246">_xlfn.IFS(G246&gt;15,"Long Commute",G246&gt;5,"Moderate",G246&lt;=5,"Near Office")</f>
        <v>Near Office</v>
      </c>
      <c r="I246" t="s">
        <v>76</v>
      </c>
      <c r="J246" t="s">
        <v>51</v>
      </c>
      <c r="K246">
        <v>3</v>
      </c>
      <c r="L246" t="s">
        <v>46</v>
      </c>
      <c r="M246">
        <v>38</v>
      </c>
      <c r="N246">
        <v>2</v>
      </c>
      <c r="O246">
        <v>1</v>
      </c>
      <c r="P246" t="s">
        <v>50</v>
      </c>
      <c r="Q246" t="s">
        <v>82</v>
      </c>
      <c r="R246" t="s">
        <v>41</v>
      </c>
      <c r="S246">
        <v>2561</v>
      </c>
      <c r="T246" t="str" cm="1">
        <f t="array" ref="T246">_xlfn.IFS(S246&gt;=10000,"High (&gt;10k)",S246&gt;=5000,"Medium (5k-10k)",S246&lt;5000,"Low (&lt;5k)")</f>
        <v>Low (&lt;5k)</v>
      </c>
      <c r="U246">
        <v>5355</v>
      </c>
      <c r="V246">
        <v>7</v>
      </c>
      <c r="W246" t="s">
        <v>43</v>
      </c>
      <c r="X246">
        <v>11</v>
      </c>
      <c r="Y246">
        <v>3</v>
      </c>
      <c r="Z246">
        <v>3</v>
      </c>
      <c r="AA246">
        <v>0</v>
      </c>
      <c r="AB246">
        <v>8</v>
      </c>
      <c r="AC246">
        <v>2</v>
      </c>
      <c r="AD246" t="s">
        <v>81</v>
      </c>
      <c r="AE246">
        <v>0</v>
      </c>
      <c r="AF246" t="str" cm="1">
        <f t="array" ref="AF246">_xlfn.IFS(AE246&gt;=10,"Veteran (10y+)",AE246&gt;=3,"Established (3-10y)",AE246&lt;3,"New Hire (&lt;3y)")</f>
        <v>New Hire (&lt;3y)</v>
      </c>
      <c r="AG246">
        <v>0</v>
      </c>
      <c r="AH246">
        <v>0</v>
      </c>
      <c r="AI246">
        <v>0</v>
      </c>
    </row>
    <row r="247" spans="1:35">
      <c r="A247">
        <v>28</v>
      </c>
      <c r="B247" t="str">
        <f t="shared" si="3"/>
        <v>Young Adults</v>
      </c>
      <c r="C247">
        <v>0</v>
      </c>
      <c r="D247" t="s">
        <v>36</v>
      </c>
      <c r="E247">
        <v>1423</v>
      </c>
      <c r="F247" t="s">
        <v>45</v>
      </c>
      <c r="G247">
        <v>1</v>
      </c>
      <c r="H247" t="str" cm="1">
        <f t="array" ref="H247">_xlfn.IFS(G247&gt;15,"Long Commute",G247&gt;5,"Moderate",G247&lt;=5,"Near Office")</f>
        <v>Near Office</v>
      </c>
      <c r="I247" t="s">
        <v>72</v>
      </c>
      <c r="J247" t="s">
        <v>38</v>
      </c>
      <c r="K247">
        <v>1</v>
      </c>
      <c r="L247" t="s">
        <v>46</v>
      </c>
      <c r="M247">
        <v>72</v>
      </c>
      <c r="N247">
        <v>2</v>
      </c>
      <c r="O247">
        <v>1</v>
      </c>
      <c r="P247" t="s">
        <v>47</v>
      </c>
      <c r="Q247" t="s">
        <v>73</v>
      </c>
      <c r="R247" t="s">
        <v>52</v>
      </c>
      <c r="S247">
        <v>1563</v>
      </c>
      <c r="T247" t="str" cm="1">
        <f t="array" ref="T247">_xlfn.IFS(S247&gt;=10000,"High (&gt;10k)",S247&gt;=5000,"Medium (5k-10k)",S247&lt;5000,"Low (&lt;5k)")</f>
        <v>Low (&lt;5k)</v>
      </c>
      <c r="U247">
        <v>12530</v>
      </c>
      <c r="V247">
        <v>1</v>
      </c>
      <c r="W247" t="s">
        <v>43</v>
      </c>
      <c r="X247">
        <v>14</v>
      </c>
      <c r="Y247">
        <v>3</v>
      </c>
      <c r="Z247">
        <v>4</v>
      </c>
      <c r="AA247">
        <v>1</v>
      </c>
      <c r="AB247">
        <v>1</v>
      </c>
      <c r="AC247">
        <v>2</v>
      </c>
      <c r="AD247" t="s">
        <v>80</v>
      </c>
      <c r="AE247">
        <v>1</v>
      </c>
      <c r="AF247" t="str" cm="1">
        <f t="array" ref="AF247">_xlfn.IFS(AE247&gt;=10,"Veteran (10y+)",AE247&gt;=3,"Established (3-10y)",AE247&lt;3,"New Hire (&lt;3y)")</f>
        <v>New Hire (&lt;3y)</v>
      </c>
      <c r="AG247">
        <v>0</v>
      </c>
      <c r="AH247">
        <v>0</v>
      </c>
      <c r="AI247">
        <v>0</v>
      </c>
    </row>
    <row r="248" spans="1:35">
      <c r="A248">
        <v>28</v>
      </c>
      <c r="B248" t="str">
        <f t="shared" si="3"/>
        <v>Young Adults</v>
      </c>
      <c r="C248">
        <v>0</v>
      </c>
      <c r="D248" t="s">
        <v>44</v>
      </c>
      <c r="E248">
        <v>467</v>
      </c>
      <c r="F248" t="s">
        <v>37</v>
      </c>
      <c r="G248">
        <v>7</v>
      </c>
      <c r="H248" t="str" cm="1">
        <f t="array" ref="H248">_xlfn.IFS(G248&gt;15,"Long Commute",G248&gt;5,"Moderate",G248&lt;=5,"Near Office")</f>
        <v>Moderate</v>
      </c>
      <c r="I248" t="s">
        <v>72</v>
      </c>
      <c r="J248" t="s">
        <v>38</v>
      </c>
      <c r="K248">
        <v>3</v>
      </c>
      <c r="L248" t="s">
        <v>46</v>
      </c>
      <c r="M248">
        <v>55</v>
      </c>
      <c r="N248">
        <v>3</v>
      </c>
      <c r="O248">
        <v>2</v>
      </c>
      <c r="P248" t="s">
        <v>40</v>
      </c>
      <c r="Q248" t="s">
        <v>82</v>
      </c>
      <c r="R248" t="s">
        <v>41</v>
      </c>
      <c r="S248">
        <v>4898</v>
      </c>
      <c r="T248" t="str" cm="1">
        <f t="array" ref="T248">_xlfn.IFS(S248&gt;=10000,"High (&gt;10k)",S248&gt;=5000,"Medium (5k-10k)",S248&lt;5000,"Low (&lt;5k)")</f>
        <v>Low (&lt;5k)</v>
      </c>
      <c r="U248">
        <v>11827</v>
      </c>
      <c r="V248">
        <v>0</v>
      </c>
      <c r="W248" t="s">
        <v>43</v>
      </c>
      <c r="X248">
        <v>14</v>
      </c>
      <c r="Y248">
        <v>3</v>
      </c>
      <c r="Z248">
        <v>4</v>
      </c>
      <c r="AA248">
        <v>0</v>
      </c>
      <c r="AB248">
        <v>5</v>
      </c>
      <c r="AC248">
        <v>5</v>
      </c>
      <c r="AD248" t="s">
        <v>74</v>
      </c>
      <c r="AE248">
        <v>4</v>
      </c>
      <c r="AF248" t="str" cm="1">
        <f t="array" ref="AF248">_xlfn.IFS(AE248&gt;=10,"Veteran (10y+)",AE248&gt;=3,"Established (3-10y)",AE248&lt;3,"New Hire (&lt;3y)")</f>
        <v>Established (3-10y)</v>
      </c>
      <c r="AG248">
        <v>2</v>
      </c>
      <c r="AH248">
        <v>1</v>
      </c>
      <c r="AI248">
        <v>3</v>
      </c>
    </row>
    <row r="249" spans="1:35">
      <c r="A249">
        <v>28</v>
      </c>
      <c r="B249" t="str">
        <f t="shared" si="3"/>
        <v>Young Adults</v>
      </c>
      <c r="C249">
        <v>0</v>
      </c>
      <c r="D249" t="s">
        <v>36</v>
      </c>
      <c r="E249">
        <v>1083</v>
      </c>
      <c r="F249" t="s">
        <v>45</v>
      </c>
      <c r="G249">
        <v>29</v>
      </c>
      <c r="H249" t="str" cm="1">
        <f t="array" ref="H249">_xlfn.IFS(G249&gt;15,"Long Commute",G249&gt;5,"Moderate",G249&lt;=5,"Near Office")</f>
        <v>Long Commute</v>
      </c>
      <c r="I249" t="s">
        <v>78</v>
      </c>
      <c r="J249" t="s">
        <v>38</v>
      </c>
      <c r="K249">
        <v>3</v>
      </c>
      <c r="L249" t="s">
        <v>46</v>
      </c>
      <c r="M249">
        <v>96</v>
      </c>
      <c r="N249">
        <v>1</v>
      </c>
      <c r="O249">
        <v>2</v>
      </c>
      <c r="P249" t="s">
        <v>53</v>
      </c>
      <c r="Q249" t="s">
        <v>75</v>
      </c>
      <c r="R249" t="s">
        <v>48</v>
      </c>
      <c r="S249">
        <v>6549</v>
      </c>
      <c r="T249" t="str" cm="1">
        <f t="array" ref="T249">_xlfn.IFS(S249&gt;=10000,"High (&gt;10k)",S249&gt;=5000,"Medium (5k-10k)",S249&lt;5000,"Low (&lt;5k)")</f>
        <v>Medium (5k-10k)</v>
      </c>
      <c r="U249">
        <v>3173</v>
      </c>
      <c r="V249">
        <v>1</v>
      </c>
      <c r="W249" t="s">
        <v>43</v>
      </c>
      <c r="X249">
        <v>14</v>
      </c>
      <c r="Y249">
        <v>3</v>
      </c>
      <c r="Z249">
        <v>2</v>
      </c>
      <c r="AA249">
        <v>2</v>
      </c>
      <c r="AB249">
        <v>8</v>
      </c>
      <c r="AC249">
        <v>2</v>
      </c>
      <c r="AD249" t="s">
        <v>81</v>
      </c>
      <c r="AE249">
        <v>8</v>
      </c>
      <c r="AF249" t="str" cm="1">
        <f t="array" ref="AF249">_xlfn.IFS(AE249&gt;=10,"Veteran (10y+)",AE249&gt;=3,"Established (3-10y)",AE249&lt;3,"New Hire (&lt;3y)")</f>
        <v>Established (3-10y)</v>
      </c>
      <c r="AG249">
        <v>6</v>
      </c>
      <c r="AH249">
        <v>1</v>
      </c>
      <c r="AI249">
        <v>7</v>
      </c>
    </row>
    <row r="250" spans="1:35">
      <c r="A250">
        <v>28</v>
      </c>
      <c r="B250" t="str">
        <f t="shared" si="3"/>
        <v>Young Adults</v>
      </c>
      <c r="C250">
        <v>1</v>
      </c>
      <c r="D250" t="s">
        <v>36</v>
      </c>
      <c r="E250">
        <v>329</v>
      </c>
      <c r="F250" t="s">
        <v>45</v>
      </c>
      <c r="G250">
        <v>24</v>
      </c>
      <c r="H250" t="str" cm="1">
        <f t="array" ref="H250">_xlfn.IFS(G250&gt;15,"Long Commute",G250&gt;5,"Moderate",G250&lt;=5,"Near Office")</f>
        <v>Long Commute</v>
      </c>
      <c r="I250" t="s">
        <v>72</v>
      </c>
      <c r="J250" t="s">
        <v>51</v>
      </c>
      <c r="K250">
        <v>3</v>
      </c>
      <c r="L250" t="s">
        <v>46</v>
      </c>
      <c r="M250">
        <v>51</v>
      </c>
      <c r="N250">
        <v>3</v>
      </c>
      <c r="O250">
        <v>1</v>
      </c>
      <c r="P250" t="s">
        <v>50</v>
      </c>
      <c r="Q250" t="s">
        <v>75</v>
      </c>
      <c r="R250" t="s">
        <v>48</v>
      </c>
      <c r="S250">
        <v>2408</v>
      </c>
      <c r="T250" t="str" cm="1">
        <f t="array" ref="T250">_xlfn.IFS(S250&gt;=10000,"High (&gt;10k)",S250&gt;=5000,"Medium (5k-10k)",S250&lt;5000,"Low (&lt;5k)")</f>
        <v>Low (&lt;5k)</v>
      </c>
      <c r="U250">
        <v>7324</v>
      </c>
      <c r="V250">
        <v>1</v>
      </c>
      <c r="W250" t="s">
        <v>35</v>
      </c>
      <c r="X250">
        <v>17</v>
      </c>
      <c r="Y250">
        <v>3</v>
      </c>
      <c r="Z250">
        <v>3</v>
      </c>
      <c r="AA250">
        <v>3</v>
      </c>
      <c r="AB250">
        <v>1</v>
      </c>
      <c r="AC250">
        <v>3</v>
      </c>
      <c r="AD250" t="s">
        <v>74</v>
      </c>
      <c r="AE250">
        <v>1</v>
      </c>
      <c r="AF250" t="str" cm="1">
        <f t="array" ref="AF250">_xlfn.IFS(AE250&gt;=10,"Veteran (10y+)",AE250&gt;=3,"Established (3-10y)",AE250&lt;3,"New Hire (&lt;3y)")</f>
        <v>New Hire (&lt;3y)</v>
      </c>
      <c r="AG250">
        <v>1</v>
      </c>
      <c r="AH250">
        <v>0</v>
      </c>
      <c r="AI250">
        <v>0</v>
      </c>
    </row>
    <row r="251" spans="1:35">
      <c r="A251">
        <v>28</v>
      </c>
      <c r="B251" t="str">
        <f t="shared" si="3"/>
        <v>Young Adults</v>
      </c>
      <c r="C251">
        <v>0</v>
      </c>
      <c r="D251" t="s">
        <v>36</v>
      </c>
      <c r="E251">
        <v>580</v>
      </c>
      <c r="F251" t="s">
        <v>45</v>
      </c>
      <c r="G251">
        <v>27</v>
      </c>
      <c r="H251" t="str" cm="1">
        <f t="array" ref="H251">_xlfn.IFS(G251&gt;15,"Long Commute",G251&gt;5,"Moderate",G251&lt;=5,"Near Office")</f>
        <v>Long Commute</v>
      </c>
      <c r="I251" t="s">
        <v>72</v>
      </c>
      <c r="J251" t="s">
        <v>51</v>
      </c>
      <c r="K251">
        <v>2</v>
      </c>
      <c r="L251" t="s">
        <v>39</v>
      </c>
      <c r="M251">
        <v>39</v>
      </c>
      <c r="N251">
        <v>1</v>
      </c>
      <c r="O251">
        <v>2</v>
      </c>
      <c r="P251" t="s">
        <v>53</v>
      </c>
      <c r="Q251" t="s">
        <v>82</v>
      </c>
      <c r="R251" t="s">
        <v>52</v>
      </c>
      <c r="S251">
        <v>4877</v>
      </c>
      <c r="T251" t="str" cm="1">
        <f t="array" ref="T251">_xlfn.IFS(S251&gt;=10000,"High (&gt;10k)",S251&gt;=5000,"Medium (5k-10k)",S251&lt;5000,"Low (&lt;5k)")</f>
        <v>Low (&lt;5k)</v>
      </c>
      <c r="U251">
        <v>20460</v>
      </c>
      <c r="V251">
        <v>0</v>
      </c>
      <c r="W251" t="s">
        <v>43</v>
      </c>
      <c r="X251">
        <v>21</v>
      </c>
      <c r="Y251">
        <v>4</v>
      </c>
      <c r="Z251">
        <v>2</v>
      </c>
      <c r="AA251">
        <v>1</v>
      </c>
      <c r="AB251">
        <v>6</v>
      </c>
      <c r="AC251">
        <v>5</v>
      </c>
      <c r="AD251" t="s">
        <v>81</v>
      </c>
      <c r="AE251">
        <v>5</v>
      </c>
      <c r="AF251" t="str" cm="1">
        <f t="array" ref="AF251">_xlfn.IFS(AE251&gt;=10,"Veteran (10y+)",AE251&gt;=3,"Established (3-10y)",AE251&lt;3,"New Hire (&lt;3y)")</f>
        <v>Established (3-10y)</v>
      </c>
      <c r="AG251">
        <v>3</v>
      </c>
      <c r="AH251">
        <v>0</v>
      </c>
      <c r="AI251">
        <v>0</v>
      </c>
    </row>
    <row r="252" spans="1:35">
      <c r="A252">
        <v>28</v>
      </c>
      <c r="B252" t="str">
        <f t="shared" si="3"/>
        <v>Young Adults</v>
      </c>
      <c r="C252">
        <v>0</v>
      </c>
      <c r="D252" t="s">
        <v>36</v>
      </c>
      <c r="E252">
        <v>1181</v>
      </c>
      <c r="F252" t="s">
        <v>45</v>
      </c>
      <c r="G252">
        <v>1</v>
      </c>
      <c r="H252" t="str" cm="1">
        <f t="array" ref="H252">_xlfn.IFS(G252&gt;15,"Long Commute",G252&gt;5,"Moderate",G252&lt;=5,"Near Office")</f>
        <v>Near Office</v>
      </c>
      <c r="I252" t="s">
        <v>72</v>
      </c>
      <c r="J252" t="s">
        <v>38</v>
      </c>
      <c r="K252">
        <v>3</v>
      </c>
      <c r="L252" t="s">
        <v>46</v>
      </c>
      <c r="M252">
        <v>82</v>
      </c>
      <c r="N252">
        <v>3</v>
      </c>
      <c r="O252">
        <v>1</v>
      </c>
      <c r="P252" t="s">
        <v>47</v>
      </c>
      <c r="Q252" t="s">
        <v>77</v>
      </c>
      <c r="R252" t="s">
        <v>48</v>
      </c>
      <c r="S252">
        <v>2044</v>
      </c>
      <c r="T252" t="str" cm="1">
        <f t="array" ref="T252">_xlfn.IFS(S252&gt;=10000,"High (&gt;10k)",S252&gt;=5000,"Medium (5k-10k)",S252&lt;5000,"Low (&lt;5k)")</f>
        <v>Low (&lt;5k)</v>
      </c>
      <c r="U252">
        <v>5531</v>
      </c>
      <c r="V252">
        <v>1</v>
      </c>
      <c r="W252" t="s">
        <v>43</v>
      </c>
      <c r="X252">
        <v>11</v>
      </c>
      <c r="Y252">
        <v>3</v>
      </c>
      <c r="Z252">
        <v>3</v>
      </c>
      <c r="AA252">
        <v>1</v>
      </c>
      <c r="AB252">
        <v>5</v>
      </c>
      <c r="AC252">
        <v>6</v>
      </c>
      <c r="AD252" t="s">
        <v>79</v>
      </c>
      <c r="AE252">
        <v>5</v>
      </c>
      <c r="AF252" t="str" cm="1">
        <f t="array" ref="AF252">_xlfn.IFS(AE252&gt;=10,"Veteran (10y+)",AE252&gt;=3,"Established (3-10y)",AE252&lt;3,"New Hire (&lt;3y)")</f>
        <v>Established (3-10y)</v>
      </c>
      <c r="AG252">
        <v>3</v>
      </c>
      <c r="AH252">
        <v>0</v>
      </c>
      <c r="AI252">
        <v>3</v>
      </c>
    </row>
    <row r="253" spans="1:35">
      <c r="A253">
        <v>28</v>
      </c>
      <c r="B253" t="str">
        <f t="shared" si="3"/>
        <v>Young Adults</v>
      </c>
      <c r="C253">
        <v>0</v>
      </c>
      <c r="D253" t="s">
        <v>36</v>
      </c>
      <c r="E253">
        <v>1217</v>
      </c>
      <c r="F253" t="s">
        <v>45</v>
      </c>
      <c r="G253">
        <v>1</v>
      </c>
      <c r="H253" t="str" cm="1">
        <f t="array" ref="H253">_xlfn.IFS(G253&gt;15,"Long Commute",G253&gt;5,"Moderate",G253&lt;=5,"Near Office")</f>
        <v>Near Office</v>
      </c>
      <c r="I253" t="s">
        <v>72</v>
      </c>
      <c r="J253" t="s">
        <v>51</v>
      </c>
      <c r="K253">
        <v>3</v>
      </c>
      <c r="L253" t="s">
        <v>39</v>
      </c>
      <c r="M253">
        <v>67</v>
      </c>
      <c r="N253">
        <v>3</v>
      </c>
      <c r="O253">
        <v>1</v>
      </c>
      <c r="P253" t="s">
        <v>47</v>
      </c>
      <c r="Q253" t="s">
        <v>82</v>
      </c>
      <c r="R253" t="s">
        <v>48</v>
      </c>
      <c r="S253">
        <v>3591</v>
      </c>
      <c r="T253" t="str" cm="1">
        <f t="array" ref="T253">_xlfn.IFS(S253&gt;=10000,"High (&gt;10k)",S253&gt;=5000,"Medium (5k-10k)",S253&lt;5000,"Low (&lt;5k)")</f>
        <v>Low (&lt;5k)</v>
      </c>
      <c r="U253">
        <v>12719</v>
      </c>
      <c r="V253">
        <v>1</v>
      </c>
      <c r="W253" t="s">
        <v>43</v>
      </c>
      <c r="X253">
        <v>25</v>
      </c>
      <c r="Y253">
        <v>4</v>
      </c>
      <c r="Z253">
        <v>3</v>
      </c>
      <c r="AA253">
        <v>1</v>
      </c>
      <c r="AB253">
        <v>3</v>
      </c>
      <c r="AC253">
        <v>3</v>
      </c>
      <c r="AD253" t="s">
        <v>74</v>
      </c>
      <c r="AE253">
        <v>3</v>
      </c>
      <c r="AF253" t="str" cm="1">
        <f t="array" ref="AF253">_xlfn.IFS(AE253&gt;=10,"Veteran (10y+)",AE253&gt;=3,"Established (3-10y)",AE253&lt;3,"New Hire (&lt;3y)")</f>
        <v>Established (3-10y)</v>
      </c>
      <c r="AG253">
        <v>2</v>
      </c>
      <c r="AH253">
        <v>1</v>
      </c>
      <c r="AI253">
        <v>2</v>
      </c>
    </row>
    <row r="254" spans="1:35">
      <c r="A254">
        <v>28</v>
      </c>
      <c r="B254" t="str">
        <f t="shared" si="3"/>
        <v>Young Adults</v>
      </c>
      <c r="C254">
        <v>0</v>
      </c>
      <c r="D254" t="s">
        <v>55</v>
      </c>
      <c r="E254">
        <v>280</v>
      </c>
      <c r="F254" t="s">
        <v>61</v>
      </c>
      <c r="G254">
        <v>1</v>
      </c>
      <c r="H254" t="str" cm="1">
        <f t="array" ref="H254">_xlfn.IFS(G254&gt;15,"Long Commute",G254&gt;5,"Moderate",G254&lt;=5,"Near Office")</f>
        <v>Near Office</v>
      </c>
      <c r="I254" t="s">
        <v>76</v>
      </c>
      <c r="J254" t="s">
        <v>38</v>
      </c>
      <c r="K254">
        <v>3</v>
      </c>
      <c r="L254" t="s">
        <v>46</v>
      </c>
      <c r="M254">
        <v>43</v>
      </c>
      <c r="N254">
        <v>3</v>
      </c>
      <c r="O254">
        <v>1</v>
      </c>
      <c r="P254" t="s">
        <v>61</v>
      </c>
      <c r="Q254" t="s">
        <v>77</v>
      </c>
      <c r="R254" t="s">
        <v>52</v>
      </c>
      <c r="S254">
        <v>2706</v>
      </c>
      <c r="T254" t="str" cm="1">
        <f t="array" ref="T254">_xlfn.IFS(S254&gt;=10000,"High (&gt;10k)",S254&gt;=5000,"Medium (5k-10k)",S254&lt;5000,"Low (&lt;5k)")</f>
        <v>Low (&lt;5k)</v>
      </c>
      <c r="U254">
        <v>10494</v>
      </c>
      <c r="V254">
        <v>1</v>
      </c>
      <c r="W254" t="s">
        <v>43</v>
      </c>
      <c r="X254">
        <v>15</v>
      </c>
      <c r="Y254">
        <v>3</v>
      </c>
      <c r="Z254">
        <v>2</v>
      </c>
      <c r="AA254">
        <v>1</v>
      </c>
      <c r="AB254">
        <v>3</v>
      </c>
      <c r="AC254">
        <v>2</v>
      </c>
      <c r="AD254" t="s">
        <v>74</v>
      </c>
      <c r="AE254">
        <v>3</v>
      </c>
      <c r="AF254" t="str" cm="1">
        <f t="array" ref="AF254">_xlfn.IFS(AE254&gt;=10,"Veteran (10y+)",AE254&gt;=3,"Established (3-10y)",AE254&lt;3,"New Hire (&lt;3y)")</f>
        <v>Established (3-10y)</v>
      </c>
      <c r="AG254">
        <v>2</v>
      </c>
      <c r="AH254">
        <v>2</v>
      </c>
      <c r="AI254">
        <v>2</v>
      </c>
    </row>
    <row r="255" spans="1:35">
      <c r="A255">
        <v>28</v>
      </c>
      <c r="B255" t="str">
        <f t="shared" si="3"/>
        <v>Young Adults</v>
      </c>
      <c r="C255">
        <v>0</v>
      </c>
      <c r="D255" t="s">
        <v>36</v>
      </c>
      <c r="E255">
        <v>1172</v>
      </c>
      <c r="F255" t="s">
        <v>37</v>
      </c>
      <c r="G255">
        <v>3</v>
      </c>
      <c r="H255" t="str" cm="1">
        <f t="array" ref="H255">_xlfn.IFS(G255&gt;15,"Long Commute",G255&gt;5,"Moderate",G255&lt;=5,"Near Office")</f>
        <v>Near Office</v>
      </c>
      <c r="I255" t="s">
        <v>72</v>
      </c>
      <c r="J255" t="s">
        <v>51</v>
      </c>
      <c r="K255">
        <v>2</v>
      </c>
      <c r="L255" t="s">
        <v>39</v>
      </c>
      <c r="M255">
        <v>78</v>
      </c>
      <c r="N255">
        <v>3</v>
      </c>
      <c r="O255">
        <v>1</v>
      </c>
      <c r="P255" t="s">
        <v>57</v>
      </c>
      <c r="Q255" t="s">
        <v>75</v>
      </c>
      <c r="R255" t="s">
        <v>48</v>
      </c>
      <c r="S255">
        <v>2856</v>
      </c>
      <c r="T255" t="str" cm="1">
        <f t="array" ref="T255">_xlfn.IFS(S255&gt;=10000,"High (&gt;10k)",S255&gt;=5000,"Medium (5k-10k)",S255&lt;5000,"Low (&lt;5k)")</f>
        <v>Low (&lt;5k)</v>
      </c>
      <c r="U255">
        <v>3692</v>
      </c>
      <c r="V255">
        <v>1</v>
      </c>
      <c r="W255" t="s">
        <v>43</v>
      </c>
      <c r="X255">
        <v>19</v>
      </c>
      <c r="Y255">
        <v>3</v>
      </c>
      <c r="Z255">
        <v>4</v>
      </c>
      <c r="AA255">
        <v>1</v>
      </c>
      <c r="AB255">
        <v>1</v>
      </c>
      <c r="AC255">
        <v>3</v>
      </c>
      <c r="AD255" t="s">
        <v>74</v>
      </c>
      <c r="AE255">
        <v>1</v>
      </c>
      <c r="AF255" t="str" cm="1">
        <f t="array" ref="AF255">_xlfn.IFS(AE255&gt;=10,"Veteran (10y+)",AE255&gt;=3,"Established (3-10y)",AE255&lt;3,"New Hire (&lt;3y)")</f>
        <v>New Hire (&lt;3y)</v>
      </c>
      <c r="AG255">
        <v>0</v>
      </c>
      <c r="AH255">
        <v>0</v>
      </c>
      <c r="AI255">
        <v>0</v>
      </c>
    </row>
    <row r="256" spans="1:35">
      <c r="A256">
        <v>28</v>
      </c>
      <c r="B256" t="str">
        <f t="shared" si="3"/>
        <v>Young Adults</v>
      </c>
      <c r="C256">
        <v>0</v>
      </c>
      <c r="D256" t="s">
        <v>44</v>
      </c>
      <c r="E256">
        <v>783</v>
      </c>
      <c r="F256" t="s">
        <v>37</v>
      </c>
      <c r="G256">
        <v>1</v>
      </c>
      <c r="H256" t="str" cm="1">
        <f t="array" ref="H256">_xlfn.IFS(G256&gt;15,"Long Commute",G256&gt;5,"Moderate",G256&lt;=5,"Near Office")</f>
        <v>Near Office</v>
      </c>
      <c r="I256" t="s">
        <v>76</v>
      </c>
      <c r="J256" t="s">
        <v>38</v>
      </c>
      <c r="K256">
        <v>3</v>
      </c>
      <c r="L256" t="s">
        <v>46</v>
      </c>
      <c r="M256">
        <v>42</v>
      </c>
      <c r="N256">
        <v>2</v>
      </c>
      <c r="O256">
        <v>2</v>
      </c>
      <c r="P256" t="s">
        <v>40</v>
      </c>
      <c r="Q256" t="s">
        <v>77</v>
      </c>
      <c r="R256" t="s">
        <v>48</v>
      </c>
      <c r="S256">
        <v>6834</v>
      </c>
      <c r="T256" t="str" cm="1">
        <f t="array" ref="T256">_xlfn.IFS(S256&gt;=10000,"High (&gt;10k)",S256&gt;=5000,"Medium (5k-10k)",S256&lt;5000,"Low (&lt;5k)")</f>
        <v>Medium (5k-10k)</v>
      </c>
      <c r="U256">
        <v>19255</v>
      </c>
      <c r="V256">
        <v>1</v>
      </c>
      <c r="W256" t="s">
        <v>35</v>
      </c>
      <c r="X256">
        <v>12</v>
      </c>
      <c r="Y256">
        <v>3</v>
      </c>
      <c r="Z256">
        <v>3</v>
      </c>
      <c r="AA256">
        <v>1</v>
      </c>
      <c r="AB256">
        <v>7</v>
      </c>
      <c r="AC256">
        <v>2</v>
      </c>
      <c r="AD256" t="s">
        <v>74</v>
      </c>
      <c r="AE256">
        <v>7</v>
      </c>
      <c r="AF256" t="str" cm="1">
        <f t="array" ref="AF256">_xlfn.IFS(AE256&gt;=10,"Veteran (10y+)",AE256&gt;=3,"Established (3-10y)",AE256&lt;3,"New Hire (&lt;3y)")</f>
        <v>Established (3-10y)</v>
      </c>
      <c r="AG256">
        <v>7</v>
      </c>
      <c r="AH256">
        <v>0</v>
      </c>
      <c r="AI256">
        <v>7</v>
      </c>
    </row>
    <row r="257" spans="1:35">
      <c r="A257">
        <v>28</v>
      </c>
      <c r="B257" t="str">
        <f t="shared" si="3"/>
        <v>Young Adults</v>
      </c>
      <c r="C257">
        <v>1</v>
      </c>
      <c r="D257" t="s">
        <v>36</v>
      </c>
      <c r="E257">
        <v>1475</v>
      </c>
      <c r="F257" t="s">
        <v>37</v>
      </c>
      <c r="G257">
        <v>13</v>
      </c>
      <c r="H257" t="str" cm="1">
        <f t="array" ref="H257">_xlfn.IFS(G257&gt;15,"Long Commute",G257&gt;5,"Moderate",G257&lt;=5,"Near Office")</f>
        <v>Moderate</v>
      </c>
      <c r="I257" t="s">
        <v>76</v>
      </c>
      <c r="J257" t="s">
        <v>59</v>
      </c>
      <c r="K257">
        <v>4</v>
      </c>
      <c r="L257" t="s">
        <v>39</v>
      </c>
      <c r="M257">
        <v>84</v>
      </c>
      <c r="N257">
        <v>3</v>
      </c>
      <c r="O257">
        <v>2</v>
      </c>
      <c r="P257" t="s">
        <v>40</v>
      </c>
      <c r="Q257" t="s">
        <v>73</v>
      </c>
      <c r="R257" t="s">
        <v>41</v>
      </c>
      <c r="S257">
        <v>9854</v>
      </c>
      <c r="T257" t="str" cm="1">
        <f t="array" ref="T257">_xlfn.IFS(S257&gt;=10000,"High (&gt;10k)",S257&gt;=5000,"Medium (5k-10k)",S257&lt;5000,"Low (&lt;5k)")</f>
        <v>Medium (5k-10k)</v>
      </c>
      <c r="U257">
        <v>23352</v>
      </c>
      <c r="V257">
        <v>3</v>
      </c>
      <c r="W257" t="s">
        <v>35</v>
      </c>
      <c r="X257">
        <v>11</v>
      </c>
      <c r="Y257">
        <v>3</v>
      </c>
      <c r="Z257">
        <v>4</v>
      </c>
      <c r="AA257">
        <v>0</v>
      </c>
      <c r="AB257">
        <v>6</v>
      </c>
      <c r="AC257">
        <v>0</v>
      </c>
      <c r="AD257" t="s">
        <v>74</v>
      </c>
      <c r="AE257">
        <v>2</v>
      </c>
      <c r="AF257" t="str" cm="1">
        <f t="array" ref="AF257">_xlfn.IFS(AE257&gt;=10,"Veteran (10y+)",AE257&gt;=3,"Established (3-10y)",AE257&lt;3,"New Hire (&lt;3y)")</f>
        <v>New Hire (&lt;3y)</v>
      </c>
      <c r="AG257">
        <v>0</v>
      </c>
      <c r="AH257">
        <v>2</v>
      </c>
      <c r="AI257">
        <v>2</v>
      </c>
    </row>
    <row r="258" spans="1:35">
      <c r="A258">
        <v>28</v>
      </c>
      <c r="B258" t="str">
        <f t="shared" si="3"/>
        <v>Young Adults</v>
      </c>
      <c r="C258">
        <v>0</v>
      </c>
      <c r="D258" t="s">
        <v>55</v>
      </c>
      <c r="E258">
        <v>1103</v>
      </c>
      <c r="F258" t="s">
        <v>45</v>
      </c>
      <c r="G258">
        <v>16</v>
      </c>
      <c r="H258" t="str" cm="1">
        <f t="array" ref="H258">_xlfn.IFS(G258&gt;15,"Long Commute",G258&gt;5,"Moderate",G258&lt;=5,"Near Office")</f>
        <v>Long Commute</v>
      </c>
      <c r="I258" t="s">
        <v>72</v>
      </c>
      <c r="J258" t="s">
        <v>51</v>
      </c>
      <c r="K258">
        <v>3</v>
      </c>
      <c r="L258" t="s">
        <v>46</v>
      </c>
      <c r="M258">
        <v>49</v>
      </c>
      <c r="N258">
        <v>3</v>
      </c>
      <c r="O258">
        <v>1</v>
      </c>
      <c r="P258" t="s">
        <v>47</v>
      </c>
      <c r="Q258" t="s">
        <v>73</v>
      </c>
      <c r="R258" t="s">
        <v>41</v>
      </c>
      <c r="S258">
        <v>2144</v>
      </c>
      <c r="T258" t="str" cm="1">
        <f t="array" ref="T258">_xlfn.IFS(S258&gt;=10000,"High (&gt;10k)",S258&gt;=5000,"Medium (5k-10k)",S258&lt;5000,"Low (&lt;5k)")</f>
        <v>Low (&lt;5k)</v>
      </c>
      <c r="U258">
        <v>2122</v>
      </c>
      <c r="V258">
        <v>1</v>
      </c>
      <c r="W258" t="s">
        <v>43</v>
      </c>
      <c r="X258">
        <v>14</v>
      </c>
      <c r="Y258">
        <v>3</v>
      </c>
      <c r="Z258">
        <v>3</v>
      </c>
      <c r="AA258">
        <v>0</v>
      </c>
      <c r="AB258">
        <v>5</v>
      </c>
      <c r="AC258">
        <v>3</v>
      </c>
      <c r="AD258" t="s">
        <v>81</v>
      </c>
      <c r="AE258">
        <v>5</v>
      </c>
      <c r="AF258" t="str" cm="1">
        <f t="array" ref="AF258">_xlfn.IFS(AE258&gt;=10,"Veteran (10y+)",AE258&gt;=3,"Established (3-10y)",AE258&lt;3,"New Hire (&lt;3y)")</f>
        <v>Established (3-10y)</v>
      </c>
      <c r="AG258">
        <v>3</v>
      </c>
      <c r="AH258">
        <v>1</v>
      </c>
      <c r="AI258">
        <v>4</v>
      </c>
    </row>
    <row r="259" spans="1:35">
      <c r="A259">
        <v>28</v>
      </c>
      <c r="B259" t="str">
        <f t="shared" ref="B259:B322" si="4">IF(A259&gt;=46,"Senior",IF(A259&gt;=30,"Middle Aged","Young Adults"))</f>
        <v>Young Adults</v>
      </c>
      <c r="C259">
        <v>1</v>
      </c>
      <c r="D259" t="s">
        <v>36</v>
      </c>
      <c r="E259">
        <v>1404</v>
      </c>
      <c r="F259" t="s">
        <v>45</v>
      </c>
      <c r="G259">
        <v>17</v>
      </c>
      <c r="H259" t="str" cm="1">
        <f t="array" ref="H259">_xlfn.IFS(G259&gt;15,"Long Commute",G259&gt;5,"Moderate",G259&lt;=5,"Near Office")</f>
        <v>Long Commute</v>
      </c>
      <c r="I259" t="s">
        <v>72</v>
      </c>
      <c r="J259" t="s">
        <v>60</v>
      </c>
      <c r="K259">
        <v>3</v>
      </c>
      <c r="L259" t="s">
        <v>46</v>
      </c>
      <c r="M259">
        <v>32</v>
      </c>
      <c r="N259">
        <v>2</v>
      </c>
      <c r="O259">
        <v>1</v>
      </c>
      <c r="P259" t="s">
        <v>50</v>
      </c>
      <c r="Q259" t="s">
        <v>77</v>
      </c>
      <c r="R259" t="s">
        <v>52</v>
      </c>
      <c r="S259">
        <v>2367</v>
      </c>
      <c r="T259" t="str" cm="1">
        <f t="array" ref="T259">_xlfn.IFS(S259&gt;=10000,"High (&gt;10k)",S259&gt;=5000,"Medium (5k-10k)",S259&lt;5000,"Low (&lt;5k)")</f>
        <v>Low (&lt;5k)</v>
      </c>
      <c r="U259">
        <v>18779</v>
      </c>
      <c r="V259">
        <v>5</v>
      </c>
      <c r="W259" t="s">
        <v>43</v>
      </c>
      <c r="X259">
        <v>12</v>
      </c>
      <c r="Y259">
        <v>3</v>
      </c>
      <c r="Z259">
        <v>1</v>
      </c>
      <c r="AA259">
        <v>1</v>
      </c>
      <c r="AB259">
        <v>6</v>
      </c>
      <c r="AC259">
        <v>2</v>
      </c>
      <c r="AD259" t="s">
        <v>81</v>
      </c>
      <c r="AE259">
        <v>4</v>
      </c>
      <c r="AF259" t="str" cm="1">
        <f t="array" ref="AF259">_xlfn.IFS(AE259&gt;=10,"Veteran (10y+)",AE259&gt;=3,"Established (3-10y)",AE259&lt;3,"New Hire (&lt;3y)")</f>
        <v>Established (3-10y)</v>
      </c>
      <c r="AG259">
        <v>1</v>
      </c>
      <c r="AH259">
        <v>0</v>
      </c>
      <c r="AI259">
        <v>3</v>
      </c>
    </row>
    <row r="260" spans="1:35">
      <c r="A260">
        <v>29</v>
      </c>
      <c r="B260" t="str">
        <f t="shared" si="4"/>
        <v>Young Adults</v>
      </c>
      <c r="C260">
        <v>0</v>
      </c>
      <c r="D260" t="s">
        <v>36</v>
      </c>
      <c r="E260">
        <v>153</v>
      </c>
      <c r="F260" t="s">
        <v>45</v>
      </c>
      <c r="G260">
        <v>15</v>
      </c>
      <c r="H260" t="str" cm="1">
        <f t="array" ref="H260">_xlfn.IFS(G260&gt;15,"Long Commute",G260&gt;5,"Moderate",G260&lt;=5,"Near Office")</f>
        <v>Moderate</v>
      </c>
      <c r="I260" t="s">
        <v>76</v>
      </c>
      <c r="J260" t="s">
        <v>38</v>
      </c>
      <c r="K260">
        <v>4</v>
      </c>
      <c r="L260" t="s">
        <v>39</v>
      </c>
      <c r="M260">
        <v>49</v>
      </c>
      <c r="N260">
        <v>2</v>
      </c>
      <c r="O260">
        <v>2</v>
      </c>
      <c r="P260" t="s">
        <v>50</v>
      </c>
      <c r="Q260" t="s">
        <v>73</v>
      </c>
      <c r="R260" t="s">
        <v>41</v>
      </c>
      <c r="S260">
        <v>4193</v>
      </c>
      <c r="T260" t="str" cm="1">
        <f t="array" ref="T260">_xlfn.IFS(S260&gt;=10000,"High (&gt;10k)",S260&gt;=5000,"Medium (5k-10k)",S260&lt;5000,"Low (&lt;5k)")</f>
        <v>Low (&lt;5k)</v>
      </c>
      <c r="U260">
        <v>12682</v>
      </c>
      <c r="V260">
        <v>0</v>
      </c>
      <c r="W260" t="s">
        <v>35</v>
      </c>
      <c r="X260">
        <v>12</v>
      </c>
      <c r="Y260">
        <v>3</v>
      </c>
      <c r="Z260">
        <v>4</v>
      </c>
      <c r="AA260">
        <v>0</v>
      </c>
      <c r="AB260">
        <v>10</v>
      </c>
      <c r="AC260">
        <v>3</v>
      </c>
      <c r="AD260" t="s">
        <v>74</v>
      </c>
      <c r="AE260">
        <v>9</v>
      </c>
      <c r="AF260" t="str" cm="1">
        <f t="array" ref="AF260">_xlfn.IFS(AE260&gt;=10,"Veteran (10y+)",AE260&gt;=3,"Established (3-10y)",AE260&lt;3,"New Hire (&lt;3y)")</f>
        <v>Established (3-10y)</v>
      </c>
      <c r="AG260">
        <v>5</v>
      </c>
      <c r="AH260">
        <v>0</v>
      </c>
      <c r="AI260">
        <v>8</v>
      </c>
    </row>
    <row r="261" spans="1:35">
      <c r="A261">
        <v>29</v>
      </c>
      <c r="B261" t="str">
        <f t="shared" si="4"/>
        <v>Young Adults</v>
      </c>
      <c r="C261">
        <v>0</v>
      </c>
      <c r="D261" t="s">
        <v>36</v>
      </c>
      <c r="E261">
        <v>1389</v>
      </c>
      <c r="F261" t="s">
        <v>45</v>
      </c>
      <c r="G261">
        <v>21</v>
      </c>
      <c r="H261" t="str" cm="1">
        <f t="array" ref="H261">_xlfn.IFS(G261&gt;15,"Long Commute",G261&gt;5,"Moderate",G261&lt;=5,"Near Office")</f>
        <v>Long Commute</v>
      </c>
      <c r="I261" t="s">
        <v>83</v>
      </c>
      <c r="J261" t="s">
        <v>38</v>
      </c>
      <c r="K261">
        <v>2</v>
      </c>
      <c r="L261" t="s">
        <v>39</v>
      </c>
      <c r="M261">
        <v>51</v>
      </c>
      <c r="N261">
        <v>4</v>
      </c>
      <c r="O261">
        <v>3</v>
      </c>
      <c r="P261" t="s">
        <v>53</v>
      </c>
      <c r="Q261" t="s">
        <v>82</v>
      </c>
      <c r="R261" t="s">
        <v>52</v>
      </c>
      <c r="S261">
        <v>9980</v>
      </c>
      <c r="T261" t="str" cm="1">
        <f t="array" ref="T261">_xlfn.IFS(S261&gt;=10000,"High (&gt;10k)",S261&gt;=5000,"Medium (5k-10k)",S261&lt;5000,"Low (&lt;5k)")</f>
        <v>Medium (5k-10k)</v>
      </c>
      <c r="U261">
        <v>10195</v>
      </c>
      <c r="V261">
        <v>1</v>
      </c>
      <c r="W261" t="s">
        <v>43</v>
      </c>
      <c r="X261">
        <v>11</v>
      </c>
      <c r="Y261">
        <v>3</v>
      </c>
      <c r="Z261">
        <v>3</v>
      </c>
      <c r="AA261">
        <v>1</v>
      </c>
      <c r="AB261">
        <v>10</v>
      </c>
      <c r="AC261">
        <v>1</v>
      </c>
      <c r="AD261" t="s">
        <v>74</v>
      </c>
      <c r="AE261">
        <v>10</v>
      </c>
      <c r="AF261" t="str" cm="1">
        <f t="array" ref="AF261">_xlfn.IFS(AE261&gt;=10,"Veteran (10y+)",AE261&gt;=3,"Established (3-10y)",AE261&lt;3,"New Hire (&lt;3y)")</f>
        <v>Veteran (10y+)</v>
      </c>
      <c r="AG261">
        <v>9</v>
      </c>
      <c r="AH261">
        <v>8</v>
      </c>
      <c r="AI261">
        <v>8</v>
      </c>
    </row>
    <row r="262" spans="1:35">
      <c r="A262">
        <v>29</v>
      </c>
      <c r="B262" t="str">
        <f t="shared" si="4"/>
        <v>Young Adults</v>
      </c>
      <c r="C262">
        <v>0</v>
      </c>
      <c r="D262" t="s">
        <v>36</v>
      </c>
      <c r="E262">
        <v>1328</v>
      </c>
      <c r="F262" t="s">
        <v>45</v>
      </c>
      <c r="G262">
        <v>2</v>
      </c>
      <c r="H262" t="str" cm="1">
        <f t="array" ref="H262">_xlfn.IFS(G262&gt;15,"Long Commute",G262&gt;5,"Moderate",G262&lt;=5,"Near Office")</f>
        <v>Near Office</v>
      </c>
      <c r="I262" t="s">
        <v>72</v>
      </c>
      <c r="J262" t="s">
        <v>38</v>
      </c>
      <c r="K262">
        <v>3</v>
      </c>
      <c r="L262" t="s">
        <v>46</v>
      </c>
      <c r="M262">
        <v>76</v>
      </c>
      <c r="N262">
        <v>3</v>
      </c>
      <c r="O262">
        <v>1</v>
      </c>
      <c r="P262" t="s">
        <v>47</v>
      </c>
      <c r="Q262" t="s">
        <v>75</v>
      </c>
      <c r="R262" t="s">
        <v>48</v>
      </c>
      <c r="S262">
        <v>2703</v>
      </c>
      <c r="T262" t="str" cm="1">
        <f t="array" ref="T262">_xlfn.IFS(S262&gt;=10000,"High (&gt;10k)",S262&gt;=5000,"Medium (5k-10k)",S262&lt;5000,"Low (&lt;5k)")</f>
        <v>Low (&lt;5k)</v>
      </c>
      <c r="U262">
        <v>4956</v>
      </c>
      <c r="V262">
        <v>0</v>
      </c>
      <c r="W262" t="s">
        <v>43</v>
      </c>
      <c r="X262">
        <v>23</v>
      </c>
      <c r="Y262">
        <v>4</v>
      </c>
      <c r="Z262">
        <v>4</v>
      </c>
      <c r="AA262">
        <v>1</v>
      </c>
      <c r="AB262">
        <v>6</v>
      </c>
      <c r="AC262">
        <v>3</v>
      </c>
      <c r="AD262" t="s">
        <v>74</v>
      </c>
      <c r="AE262">
        <v>5</v>
      </c>
      <c r="AF262" t="str" cm="1">
        <f t="array" ref="AF262">_xlfn.IFS(AE262&gt;=10,"Veteran (10y+)",AE262&gt;=3,"Established (3-10y)",AE262&lt;3,"New Hire (&lt;3y)")</f>
        <v>Established (3-10y)</v>
      </c>
      <c r="AG262">
        <v>4</v>
      </c>
      <c r="AH262">
        <v>0</v>
      </c>
      <c r="AI262">
        <v>4</v>
      </c>
    </row>
    <row r="263" spans="1:35">
      <c r="A263">
        <v>29</v>
      </c>
      <c r="B263" t="str">
        <f t="shared" si="4"/>
        <v>Young Adults</v>
      </c>
      <c r="C263">
        <v>0</v>
      </c>
      <c r="D263" t="s">
        <v>55</v>
      </c>
      <c r="E263">
        <v>1496</v>
      </c>
      <c r="F263" t="s">
        <v>45</v>
      </c>
      <c r="G263">
        <v>1</v>
      </c>
      <c r="H263" t="str" cm="1">
        <f t="array" ref="H263">_xlfn.IFS(G263&gt;15,"Long Commute",G263&gt;5,"Moderate",G263&lt;=5,"Near Office")</f>
        <v>Near Office</v>
      </c>
      <c r="I263" t="s">
        <v>78</v>
      </c>
      <c r="J263" t="s">
        <v>60</v>
      </c>
      <c r="K263">
        <v>4</v>
      </c>
      <c r="L263" t="s">
        <v>46</v>
      </c>
      <c r="M263">
        <v>41</v>
      </c>
      <c r="N263">
        <v>3</v>
      </c>
      <c r="O263">
        <v>2</v>
      </c>
      <c r="P263" t="s">
        <v>53</v>
      </c>
      <c r="Q263" t="s">
        <v>73</v>
      </c>
      <c r="R263" t="s">
        <v>48</v>
      </c>
      <c r="S263">
        <v>4319</v>
      </c>
      <c r="T263" t="str" cm="1">
        <f t="array" ref="T263">_xlfn.IFS(S263&gt;=10000,"High (&gt;10k)",S263&gt;=5000,"Medium (5k-10k)",S263&lt;5000,"Low (&lt;5k)")</f>
        <v>Low (&lt;5k)</v>
      </c>
      <c r="U263">
        <v>26283</v>
      </c>
      <c r="V263">
        <v>1</v>
      </c>
      <c r="W263" t="s">
        <v>43</v>
      </c>
      <c r="X263">
        <v>13</v>
      </c>
      <c r="Y263">
        <v>3</v>
      </c>
      <c r="Z263">
        <v>1</v>
      </c>
      <c r="AA263">
        <v>1</v>
      </c>
      <c r="AB263">
        <v>10</v>
      </c>
      <c r="AC263">
        <v>1</v>
      </c>
      <c r="AD263" t="s">
        <v>74</v>
      </c>
      <c r="AE263">
        <v>10</v>
      </c>
      <c r="AF263" t="str" cm="1">
        <f t="array" ref="AF263">_xlfn.IFS(AE263&gt;=10,"Veteran (10y+)",AE263&gt;=3,"Established (3-10y)",AE263&lt;3,"New Hire (&lt;3y)")</f>
        <v>Veteran (10y+)</v>
      </c>
      <c r="AG263">
        <v>7</v>
      </c>
      <c r="AH263">
        <v>0</v>
      </c>
      <c r="AI263">
        <v>9</v>
      </c>
    </row>
    <row r="264" spans="1:35">
      <c r="A264">
        <v>29</v>
      </c>
      <c r="B264" t="str">
        <f t="shared" si="4"/>
        <v>Young Adults</v>
      </c>
      <c r="C264">
        <v>1</v>
      </c>
      <c r="D264" t="s">
        <v>36</v>
      </c>
      <c r="E264">
        <v>121</v>
      </c>
      <c r="F264" t="s">
        <v>37</v>
      </c>
      <c r="G264">
        <v>27</v>
      </c>
      <c r="H264" t="str" cm="1">
        <f t="array" ref="H264">_xlfn.IFS(G264&gt;15,"Long Commute",G264&gt;5,"Moderate",G264&lt;=5,"Near Office")</f>
        <v>Long Commute</v>
      </c>
      <c r="I264" t="s">
        <v>72</v>
      </c>
      <c r="J264" t="s">
        <v>59</v>
      </c>
      <c r="K264">
        <v>2</v>
      </c>
      <c r="L264" t="s">
        <v>39</v>
      </c>
      <c r="M264">
        <v>35</v>
      </c>
      <c r="N264">
        <v>3</v>
      </c>
      <c r="O264">
        <v>3</v>
      </c>
      <c r="P264" t="s">
        <v>40</v>
      </c>
      <c r="Q264" t="s">
        <v>77</v>
      </c>
      <c r="R264" t="s">
        <v>48</v>
      </c>
      <c r="S264">
        <v>7639</v>
      </c>
      <c r="T264" t="str" cm="1">
        <f t="array" ref="T264">_xlfn.IFS(S264&gt;=10000,"High (&gt;10k)",S264&gt;=5000,"Medium (5k-10k)",S264&lt;5000,"Low (&lt;5k)")</f>
        <v>Medium (5k-10k)</v>
      </c>
      <c r="U264">
        <v>24525</v>
      </c>
      <c r="V264">
        <v>1</v>
      </c>
      <c r="W264" t="s">
        <v>43</v>
      </c>
      <c r="X264">
        <v>22</v>
      </c>
      <c r="Y264">
        <v>4</v>
      </c>
      <c r="Z264">
        <v>4</v>
      </c>
      <c r="AA264">
        <v>3</v>
      </c>
      <c r="AB264">
        <v>10</v>
      </c>
      <c r="AC264">
        <v>3</v>
      </c>
      <c r="AD264" t="s">
        <v>81</v>
      </c>
      <c r="AE264">
        <v>10</v>
      </c>
      <c r="AF264" t="str" cm="1">
        <f t="array" ref="AF264">_xlfn.IFS(AE264&gt;=10,"Veteran (10y+)",AE264&gt;=3,"Established (3-10y)",AE264&lt;3,"New Hire (&lt;3y)")</f>
        <v>Veteran (10y+)</v>
      </c>
      <c r="AG264">
        <v>4</v>
      </c>
      <c r="AH264">
        <v>1</v>
      </c>
      <c r="AI264">
        <v>9</v>
      </c>
    </row>
    <row r="265" spans="1:35">
      <c r="A265">
        <v>29</v>
      </c>
      <c r="B265" t="str">
        <f t="shared" si="4"/>
        <v>Young Adults</v>
      </c>
      <c r="C265">
        <v>1</v>
      </c>
      <c r="D265" t="s">
        <v>36</v>
      </c>
      <c r="E265">
        <v>992</v>
      </c>
      <c r="F265" t="s">
        <v>45</v>
      </c>
      <c r="G265">
        <v>1</v>
      </c>
      <c r="H265" t="str" cm="1">
        <f t="array" ref="H265">_xlfn.IFS(G265&gt;15,"Long Commute",G265&gt;5,"Moderate",G265&lt;=5,"Near Office")</f>
        <v>Near Office</v>
      </c>
      <c r="I265" t="s">
        <v>72</v>
      </c>
      <c r="J265" t="s">
        <v>60</v>
      </c>
      <c r="K265">
        <v>3</v>
      </c>
      <c r="L265" t="s">
        <v>46</v>
      </c>
      <c r="M265">
        <v>85</v>
      </c>
      <c r="N265">
        <v>3</v>
      </c>
      <c r="O265">
        <v>1</v>
      </c>
      <c r="P265" t="s">
        <v>47</v>
      </c>
      <c r="Q265" t="s">
        <v>73</v>
      </c>
      <c r="R265" t="s">
        <v>41</v>
      </c>
      <c r="S265">
        <v>2058</v>
      </c>
      <c r="T265" t="str" cm="1">
        <f t="array" ref="T265">_xlfn.IFS(S265&gt;=10000,"High (&gt;10k)",S265&gt;=5000,"Medium (5k-10k)",S265&lt;5000,"Low (&lt;5k)")</f>
        <v>Low (&lt;5k)</v>
      </c>
      <c r="U265">
        <v>19757</v>
      </c>
      <c r="V265">
        <v>0</v>
      </c>
      <c r="W265" t="s">
        <v>43</v>
      </c>
      <c r="X265">
        <v>14</v>
      </c>
      <c r="Y265">
        <v>3</v>
      </c>
      <c r="Z265">
        <v>4</v>
      </c>
      <c r="AA265">
        <v>0</v>
      </c>
      <c r="AB265">
        <v>7</v>
      </c>
      <c r="AC265">
        <v>1</v>
      </c>
      <c r="AD265" t="s">
        <v>81</v>
      </c>
      <c r="AE265">
        <v>6</v>
      </c>
      <c r="AF265" t="str" cm="1">
        <f t="array" ref="AF265">_xlfn.IFS(AE265&gt;=10,"Veteran (10y+)",AE265&gt;=3,"Established (3-10y)",AE265&lt;3,"New Hire (&lt;3y)")</f>
        <v>Established (3-10y)</v>
      </c>
      <c r="AG265">
        <v>2</v>
      </c>
      <c r="AH265">
        <v>1</v>
      </c>
      <c r="AI265">
        <v>5</v>
      </c>
    </row>
    <row r="266" spans="1:35">
      <c r="A266">
        <v>29</v>
      </c>
      <c r="B266" t="str">
        <f t="shared" si="4"/>
        <v>Young Adults</v>
      </c>
      <c r="C266">
        <v>0</v>
      </c>
      <c r="D266" t="s">
        <v>44</v>
      </c>
      <c r="E266">
        <v>1413</v>
      </c>
      <c r="F266" t="s">
        <v>37</v>
      </c>
      <c r="G266">
        <v>1</v>
      </c>
      <c r="H266" t="str" cm="1">
        <f t="array" ref="H266">_xlfn.IFS(G266&gt;15,"Long Commute",G266&gt;5,"Moderate",G266&lt;=5,"Near Office")</f>
        <v>Near Office</v>
      </c>
      <c r="I266" t="s">
        <v>78</v>
      </c>
      <c r="J266" t="s">
        <v>51</v>
      </c>
      <c r="K266">
        <v>2</v>
      </c>
      <c r="L266" t="s">
        <v>39</v>
      </c>
      <c r="M266">
        <v>42</v>
      </c>
      <c r="N266">
        <v>3</v>
      </c>
      <c r="O266">
        <v>3</v>
      </c>
      <c r="P266" t="s">
        <v>40</v>
      </c>
      <c r="Q266" t="s">
        <v>77</v>
      </c>
      <c r="R266" t="s">
        <v>48</v>
      </c>
      <c r="S266">
        <v>7918</v>
      </c>
      <c r="T266" t="str" cm="1">
        <f t="array" ref="T266">_xlfn.IFS(S266&gt;=10000,"High (&gt;10k)",S266&gt;=5000,"Medium (5k-10k)",S266&lt;5000,"Low (&lt;5k)")</f>
        <v>Medium (5k-10k)</v>
      </c>
      <c r="U266">
        <v>6599</v>
      </c>
      <c r="V266">
        <v>1</v>
      </c>
      <c r="W266" t="s">
        <v>43</v>
      </c>
      <c r="X266">
        <v>14</v>
      </c>
      <c r="Y266">
        <v>3</v>
      </c>
      <c r="Z266">
        <v>4</v>
      </c>
      <c r="AA266">
        <v>1</v>
      </c>
      <c r="AB266">
        <v>11</v>
      </c>
      <c r="AC266">
        <v>5</v>
      </c>
      <c r="AD266" t="s">
        <v>74</v>
      </c>
      <c r="AE266">
        <v>11</v>
      </c>
      <c r="AF266" t="str" cm="1">
        <f t="array" ref="AF266">_xlfn.IFS(AE266&gt;=10,"Veteran (10y+)",AE266&gt;=3,"Established (3-10y)",AE266&lt;3,"New Hire (&lt;3y)")</f>
        <v>Veteran (10y+)</v>
      </c>
      <c r="AG266">
        <v>10</v>
      </c>
      <c r="AH266">
        <v>4</v>
      </c>
      <c r="AI266">
        <v>1</v>
      </c>
    </row>
    <row r="267" spans="1:35">
      <c r="A267">
        <v>29</v>
      </c>
      <c r="B267" t="str">
        <f t="shared" si="4"/>
        <v>Young Adults</v>
      </c>
      <c r="C267">
        <v>1</v>
      </c>
      <c r="D267" t="s">
        <v>36</v>
      </c>
      <c r="E267">
        <v>896</v>
      </c>
      <c r="F267" t="s">
        <v>45</v>
      </c>
      <c r="G267">
        <v>18</v>
      </c>
      <c r="H267" t="str" cm="1">
        <f t="array" ref="H267">_xlfn.IFS(G267&gt;15,"Long Commute",G267&gt;5,"Moderate",G267&lt;=5,"Near Office")</f>
        <v>Long Commute</v>
      </c>
      <c r="I267" t="s">
        <v>78</v>
      </c>
      <c r="J267" t="s">
        <v>51</v>
      </c>
      <c r="K267">
        <v>3</v>
      </c>
      <c r="L267" t="s">
        <v>46</v>
      </c>
      <c r="M267">
        <v>86</v>
      </c>
      <c r="N267">
        <v>2</v>
      </c>
      <c r="O267">
        <v>1</v>
      </c>
      <c r="P267" t="s">
        <v>47</v>
      </c>
      <c r="Q267" t="s">
        <v>77</v>
      </c>
      <c r="R267" t="s">
        <v>41</v>
      </c>
      <c r="S267">
        <v>2389</v>
      </c>
      <c r="T267" t="str" cm="1">
        <f t="array" ref="T267">_xlfn.IFS(S267&gt;=10000,"High (&gt;10k)",S267&gt;=5000,"Medium (5k-10k)",S267&lt;5000,"Low (&lt;5k)")</f>
        <v>Low (&lt;5k)</v>
      </c>
      <c r="U267">
        <v>14961</v>
      </c>
      <c r="V267">
        <v>1</v>
      </c>
      <c r="W267" t="s">
        <v>35</v>
      </c>
      <c r="X267">
        <v>13</v>
      </c>
      <c r="Y267">
        <v>3</v>
      </c>
      <c r="Z267">
        <v>3</v>
      </c>
      <c r="AA267">
        <v>0</v>
      </c>
      <c r="AB267">
        <v>4</v>
      </c>
      <c r="AC267">
        <v>3</v>
      </c>
      <c r="AD267" t="s">
        <v>81</v>
      </c>
      <c r="AE267">
        <v>4</v>
      </c>
      <c r="AF267" t="str" cm="1">
        <f t="array" ref="AF267">_xlfn.IFS(AE267&gt;=10,"Veteran (10y+)",AE267&gt;=3,"Established (3-10y)",AE267&lt;3,"New Hire (&lt;3y)")</f>
        <v>Established (3-10y)</v>
      </c>
      <c r="AG267">
        <v>3</v>
      </c>
      <c r="AH267">
        <v>0</v>
      </c>
      <c r="AI267">
        <v>1</v>
      </c>
    </row>
    <row r="268" spans="1:35">
      <c r="A268">
        <v>29</v>
      </c>
      <c r="B268" t="str">
        <f t="shared" si="4"/>
        <v>Young Adults</v>
      </c>
      <c r="C268">
        <v>0</v>
      </c>
      <c r="D268" t="s">
        <v>36</v>
      </c>
      <c r="E268">
        <v>665</v>
      </c>
      <c r="F268" t="s">
        <v>45</v>
      </c>
      <c r="G268">
        <v>15</v>
      </c>
      <c r="H268" t="str" cm="1">
        <f t="array" ref="H268">_xlfn.IFS(G268&gt;15,"Long Commute",G268&gt;5,"Moderate",G268&lt;=5,"Near Office")</f>
        <v>Moderate</v>
      </c>
      <c r="I268" t="s">
        <v>72</v>
      </c>
      <c r="J268" t="s">
        <v>38</v>
      </c>
      <c r="K268">
        <v>3</v>
      </c>
      <c r="L268" t="s">
        <v>46</v>
      </c>
      <c r="M268">
        <v>60</v>
      </c>
      <c r="N268">
        <v>3</v>
      </c>
      <c r="O268">
        <v>1</v>
      </c>
      <c r="P268" t="s">
        <v>47</v>
      </c>
      <c r="Q268" t="s">
        <v>77</v>
      </c>
      <c r="R268" t="s">
        <v>41</v>
      </c>
      <c r="S268">
        <v>2340</v>
      </c>
      <c r="T268" t="str" cm="1">
        <f t="array" ref="T268">_xlfn.IFS(S268&gt;=10000,"High (&gt;10k)",S268&gt;=5000,"Medium (5k-10k)",S268&lt;5000,"Low (&lt;5k)")</f>
        <v>Low (&lt;5k)</v>
      </c>
      <c r="U268">
        <v>22673</v>
      </c>
      <c r="V268">
        <v>1</v>
      </c>
      <c r="W268" t="s">
        <v>43</v>
      </c>
      <c r="X268">
        <v>19</v>
      </c>
      <c r="Y268">
        <v>3</v>
      </c>
      <c r="Z268">
        <v>1</v>
      </c>
      <c r="AA268">
        <v>0</v>
      </c>
      <c r="AB268">
        <v>6</v>
      </c>
      <c r="AC268">
        <v>1</v>
      </c>
      <c r="AD268" t="s">
        <v>74</v>
      </c>
      <c r="AE268">
        <v>6</v>
      </c>
      <c r="AF268" t="str" cm="1">
        <f t="array" ref="AF268">_xlfn.IFS(AE268&gt;=10,"Veteran (10y+)",AE268&gt;=3,"Established (3-10y)",AE268&lt;3,"New Hire (&lt;3y)")</f>
        <v>Established (3-10y)</v>
      </c>
      <c r="AG268">
        <v>5</v>
      </c>
      <c r="AH268">
        <v>1</v>
      </c>
      <c r="AI268">
        <v>5</v>
      </c>
    </row>
    <row r="269" spans="1:35">
      <c r="A269">
        <v>29</v>
      </c>
      <c r="B269" t="str">
        <f t="shared" si="4"/>
        <v>Young Adults</v>
      </c>
      <c r="C269">
        <v>0</v>
      </c>
      <c r="D269" t="s">
        <v>36</v>
      </c>
      <c r="E269">
        <v>1247</v>
      </c>
      <c r="F269" t="s">
        <v>37</v>
      </c>
      <c r="G269">
        <v>20</v>
      </c>
      <c r="H269" t="str" cm="1">
        <f t="array" ref="H269">_xlfn.IFS(G269&gt;15,"Long Commute",G269&gt;5,"Moderate",G269&lt;=5,"Near Office")</f>
        <v>Long Commute</v>
      </c>
      <c r="I269" t="s">
        <v>76</v>
      </c>
      <c r="J269" t="s">
        <v>59</v>
      </c>
      <c r="K269">
        <v>4</v>
      </c>
      <c r="L269" t="s">
        <v>46</v>
      </c>
      <c r="M269">
        <v>45</v>
      </c>
      <c r="N269">
        <v>3</v>
      </c>
      <c r="O269">
        <v>2</v>
      </c>
      <c r="P269" t="s">
        <v>40</v>
      </c>
      <c r="Q269" t="s">
        <v>77</v>
      </c>
      <c r="R269" t="s">
        <v>52</v>
      </c>
      <c r="S269">
        <v>6931</v>
      </c>
      <c r="T269" t="str" cm="1">
        <f t="array" ref="T269">_xlfn.IFS(S269&gt;=10000,"High (&gt;10k)",S269&gt;=5000,"Medium (5k-10k)",S269&lt;5000,"Low (&lt;5k)")</f>
        <v>Medium (5k-10k)</v>
      </c>
      <c r="U269">
        <v>10732</v>
      </c>
      <c r="V269">
        <v>2</v>
      </c>
      <c r="W269" t="s">
        <v>43</v>
      </c>
      <c r="X269">
        <v>14</v>
      </c>
      <c r="Y269">
        <v>3</v>
      </c>
      <c r="Z269">
        <v>4</v>
      </c>
      <c r="AA269">
        <v>1</v>
      </c>
      <c r="AB269">
        <v>10</v>
      </c>
      <c r="AC269">
        <v>2</v>
      </c>
      <c r="AD269" t="s">
        <v>74</v>
      </c>
      <c r="AE269">
        <v>3</v>
      </c>
      <c r="AF269" t="str" cm="1">
        <f t="array" ref="AF269">_xlfn.IFS(AE269&gt;=10,"Veteran (10y+)",AE269&gt;=3,"Established (3-10y)",AE269&lt;3,"New Hire (&lt;3y)")</f>
        <v>Established (3-10y)</v>
      </c>
      <c r="AG269">
        <v>2</v>
      </c>
      <c r="AH269">
        <v>0</v>
      </c>
      <c r="AI269">
        <v>2</v>
      </c>
    </row>
    <row r="270" spans="1:35">
      <c r="A270">
        <v>29</v>
      </c>
      <c r="B270" t="str">
        <f t="shared" si="4"/>
        <v>Young Adults</v>
      </c>
      <c r="C270">
        <v>0</v>
      </c>
      <c r="D270" t="s">
        <v>36</v>
      </c>
      <c r="E270">
        <v>1210</v>
      </c>
      <c r="F270" t="s">
        <v>37</v>
      </c>
      <c r="G270">
        <v>2</v>
      </c>
      <c r="H270" t="str" cm="1">
        <f t="array" ref="H270">_xlfn.IFS(G270&gt;15,"Long Commute",G270&gt;5,"Moderate",G270&lt;=5,"Near Office")</f>
        <v>Near Office</v>
      </c>
      <c r="I270" t="s">
        <v>72</v>
      </c>
      <c r="J270" t="s">
        <v>51</v>
      </c>
      <c r="K270">
        <v>1</v>
      </c>
      <c r="L270" t="s">
        <v>46</v>
      </c>
      <c r="M270">
        <v>78</v>
      </c>
      <c r="N270">
        <v>2</v>
      </c>
      <c r="O270">
        <v>2</v>
      </c>
      <c r="P270" t="s">
        <v>40</v>
      </c>
      <c r="Q270" t="s">
        <v>75</v>
      </c>
      <c r="R270" t="s">
        <v>48</v>
      </c>
      <c r="S270">
        <v>6644</v>
      </c>
      <c r="T270" t="str" cm="1">
        <f t="array" ref="T270">_xlfn.IFS(S270&gt;=10000,"High (&gt;10k)",S270&gt;=5000,"Medium (5k-10k)",S270&lt;5000,"Low (&lt;5k)")</f>
        <v>Medium (5k-10k)</v>
      </c>
      <c r="U270">
        <v>3687</v>
      </c>
      <c r="V270">
        <v>2</v>
      </c>
      <c r="W270" t="s">
        <v>43</v>
      </c>
      <c r="X270">
        <v>19</v>
      </c>
      <c r="Y270">
        <v>3</v>
      </c>
      <c r="Z270">
        <v>2</v>
      </c>
      <c r="AA270">
        <v>2</v>
      </c>
      <c r="AB270">
        <v>10</v>
      </c>
      <c r="AC270">
        <v>2</v>
      </c>
      <c r="AD270" t="s">
        <v>74</v>
      </c>
      <c r="AE270">
        <v>0</v>
      </c>
      <c r="AF270" t="str" cm="1">
        <f t="array" ref="AF270">_xlfn.IFS(AE270&gt;=10,"Veteran (10y+)",AE270&gt;=3,"Established (3-10y)",AE270&lt;3,"New Hire (&lt;3y)")</f>
        <v>New Hire (&lt;3y)</v>
      </c>
      <c r="AG270">
        <v>0</v>
      </c>
      <c r="AH270">
        <v>0</v>
      </c>
      <c r="AI270">
        <v>0</v>
      </c>
    </row>
    <row r="271" spans="1:35">
      <c r="A271">
        <v>29</v>
      </c>
      <c r="B271" t="str">
        <f t="shared" si="4"/>
        <v>Young Adults</v>
      </c>
      <c r="C271">
        <v>0</v>
      </c>
      <c r="D271" t="s">
        <v>44</v>
      </c>
      <c r="E271">
        <v>442</v>
      </c>
      <c r="F271" t="s">
        <v>37</v>
      </c>
      <c r="G271">
        <v>2</v>
      </c>
      <c r="H271" t="str" cm="1">
        <f t="array" ref="H271">_xlfn.IFS(G271&gt;15,"Long Commute",G271&gt;5,"Moderate",G271&lt;=5,"Near Office")</f>
        <v>Near Office</v>
      </c>
      <c r="I271" t="s">
        <v>76</v>
      </c>
      <c r="J271" t="s">
        <v>38</v>
      </c>
      <c r="K271">
        <v>2</v>
      </c>
      <c r="L271" t="s">
        <v>46</v>
      </c>
      <c r="M271">
        <v>44</v>
      </c>
      <c r="N271">
        <v>3</v>
      </c>
      <c r="O271">
        <v>2</v>
      </c>
      <c r="P271" t="s">
        <v>40</v>
      </c>
      <c r="Q271" t="s">
        <v>77</v>
      </c>
      <c r="R271" t="s">
        <v>41</v>
      </c>
      <c r="S271">
        <v>4554</v>
      </c>
      <c r="T271" t="str" cm="1">
        <f t="array" ref="T271">_xlfn.IFS(S271&gt;=10000,"High (&gt;10k)",S271&gt;=5000,"Medium (5k-10k)",S271&lt;5000,"Low (&lt;5k)")</f>
        <v>Low (&lt;5k)</v>
      </c>
      <c r="U271">
        <v>20260</v>
      </c>
      <c r="V271">
        <v>1</v>
      </c>
      <c r="W271" t="s">
        <v>43</v>
      </c>
      <c r="X271">
        <v>18</v>
      </c>
      <c r="Y271">
        <v>3</v>
      </c>
      <c r="Z271">
        <v>1</v>
      </c>
      <c r="AA271">
        <v>0</v>
      </c>
      <c r="AB271">
        <v>10</v>
      </c>
      <c r="AC271">
        <v>3</v>
      </c>
      <c r="AD271" t="s">
        <v>81</v>
      </c>
      <c r="AE271">
        <v>10</v>
      </c>
      <c r="AF271" t="str" cm="1">
        <f t="array" ref="AF271">_xlfn.IFS(AE271&gt;=10,"Veteran (10y+)",AE271&gt;=3,"Established (3-10y)",AE271&lt;3,"New Hire (&lt;3y)")</f>
        <v>Veteran (10y+)</v>
      </c>
      <c r="AG271">
        <v>7</v>
      </c>
      <c r="AH271">
        <v>0</v>
      </c>
      <c r="AI271">
        <v>9</v>
      </c>
    </row>
    <row r="272" spans="1:35">
      <c r="A272">
        <v>29</v>
      </c>
      <c r="B272" t="str">
        <f t="shared" si="4"/>
        <v>Young Adults</v>
      </c>
      <c r="C272">
        <v>1</v>
      </c>
      <c r="D272" t="s">
        <v>36</v>
      </c>
      <c r="E272">
        <v>318</v>
      </c>
      <c r="F272" t="s">
        <v>45</v>
      </c>
      <c r="G272">
        <v>8</v>
      </c>
      <c r="H272" t="str" cm="1">
        <f t="array" ref="H272">_xlfn.IFS(G272&gt;15,"Long Commute",G272&gt;5,"Moderate",G272&lt;=5,"Near Office")</f>
        <v>Moderate</v>
      </c>
      <c r="I272" t="s">
        <v>83</v>
      </c>
      <c r="J272" t="s">
        <v>49</v>
      </c>
      <c r="K272">
        <v>2</v>
      </c>
      <c r="L272" t="s">
        <v>46</v>
      </c>
      <c r="M272">
        <v>77</v>
      </c>
      <c r="N272">
        <v>1</v>
      </c>
      <c r="O272">
        <v>1</v>
      </c>
      <c r="P272" t="s">
        <v>50</v>
      </c>
      <c r="Q272" t="s">
        <v>82</v>
      </c>
      <c r="R272" t="s">
        <v>48</v>
      </c>
      <c r="S272">
        <v>2119</v>
      </c>
      <c r="T272" t="str" cm="1">
        <f t="array" ref="T272">_xlfn.IFS(S272&gt;=10000,"High (&gt;10k)",S272&gt;=5000,"Medium (5k-10k)",S272&lt;5000,"Low (&lt;5k)")</f>
        <v>Low (&lt;5k)</v>
      </c>
      <c r="U272">
        <v>4759</v>
      </c>
      <c r="V272">
        <v>1</v>
      </c>
      <c r="W272" t="s">
        <v>35</v>
      </c>
      <c r="X272">
        <v>11</v>
      </c>
      <c r="Y272">
        <v>3</v>
      </c>
      <c r="Z272">
        <v>4</v>
      </c>
      <c r="AA272">
        <v>0</v>
      </c>
      <c r="AB272">
        <v>7</v>
      </c>
      <c r="AC272">
        <v>4</v>
      </c>
      <c r="AD272" t="s">
        <v>81</v>
      </c>
      <c r="AE272">
        <v>7</v>
      </c>
      <c r="AF272" t="str" cm="1">
        <f t="array" ref="AF272">_xlfn.IFS(AE272&gt;=10,"Veteran (10y+)",AE272&gt;=3,"Established (3-10y)",AE272&lt;3,"New Hire (&lt;3y)")</f>
        <v>Established (3-10y)</v>
      </c>
      <c r="AG272">
        <v>7</v>
      </c>
      <c r="AH272">
        <v>0</v>
      </c>
      <c r="AI272">
        <v>7</v>
      </c>
    </row>
    <row r="273" spans="1:35">
      <c r="A273">
        <v>29</v>
      </c>
      <c r="B273" t="str">
        <f t="shared" si="4"/>
        <v>Young Adults</v>
      </c>
      <c r="C273">
        <v>0</v>
      </c>
      <c r="D273" t="s">
        <v>36</v>
      </c>
      <c r="E273">
        <v>738</v>
      </c>
      <c r="F273" t="s">
        <v>45</v>
      </c>
      <c r="G273">
        <v>9</v>
      </c>
      <c r="H273" t="str" cm="1">
        <f t="array" ref="H273">_xlfn.IFS(G273&gt;15,"Long Commute",G273&gt;5,"Moderate",G273&lt;=5,"Near Office")</f>
        <v>Moderate</v>
      </c>
      <c r="I273" t="s">
        <v>84</v>
      </c>
      <c r="J273" t="s">
        <v>49</v>
      </c>
      <c r="K273">
        <v>2</v>
      </c>
      <c r="L273" t="s">
        <v>46</v>
      </c>
      <c r="M273">
        <v>30</v>
      </c>
      <c r="N273">
        <v>2</v>
      </c>
      <c r="O273">
        <v>1</v>
      </c>
      <c r="P273" t="s">
        <v>50</v>
      </c>
      <c r="Q273" t="s">
        <v>77</v>
      </c>
      <c r="R273" t="s">
        <v>41</v>
      </c>
      <c r="S273">
        <v>3983</v>
      </c>
      <c r="T273" t="str" cm="1">
        <f t="array" ref="T273">_xlfn.IFS(S273&gt;=10000,"High (&gt;10k)",S273&gt;=5000,"Medium (5k-10k)",S273&lt;5000,"Low (&lt;5k)")</f>
        <v>Low (&lt;5k)</v>
      </c>
      <c r="U273">
        <v>7621</v>
      </c>
      <c r="V273">
        <v>0</v>
      </c>
      <c r="W273" t="s">
        <v>43</v>
      </c>
      <c r="X273">
        <v>17</v>
      </c>
      <c r="Y273">
        <v>3</v>
      </c>
      <c r="Z273">
        <v>3</v>
      </c>
      <c r="AA273">
        <v>0</v>
      </c>
      <c r="AB273">
        <v>4</v>
      </c>
      <c r="AC273">
        <v>2</v>
      </c>
      <c r="AD273" t="s">
        <v>74</v>
      </c>
      <c r="AE273">
        <v>3</v>
      </c>
      <c r="AF273" t="str" cm="1">
        <f t="array" ref="AF273">_xlfn.IFS(AE273&gt;=10,"Veteran (10y+)",AE273&gt;=3,"Established (3-10y)",AE273&lt;3,"New Hire (&lt;3y)")</f>
        <v>Established (3-10y)</v>
      </c>
      <c r="AG273">
        <v>2</v>
      </c>
      <c r="AH273">
        <v>2</v>
      </c>
      <c r="AI273">
        <v>2</v>
      </c>
    </row>
    <row r="274" spans="1:35">
      <c r="A274">
        <v>29</v>
      </c>
      <c r="B274" t="str">
        <f t="shared" si="4"/>
        <v>Young Adults</v>
      </c>
      <c r="C274">
        <v>0</v>
      </c>
      <c r="D274" t="s">
        <v>36</v>
      </c>
      <c r="E274">
        <v>144</v>
      </c>
      <c r="F274" t="s">
        <v>37</v>
      </c>
      <c r="G274">
        <v>10</v>
      </c>
      <c r="H274" t="str" cm="1">
        <f t="array" ref="H274">_xlfn.IFS(G274&gt;15,"Long Commute",G274&gt;5,"Moderate",G274&lt;=5,"Near Office")</f>
        <v>Moderate</v>
      </c>
      <c r="I274" t="s">
        <v>78</v>
      </c>
      <c r="J274" t="s">
        <v>59</v>
      </c>
      <c r="K274">
        <v>4</v>
      </c>
      <c r="L274" t="s">
        <v>39</v>
      </c>
      <c r="M274">
        <v>39</v>
      </c>
      <c r="N274">
        <v>2</v>
      </c>
      <c r="O274">
        <v>2</v>
      </c>
      <c r="P274" t="s">
        <v>40</v>
      </c>
      <c r="Q274" t="s">
        <v>75</v>
      </c>
      <c r="R274" t="s">
        <v>52</v>
      </c>
      <c r="S274">
        <v>8268</v>
      </c>
      <c r="T274" t="str" cm="1">
        <f t="array" ref="T274">_xlfn.IFS(S274&gt;=10000,"High (&gt;10k)",S274&gt;=5000,"Medium (5k-10k)",S274&lt;5000,"Low (&lt;5k)")</f>
        <v>Medium (5k-10k)</v>
      </c>
      <c r="U274">
        <v>11866</v>
      </c>
      <c r="V274">
        <v>1</v>
      </c>
      <c r="W274" t="s">
        <v>35</v>
      </c>
      <c r="X274">
        <v>14</v>
      </c>
      <c r="Y274">
        <v>3</v>
      </c>
      <c r="Z274">
        <v>1</v>
      </c>
      <c r="AA274">
        <v>2</v>
      </c>
      <c r="AB274">
        <v>7</v>
      </c>
      <c r="AC274">
        <v>2</v>
      </c>
      <c r="AD274" t="s">
        <v>74</v>
      </c>
      <c r="AE274">
        <v>7</v>
      </c>
      <c r="AF274" t="str" cm="1">
        <f t="array" ref="AF274">_xlfn.IFS(AE274&gt;=10,"Veteran (10y+)",AE274&gt;=3,"Established (3-10y)",AE274&lt;3,"New Hire (&lt;3y)")</f>
        <v>Established (3-10y)</v>
      </c>
      <c r="AG274">
        <v>7</v>
      </c>
      <c r="AH274">
        <v>1</v>
      </c>
      <c r="AI274">
        <v>7</v>
      </c>
    </row>
    <row r="275" spans="1:35">
      <c r="A275">
        <v>29</v>
      </c>
      <c r="B275" t="str">
        <f t="shared" si="4"/>
        <v>Young Adults</v>
      </c>
      <c r="C275">
        <v>0</v>
      </c>
      <c r="D275" t="s">
        <v>55</v>
      </c>
      <c r="E275">
        <v>746</v>
      </c>
      <c r="F275" t="s">
        <v>37</v>
      </c>
      <c r="G275">
        <v>2</v>
      </c>
      <c r="H275" t="str" cm="1">
        <f t="array" ref="H275">_xlfn.IFS(G275&gt;15,"Long Commute",G275&gt;5,"Moderate",G275&lt;=5,"Near Office")</f>
        <v>Near Office</v>
      </c>
      <c r="I275" t="s">
        <v>72</v>
      </c>
      <c r="J275" t="s">
        <v>38</v>
      </c>
      <c r="K275">
        <v>4</v>
      </c>
      <c r="L275" t="s">
        <v>46</v>
      </c>
      <c r="M275">
        <v>61</v>
      </c>
      <c r="N275">
        <v>3</v>
      </c>
      <c r="O275">
        <v>2</v>
      </c>
      <c r="P275" t="s">
        <v>40</v>
      </c>
      <c r="Q275" t="s">
        <v>73</v>
      </c>
      <c r="R275" t="s">
        <v>48</v>
      </c>
      <c r="S275">
        <v>4649</v>
      </c>
      <c r="T275" t="str" cm="1">
        <f t="array" ref="T275">_xlfn.IFS(S275&gt;=10000,"High (&gt;10k)",S275&gt;=5000,"Medium (5k-10k)",S275&lt;5000,"Low (&lt;5k)")</f>
        <v>Low (&lt;5k)</v>
      </c>
      <c r="U275">
        <v>16928</v>
      </c>
      <c r="V275">
        <v>1</v>
      </c>
      <c r="W275" t="s">
        <v>43</v>
      </c>
      <c r="X275">
        <v>14</v>
      </c>
      <c r="Y275">
        <v>3</v>
      </c>
      <c r="Z275">
        <v>1</v>
      </c>
      <c r="AA275">
        <v>1</v>
      </c>
      <c r="AB275">
        <v>4</v>
      </c>
      <c r="AC275">
        <v>3</v>
      </c>
      <c r="AD275" t="s">
        <v>81</v>
      </c>
      <c r="AE275">
        <v>4</v>
      </c>
      <c r="AF275" t="str" cm="1">
        <f t="array" ref="AF275">_xlfn.IFS(AE275&gt;=10,"Veteran (10y+)",AE275&gt;=3,"Established (3-10y)",AE275&lt;3,"New Hire (&lt;3y)")</f>
        <v>Established (3-10y)</v>
      </c>
      <c r="AG275">
        <v>3</v>
      </c>
      <c r="AH275">
        <v>0</v>
      </c>
      <c r="AI275">
        <v>2</v>
      </c>
    </row>
    <row r="276" spans="1:35">
      <c r="A276">
        <v>29</v>
      </c>
      <c r="B276" t="str">
        <f t="shared" si="4"/>
        <v>Young Adults</v>
      </c>
      <c r="C276">
        <v>0</v>
      </c>
      <c r="D276" t="s">
        <v>36</v>
      </c>
      <c r="E276">
        <v>1283</v>
      </c>
      <c r="F276" t="s">
        <v>45</v>
      </c>
      <c r="G276">
        <v>23</v>
      </c>
      <c r="H276" t="str" cm="1">
        <f t="array" ref="H276">_xlfn.IFS(G276&gt;15,"Long Commute",G276&gt;5,"Moderate",G276&lt;=5,"Near Office")</f>
        <v>Long Commute</v>
      </c>
      <c r="I276" t="s">
        <v>72</v>
      </c>
      <c r="J276" t="s">
        <v>38</v>
      </c>
      <c r="K276">
        <v>4</v>
      </c>
      <c r="L276" t="s">
        <v>46</v>
      </c>
      <c r="M276">
        <v>54</v>
      </c>
      <c r="N276">
        <v>3</v>
      </c>
      <c r="O276">
        <v>1</v>
      </c>
      <c r="P276" t="s">
        <v>47</v>
      </c>
      <c r="Q276" t="s">
        <v>77</v>
      </c>
      <c r="R276" t="s">
        <v>41</v>
      </c>
      <c r="S276">
        <v>2201</v>
      </c>
      <c r="T276" t="str" cm="1">
        <f t="array" ref="T276">_xlfn.IFS(S276&gt;=10000,"High (&gt;10k)",S276&gt;=5000,"Medium (5k-10k)",S276&lt;5000,"Low (&lt;5k)")</f>
        <v>Low (&lt;5k)</v>
      </c>
      <c r="U276">
        <v>18168</v>
      </c>
      <c r="V276">
        <v>9</v>
      </c>
      <c r="W276" t="s">
        <v>43</v>
      </c>
      <c r="X276">
        <v>16</v>
      </c>
      <c r="Y276">
        <v>3</v>
      </c>
      <c r="Z276">
        <v>4</v>
      </c>
      <c r="AA276">
        <v>0</v>
      </c>
      <c r="AB276">
        <v>6</v>
      </c>
      <c r="AC276">
        <v>4</v>
      </c>
      <c r="AD276" t="s">
        <v>74</v>
      </c>
      <c r="AE276">
        <v>3</v>
      </c>
      <c r="AF276" t="str" cm="1">
        <f t="array" ref="AF276">_xlfn.IFS(AE276&gt;=10,"Veteran (10y+)",AE276&gt;=3,"Established (3-10y)",AE276&lt;3,"New Hire (&lt;3y)")</f>
        <v>Established (3-10y)</v>
      </c>
      <c r="AG276">
        <v>2</v>
      </c>
      <c r="AH276">
        <v>1</v>
      </c>
      <c r="AI276">
        <v>2</v>
      </c>
    </row>
    <row r="277" spans="1:35">
      <c r="A277">
        <v>29</v>
      </c>
      <c r="B277" t="str">
        <f t="shared" si="4"/>
        <v>Young Adults</v>
      </c>
      <c r="C277">
        <v>0</v>
      </c>
      <c r="D277" t="s">
        <v>36</v>
      </c>
      <c r="E277">
        <v>986</v>
      </c>
      <c r="F277" t="s">
        <v>45</v>
      </c>
      <c r="G277">
        <v>3</v>
      </c>
      <c r="H277" t="str" cm="1">
        <f t="array" ref="H277">_xlfn.IFS(G277&gt;15,"Long Commute",G277&gt;5,"Moderate",G277&lt;=5,"Near Office")</f>
        <v>Near Office</v>
      </c>
      <c r="I277" t="s">
        <v>83</v>
      </c>
      <c r="J277" t="s">
        <v>51</v>
      </c>
      <c r="K277">
        <v>2</v>
      </c>
      <c r="L277" t="s">
        <v>46</v>
      </c>
      <c r="M277">
        <v>93</v>
      </c>
      <c r="N277">
        <v>2</v>
      </c>
      <c r="O277">
        <v>3</v>
      </c>
      <c r="P277" t="s">
        <v>58</v>
      </c>
      <c r="Q277" t="s">
        <v>73</v>
      </c>
      <c r="R277" t="s">
        <v>48</v>
      </c>
      <c r="S277">
        <v>11935</v>
      </c>
      <c r="T277" t="str" cm="1">
        <f t="array" ref="T277">_xlfn.IFS(S277&gt;=10000,"High (&gt;10k)",S277&gt;=5000,"Medium (5k-10k)",S277&lt;5000,"Low (&lt;5k)")</f>
        <v>High (&gt;10k)</v>
      </c>
      <c r="U277">
        <v>21526</v>
      </c>
      <c r="V277">
        <v>1</v>
      </c>
      <c r="W277" t="s">
        <v>43</v>
      </c>
      <c r="X277">
        <v>18</v>
      </c>
      <c r="Y277">
        <v>3</v>
      </c>
      <c r="Z277">
        <v>3</v>
      </c>
      <c r="AA277">
        <v>0</v>
      </c>
      <c r="AB277">
        <v>10</v>
      </c>
      <c r="AC277">
        <v>2</v>
      </c>
      <c r="AD277" t="s">
        <v>74</v>
      </c>
      <c r="AE277">
        <v>10</v>
      </c>
      <c r="AF277" t="str" cm="1">
        <f t="array" ref="AF277">_xlfn.IFS(AE277&gt;=10,"Veteran (10y+)",AE277&gt;=3,"Established (3-10y)",AE277&lt;3,"New Hire (&lt;3y)")</f>
        <v>Veteran (10y+)</v>
      </c>
      <c r="AG277">
        <v>2</v>
      </c>
      <c r="AH277">
        <v>0</v>
      </c>
      <c r="AI277">
        <v>7</v>
      </c>
    </row>
    <row r="278" spans="1:35">
      <c r="A278">
        <v>29</v>
      </c>
      <c r="B278" t="str">
        <f t="shared" si="4"/>
        <v>Young Adults</v>
      </c>
      <c r="C278">
        <v>1</v>
      </c>
      <c r="D278" t="s">
        <v>36</v>
      </c>
      <c r="E278">
        <v>408</v>
      </c>
      <c r="F278" t="s">
        <v>45</v>
      </c>
      <c r="G278">
        <v>25</v>
      </c>
      <c r="H278" t="str" cm="1">
        <f t="array" ref="H278">_xlfn.IFS(G278&gt;15,"Long Commute",G278&gt;5,"Moderate",G278&lt;=5,"Near Office")</f>
        <v>Long Commute</v>
      </c>
      <c r="I278" t="s">
        <v>84</v>
      </c>
      <c r="J278" t="s">
        <v>60</v>
      </c>
      <c r="K278">
        <v>3</v>
      </c>
      <c r="L278" t="s">
        <v>39</v>
      </c>
      <c r="M278">
        <v>71</v>
      </c>
      <c r="N278">
        <v>2</v>
      </c>
      <c r="O278">
        <v>1</v>
      </c>
      <c r="P278" t="s">
        <v>47</v>
      </c>
      <c r="Q278" t="s">
        <v>75</v>
      </c>
      <c r="R278" t="s">
        <v>48</v>
      </c>
      <c r="S278">
        <v>2546</v>
      </c>
      <c r="T278" t="str" cm="1">
        <f t="array" ref="T278">_xlfn.IFS(S278&gt;=10000,"High (&gt;10k)",S278&gt;=5000,"Medium (5k-10k)",S278&lt;5000,"Low (&lt;5k)")</f>
        <v>Low (&lt;5k)</v>
      </c>
      <c r="U278">
        <v>18300</v>
      </c>
      <c r="V278">
        <v>5</v>
      </c>
      <c r="W278" t="s">
        <v>43</v>
      </c>
      <c r="X278">
        <v>16</v>
      </c>
      <c r="Y278">
        <v>3</v>
      </c>
      <c r="Z278">
        <v>2</v>
      </c>
      <c r="AA278">
        <v>0</v>
      </c>
      <c r="AB278">
        <v>6</v>
      </c>
      <c r="AC278">
        <v>2</v>
      </c>
      <c r="AD278" t="s">
        <v>79</v>
      </c>
      <c r="AE278">
        <v>2</v>
      </c>
      <c r="AF278" t="str" cm="1">
        <f t="array" ref="AF278">_xlfn.IFS(AE278&gt;=10,"Veteran (10y+)",AE278&gt;=3,"Established (3-10y)",AE278&lt;3,"New Hire (&lt;3y)")</f>
        <v>New Hire (&lt;3y)</v>
      </c>
      <c r="AG278">
        <v>2</v>
      </c>
      <c r="AH278">
        <v>1</v>
      </c>
      <c r="AI278">
        <v>1</v>
      </c>
    </row>
    <row r="279" spans="1:35">
      <c r="A279">
        <v>29</v>
      </c>
      <c r="B279" t="str">
        <f t="shared" si="4"/>
        <v>Young Adults</v>
      </c>
      <c r="C279">
        <v>0</v>
      </c>
      <c r="D279" t="s">
        <v>36</v>
      </c>
      <c r="E279">
        <v>232</v>
      </c>
      <c r="F279" t="s">
        <v>45</v>
      </c>
      <c r="G279">
        <v>19</v>
      </c>
      <c r="H279" t="str" cm="1">
        <f t="array" ref="H279">_xlfn.IFS(G279&gt;15,"Long Commute",G279&gt;5,"Moderate",G279&lt;=5,"Near Office")</f>
        <v>Long Commute</v>
      </c>
      <c r="I279" t="s">
        <v>72</v>
      </c>
      <c r="J279" t="s">
        <v>60</v>
      </c>
      <c r="K279">
        <v>4</v>
      </c>
      <c r="L279" t="s">
        <v>46</v>
      </c>
      <c r="M279">
        <v>34</v>
      </c>
      <c r="N279">
        <v>3</v>
      </c>
      <c r="O279">
        <v>2</v>
      </c>
      <c r="P279" t="s">
        <v>53</v>
      </c>
      <c r="Q279" t="s">
        <v>77</v>
      </c>
      <c r="R279" t="s">
        <v>52</v>
      </c>
      <c r="S279">
        <v>4262</v>
      </c>
      <c r="T279" t="str" cm="1">
        <f t="array" ref="T279">_xlfn.IFS(S279&gt;=10000,"High (&gt;10k)",S279&gt;=5000,"Medium (5k-10k)",S279&lt;5000,"Low (&lt;5k)")</f>
        <v>Low (&lt;5k)</v>
      </c>
      <c r="U279">
        <v>22645</v>
      </c>
      <c r="V279">
        <v>4</v>
      </c>
      <c r="W279" t="s">
        <v>43</v>
      </c>
      <c r="X279">
        <v>12</v>
      </c>
      <c r="Y279">
        <v>3</v>
      </c>
      <c r="Z279">
        <v>2</v>
      </c>
      <c r="AA279">
        <v>2</v>
      </c>
      <c r="AB279">
        <v>8</v>
      </c>
      <c r="AC279">
        <v>2</v>
      </c>
      <c r="AD279" t="s">
        <v>79</v>
      </c>
      <c r="AE279">
        <v>3</v>
      </c>
      <c r="AF279" t="str" cm="1">
        <f t="array" ref="AF279">_xlfn.IFS(AE279&gt;=10,"Veteran (10y+)",AE279&gt;=3,"Established (3-10y)",AE279&lt;3,"New Hire (&lt;3y)")</f>
        <v>Established (3-10y)</v>
      </c>
      <c r="AG279">
        <v>2</v>
      </c>
      <c r="AH279">
        <v>1</v>
      </c>
      <c r="AI279">
        <v>2</v>
      </c>
    </row>
    <row r="280" spans="1:35">
      <c r="A280">
        <v>29</v>
      </c>
      <c r="B280" t="str">
        <f t="shared" si="4"/>
        <v>Young Adults</v>
      </c>
      <c r="C280">
        <v>0</v>
      </c>
      <c r="D280" t="s">
        <v>36</v>
      </c>
      <c r="E280">
        <v>1176</v>
      </c>
      <c r="F280" t="s">
        <v>37</v>
      </c>
      <c r="G280">
        <v>3</v>
      </c>
      <c r="H280" t="str" cm="1">
        <f t="array" ref="H280">_xlfn.IFS(G280&gt;15,"Long Commute",G280&gt;5,"Moderate",G280&lt;=5,"Near Office")</f>
        <v>Near Office</v>
      </c>
      <c r="I280" t="s">
        <v>76</v>
      </c>
      <c r="J280" t="s">
        <v>51</v>
      </c>
      <c r="K280">
        <v>2</v>
      </c>
      <c r="L280" t="s">
        <v>39</v>
      </c>
      <c r="M280">
        <v>62</v>
      </c>
      <c r="N280">
        <v>3</v>
      </c>
      <c r="O280">
        <v>2</v>
      </c>
      <c r="P280" t="s">
        <v>40</v>
      </c>
      <c r="Q280" t="s">
        <v>73</v>
      </c>
      <c r="R280" t="s">
        <v>48</v>
      </c>
      <c r="S280">
        <v>5561</v>
      </c>
      <c r="T280" t="str" cm="1">
        <f t="array" ref="T280">_xlfn.IFS(S280&gt;=10000,"High (&gt;10k)",S280&gt;=5000,"Medium (5k-10k)",S280&lt;5000,"Low (&lt;5k)")</f>
        <v>Medium (5k-10k)</v>
      </c>
      <c r="U280">
        <v>3487</v>
      </c>
      <c r="V280">
        <v>1</v>
      </c>
      <c r="W280" t="s">
        <v>43</v>
      </c>
      <c r="X280">
        <v>14</v>
      </c>
      <c r="Y280">
        <v>3</v>
      </c>
      <c r="Z280">
        <v>1</v>
      </c>
      <c r="AA280">
        <v>1</v>
      </c>
      <c r="AB280">
        <v>6</v>
      </c>
      <c r="AC280">
        <v>5</v>
      </c>
      <c r="AD280" t="s">
        <v>81</v>
      </c>
      <c r="AE280">
        <v>6</v>
      </c>
      <c r="AF280" t="str" cm="1">
        <f t="array" ref="AF280">_xlfn.IFS(AE280&gt;=10,"Veteran (10y+)",AE280&gt;=3,"Established (3-10y)",AE280&lt;3,"New Hire (&lt;3y)")</f>
        <v>Established (3-10y)</v>
      </c>
      <c r="AG280">
        <v>0</v>
      </c>
      <c r="AH280">
        <v>1</v>
      </c>
      <c r="AI280">
        <v>2</v>
      </c>
    </row>
    <row r="281" spans="1:35">
      <c r="A281">
        <v>29</v>
      </c>
      <c r="B281" t="str">
        <f t="shared" si="4"/>
        <v>Young Adults</v>
      </c>
      <c r="C281">
        <v>0</v>
      </c>
      <c r="D281" t="s">
        <v>44</v>
      </c>
      <c r="E281">
        <v>806</v>
      </c>
      <c r="F281" t="s">
        <v>45</v>
      </c>
      <c r="G281">
        <v>1</v>
      </c>
      <c r="H281" t="str" cm="1">
        <f t="array" ref="H281">_xlfn.IFS(G281&gt;15,"Long Commute",G281&gt;5,"Moderate",G281&lt;=5,"Near Office")</f>
        <v>Near Office</v>
      </c>
      <c r="I281" t="s">
        <v>83</v>
      </c>
      <c r="J281" t="s">
        <v>38</v>
      </c>
      <c r="K281">
        <v>2</v>
      </c>
      <c r="L281" t="s">
        <v>46</v>
      </c>
      <c r="M281">
        <v>76</v>
      </c>
      <c r="N281">
        <v>1</v>
      </c>
      <c r="O281">
        <v>1</v>
      </c>
      <c r="P281" t="s">
        <v>47</v>
      </c>
      <c r="Q281" t="s">
        <v>77</v>
      </c>
      <c r="R281" t="s">
        <v>52</v>
      </c>
      <c r="S281">
        <v>2720</v>
      </c>
      <c r="T281" t="str" cm="1">
        <f t="array" ref="T281">_xlfn.IFS(S281&gt;=10000,"High (&gt;10k)",S281&gt;=5000,"Medium (5k-10k)",S281&lt;5000,"Low (&lt;5k)")</f>
        <v>Low (&lt;5k)</v>
      </c>
      <c r="U281">
        <v>18959</v>
      </c>
      <c r="V281">
        <v>1</v>
      </c>
      <c r="W281" t="s">
        <v>43</v>
      </c>
      <c r="X281">
        <v>18</v>
      </c>
      <c r="Y281">
        <v>3</v>
      </c>
      <c r="Z281">
        <v>4</v>
      </c>
      <c r="AA281">
        <v>1</v>
      </c>
      <c r="AB281">
        <v>10</v>
      </c>
      <c r="AC281">
        <v>5</v>
      </c>
      <c r="AD281" t="s">
        <v>74</v>
      </c>
      <c r="AE281">
        <v>10</v>
      </c>
      <c r="AF281" t="str" cm="1">
        <f t="array" ref="AF281">_xlfn.IFS(AE281&gt;=10,"Veteran (10y+)",AE281&gt;=3,"Established (3-10y)",AE281&lt;3,"New Hire (&lt;3y)")</f>
        <v>Veteran (10y+)</v>
      </c>
      <c r="AG281">
        <v>7</v>
      </c>
      <c r="AH281">
        <v>2</v>
      </c>
      <c r="AI281">
        <v>8</v>
      </c>
    </row>
    <row r="282" spans="1:35">
      <c r="A282">
        <v>29</v>
      </c>
      <c r="B282" t="str">
        <f t="shared" si="4"/>
        <v>Young Adults</v>
      </c>
      <c r="C282">
        <v>0</v>
      </c>
      <c r="D282" t="s">
        <v>36</v>
      </c>
      <c r="E282">
        <v>1396</v>
      </c>
      <c r="F282" t="s">
        <v>37</v>
      </c>
      <c r="G282">
        <v>10</v>
      </c>
      <c r="H282" t="str" cm="1">
        <f t="array" ref="H282">_xlfn.IFS(G282&gt;15,"Long Commute",G282&gt;5,"Moderate",G282&lt;=5,"Near Office")</f>
        <v>Moderate</v>
      </c>
      <c r="I282" t="s">
        <v>72</v>
      </c>
      <c r="J282" t="s">
        <v>38</v>
      </c>
      <c r="K282">
        <v>3</v>
      </c>
      <c r="L282" t="s">
        <v>46</v>
      </c>
      <c r="M282">
        <v>99</v>
      </c>
      <c r="N282">
        <v>3</v>
      </c>
      <c r="O282">
        <v>1</v>
      </c>
      <c r="P282" t="s">
        <v>57</v>
      </c>
      <c r="Q282" t="s">
        <v>73</v>
      </c>
      <c r="R282" t="s">
        <v>41</v>
      </c>
      <c r="S282">
        <v>2642</v>
      </c>
      <c r="T282" t="str" cm="1">
        <f t="array" ref="T282">_xlfn.IFS(S282&gt;=10000,"High (&gt;10k)",S282&gt;=5000,"Medium (5k-10k)",S282&lt;5000,"Low (&lt;5k)")</f>
        <v>Low (&lt;5k)</v>
      </c>
      <c r="U282">
        <v>2755</v>
      </c>
      <c r="V282">
        <v>1</v>
      </c>
      <c r="W282" t="s">
        <v>43</v>
      </c>
      <c r="X282">
        <v>11</v>
      </c>
      <c r="Y282">
        <v>3</v>
      </c>
      <c r="Z282">
        <v>3</v>
      </c>
      <c r="AA282">
        <v>0</v>
      </c>
      <c r="AB282">
        <v>1</v>
      </c>
      <c r="AC282">
        <v>6</v>
      </c>
      <c r="AD282" t="s">
        <v>74</v>
      </c>
      <c r="AE282">
        <v>1</v>
      </c>
      <c r="AF282" t="str" cm="1">
        <f t="array" ref="AF282">_xlfn.IFS(AE282&gt;=10,"Veteran (10y+)",AE282&gt;=3,"Established (3-10y)",AE282&lt;3,"New Hire (&lt;3y)")</f>
        <v>New Hire (&lt;3y)</v>
      </c>
      <c r="AG282">
        <v>0</v>
      </c>
      <c r="AH282">
        <v>0</v>
      </c>
      <c r="AI282">
        <v>0</v>
      </c>
    </row>
    <row r="283" spans="1:35">
      <c r="A283">
        <v>29</v>
      </c>
      <c r="B283" t="str">
        <f t="shared" si="4"/>
        <v>Young Adults</v>
      </c>
      <c r="C283">
        <v>0</v>
      </c>
      <c r="D283" t="s">
        <v>36</v>
      </c>
      <c r="E283">
        <v>1090</v>
      </c>
      <c r="F283" t="s">
        <v>37</v>
      </c>
      <c r="G283">
        <v>10</v>
      </c>
      <c r="H283" t="str" cm="1">
        <f t="array" ref="H283">_xlfn.IFS(G283&gt;15,"Long Commute",G283&gt;5,"Moderate",G283&lt;=5,"Near Office")</f>
        <v>Moderate</v>
      </c>
      <c r="I283" t="s">
        <v>72</v>
      </c>
      <c r="J283" t="s">
        <v>59</v>
      </c>
      <c r="K283">
        <v>4</v>
      </c>
      <c r="L283" t="s">
        <v>46</v>
      </c>
      <c r="M283">
        <v>83</v>
      </c>
      <c r="N283">
        <v>3</v>
      </c>
      <c r="O283">
        <v>1</v>
      </c>
      <c r="P283" t="s">
        <v>57</v>
      </c>
      <c r="Q283" t="s">
        <v>75</v>
      </c>
      <c r="R283" t="s">
        <v>52</v>
      </c>
      <c r="S283">
        <v>2297</v>
      </c>
      <c r="T283" t="str" cm="1">
        <f t="array" ref="T283">_xlfn.IFS(S283&gt;=10000,"High (&gt;10k)",S283&gt;=5000,"Medium (5k-10k)",S283&lt;5000,"Low (&lt;5k)")</f>
        <v>Low (&lt;5k)</v>
      </c>
      <c r="U283">
        <v>17967</v>
      </c>
      <c r="V283">
        <v>1</v>
      </c>
      <c r="W283" t="s">
        <v>43</v>
      </c>
      <c r="X283">
        <v>14</v>
      </c>
      <c r="Y283">
        <v>3</v>
      </c>
      <c r="Z283">
        <v>4</v>
      </c>
      <c r="AA283">
        <v>2</v>
      </c>
      <c r="AB283">
        <v>2</v>
      </c>
      <c r="AC283">
        <v>2</v>
      </c>
      <c r="AD283" t="s">
        <v>74</v>
      </c>
      <c r="AE283">
        <v>2</v>
      </c>
      <c r="AF283" t="str" cm="1">
        <f t="array" ref="AF283">_xlfn.IFS(AE283&gt;=10,"Veteran (10y+)",AE283&gt;=3,"Established (3-10y)",AE283&lt;3,"New Hire (&lt;3y)")</f>
        <v>New Hire (&lt;3y)</v>
      </c>
      <c r="AG283">
        <v>2</v>
      </c>
      <c r="AH283">
        <v>2</v>
      </c>
      <c r="AI283">
        <v>2</v>
      </c>
    </row>
    <row r="284" spans="1:35">
      <c r="A284">
        <v>29</v>
      </c>
      <c r="B284" t="str">
        <f t="shared" si="4"/>
        <v>Young Adults</v>
      </c>
      <c r="C284">
        <v>0</v>
      </c>
      <c r="D284" t="s">
        <v>36</v>
      </c>
      <c r="E284">
        <v>657</v>
      </c>
      <c r="F284" t="s">
        <v>45</v>
      </c>
      <c r="G284">
        <v>27</v>
      </c>
      <c r="H284" t="str" cm="1">
        <f t="array" ref="H284">_xlfn.IFS(G284&gt;15,"Long Commute",G284&gt;5,"Moderate",G284&lt;=5,"Near Office")</f>
        <v>Long Commute</v>
      </c>
      <c r="I284" t="s">
        <v>72</v>
      </c>
      <c r="J284" t="s">
        <v>51</v>
      </c>
      <c r="K284">
        <v>2</v>
      </c>
      <c r="L284" t="s">
        <v>39</v>
      </c>
      <c r="M284">
        <v>66</v>
      </c>
      <c r="N284">
        <v>3</v>
      </c>
      <c r="O284">
        <v>2</v>
      </c>
      <c r="P284" t="s">
        <v>54</v>
      </c>
      <c r="Q284" t="s">
        <v>73</v>
      </c>
      <c r="R284" t="s">
        <v>48</v>
      </c>
      <c r="S284">
        <v>4335</v>
      </c>
      <c r="T284" t="str" cm="1">
        <f t="array" ref="T284">_xlfn.IFS(S284&gt;=10000,"High (&gt;10k)",S284&gt;=5000,"Medium (5k-10k)",S284&lt;5000,"Low (&lt;5k)")</f>
        <v>Low (&lt;5k)</v>
      </c>
      <c r="U284">
        <v>25549</v>
      </c>
      <c r="V284">
        <v>4</v>
      </c>
      <c r="W284" t="s">
        <v>43</v>
      </c>
      <c r="X284">
        <v>12</v>
      </c>
      <c r="Y284">
        <v>3</v>
      </c>
      <c r="Z284">
        <v>1</v>
      </c>
      <c r="AA284">
        <v>1</v>
      </c>
      <c r="AB284">
        <v>11</v>
      </c>
      <c r="AC284">
        <v>3</v>
      </c>
      <c r="AD284" t="s">
        <v>81</v>
      </c>
      <c r="AE284">
        <v>8</v>
      </c>
      <c r="AF284" t="str" cm="1">
        <f t="array" ref="AF284">_xlfn.IFS(AE284&gt;=10,"Veteran (10y+)",AE284&gt;=3,"Established (3-10y)",AE284&lt;3,"New Hire (&lt;3y)")</f>
        <v>Established (3-10y)</v>
      </c>
      <c r="AG284">
        <v>7</v>
      </c>
      <c r="AH284">
        <v>1</v>
      </c>
      <c r="AI284">
        <v>1</v>
      </c>
    </row>
    <row r="285" spans="1:35">
      <c r="A285">
        <v>29</v>
      </c>
      <c r="B285" t="str">
        <f t="shared" si="4"/>
        <v>Young Adults</v>
      </c>
      <c r="C285">
        <v>1</v>
      </c>
      <c r="D285" t="s">
        <v>36</v>
      </c>
      <c r="E285">
        <v>805</v>
      </c>
      <c r="F285" t="s">
        <v>45</v>
      </c>
      <c r="G285">
        <v>1</v>
      </c>
      <c r="H285" t="str" cm="1">
        <f t="array" ref="H285">_xlfn.IFS(G285&gt;15,"Long Commute",G285&gt;5,"Moderate",G285&lt;=5,"Near Office")</f>
        <v>Near Office</v>
      </c>
      <c r="I285" t="s">
        <v>76</v>
      </c>
      <c r="J285" t="s">
        <v>38</v>
      </c>
      <c r="K285">
        <v>2</v>
      </c>
      <c r="L285" t="s">
        <v>39</v>
      </c>
      <c r="M285">
        <v>36</v>
      </c>
      <c r="N285">
        <v>2</v>
      </c>
      <c r="O285">
        <v>1</v>
      </c>
      <c r="P285" t="s">
        <v>50</v>
      </c>
      <c r="Q285" t="s">
        <v>82</v>
      </c>
      <c r="R285" t="s">
        <v>48</v>
      </c>
      <c r="S285">
        <v>2319</v>
      </c>
      <c r="T285" t="str" cm="1">
        <f t="array" ref="T285">_xlfn.IFS(S285&gt;=10000,"High (&gt;10k)",S285&gt;=5000,"Medium (5k-10k)",S285&lt;5000,"Low (&lt;5k)")</f>
        <v>Low (&lt;5k)</v>
      </c>
      <c r="U285">
        <v>6689</v>
      </c>
      <c r="V285">
        <v>1</v>
      </c>
      <c r="W285" t="s">
        <v>35</v>
      </c>
      <c r="X285">
        <v>11</v>
      </c>
      <c r="Y285">
        <v>3</v>
      </c>
      <c r="Z285">
        <v>4</v>
      </c>
      <c r="AA285">
        <v>1</v>
      </c>
      <c r="AB285">
        <v>1</v>
      </c>
      <c r="AC285">
        <v>1</v>
      </c>
      <c r="AD285" t="s">
        <v>74</v>
      </c>
      <c r="AE285">
        <v>1</v>
      </c>
      <c r="AF285" t="str" cm="1">
        <f t="array" ref="AF285">_xlfn.IFS(AE285&gt;=10,"Veteran (10y+)",AE285&gt;=3,"Established (3-10y)",AE285&lt;3,"New Hire (&lt;3y)")</f>
        <v>New Hire (&lt;3y)</v>
      </c>
      <c r="AG285">
        <v>0</v>
      </c>
      <c r="AH285">
        <v>0</v>
      </c>
      <c r="AI285">
        <v>0</v>
      </c>
    </row>
    <row r="286" spans="1:35">
      <c r="A286">
        <v>29</v>
      </c>
      <c r="B286" t="str">
        <f t="shared" si="4"/>
        <v>Young Adults</v>
      </c>
      <c r="C286">
        <v>0</v>
      </c>
      <c r="D286" t="s">
        <v>36</v>
      </c>
      <c r="E286">
        <v>1252</v>
      </c>
      <c r="F286" t="s">
        <v>45</v>
      </c>
      <c r="G286">
        <v>23</v>
      </c>
      <c r="H286" t="str" cm="1">
        <f t="array" ref="H286">_xlfn.IFS(G286&gt;15,"Long Commute",G286&gt;5,"Moderate",G286&lt;=5,"Near Office")</f>
        <v>Long Commute</v>
      </c>
      <c r="I286" t="s">
        <v>76</v>
      </c>
      <c r="J286" t="s">
        <v>38</v>
      </c>
      <c r="K286">
        <v>3</v>
      </c>
      <c r="L286" t="s">
        <v>46</v>
      </c>
      <c r="M286">
        <v>81</v>
      </c>
      <c r="N286">
        <v>4</v>
      </c>
      <c r="O286">
        <v>1</v>
      </c>
      <c r="P286" t="s">
        <v>47</v>
      </c>
      <c r="Q286" t="s">
        <v>73</v>
      </c>
      <c r="R286" t="s">
        <v>48</v>
      </c>
      <c r="S286">
        <v>2700</v>
      </c>
      <c r="T286" t="str" cm="1">
        <f t="array" ref="T286">_xlfn.IFS(S286&gt;=10000,"High (&gt;10k)",S286&gt;=5000,"Medium (5k-10k)",S286&lt;5000,"Low (&lt;5k)")</f>
        <v>Low (&lt;5k)</v>
      </c>
      <c r="U286">
        <v>23779</v>
      </c>
      <c r="V286">
        <v>1</v>
      </c>
      <c r="W286" t="s">
        <v>43</v>
      </c>
      <c r="X286">
        <v>24</v>
      </c>
      <c r="Y286">
        <v>4</v>
      </c>
      <c r="Z286">
        <v>3</v>
      </c>
      <c r="AA286">
        <v>1</v>
      </c>
      <c r="AB286">
        <v>10</v>
      </c>
      <c r="AC286">
        <v>3</v>
      </c>
      <c r="AD286" t="s">
        <v>74</v>
      </c>
      <c r="AE286">
        <v>10</v>
      </c>
      <c r="AF286" t="str" cm="1">
        <f t="array" ref="AF286">_xlfn.IFS(AE286&gt;=10,"Veteran (10y+)",AE286&gt;=3,"Established (3-10y)",AE286&lt;3,"New Hire (&lt;3y)")</f>
        <v>Veteran (10y+)</v>
      </c>
      <c r="AG286">
        <v>7</v>
      </c>
      <c r="AH286">
        <v>0</v>
      </c>
      <c r="AI286">
        <v>7</v>
      </c>
    </row>
    <row r="287" spans="1:35">
      <c r="A287">
        <v>29</v>
      </c>
      <c r="B287" t="str">
        <f t="shared" si="4"/>
        <v>Young Adults</v>
      </c>
      <c r="C287">
        <v>1</v>
      </c>
      <c r="D287" t="s">
        <v>36</v>
      </c>
      <c r="E287">
        <v>341</v>
      </c>
      <c r="F287" t="s">
        <v>37</v>
      </c>
      <c r="G287">
        <v>1</v>
      </c>
      <c r="H287" t="str" cm="1">
        <f t="array" ref="H287">_xlfn.IFS(G287&gt;15,"Long Commute",G287&gt;5,"Moderate",G287&lt;=5,"Near Office")</f>
        <v>Near Office</v>
      </c>
      <c r="I287" t="s">
        <v>72</v>
      </c>
      <c r="J287" t="s">
        <v>51</v>
      </c>
      <c r="K287">
        <v>2</v>
      </c>
      <c r="L287" t="s">
        <v>39</v>
      </c>
      <c r="M287">
        <v>48</v>
      </c>
      <c r="N287">
        <v>2</v>
      </c>
      <c r="O287">
        <v>1</v>
      </c>
      <c r="P287" t="s">
        <v>57</v>
      </c>
      <c r="Q287" t="s">
        <v>73</v>
      </c>
      <c r="R287" t="s">
        <v>52</v>
      </c>
      <c r="S287">
        <v>2800</v>
      </c>
      <c r="T287" t="str" cm="1">
        <f t="array" ref="T287">_xlfn.IFS(S287&gt;=10000,"High (&gt;10k)",S287&gt;=5000,"Medium (5k-10k)",S287&lt;5000,"Low (&lt;5k)")</f>
        <v>Low (&lt;5k)</v>
      </c>
      <c r="U287">
        <v>23522</v>
      </c>
      <c r="V287">
        <v>6</v>
      </c>
      <c r="W287" t="s">
        <v>35</v>
      </c>
      <c r="X287">
        <v>19</v>
      </c>
      <c r="Y287">
        <v>3</v>
      </c>
      <c r="Z287">
        <v>3</v>
      </c>
      <c r="AA287">
        <v>3</v>
      </c>
      <c r="AB287">
        <v>5</v>
      </c>
      <c r="AC287">
        <v>3</v>
      </c>
      <c r="AD287" t="s">
        <v>74</v>
      </c>
      <c r="AE287">
        <v>3</v>
      </c>
      <c r="AF287" t="str" cm="1">
        <f t="array" ref="AF287">_xlfn.IFS(AE287&gt;=10,"Veteran (10y+)",AE287&gt;=3,"Established (3-10y)",AE287&lt;3,"New Hire (&lt;3y)")</f>
        <v>Established (3-10y)</v>
      </c>
      <c r="AG287">
        <v>2</v>
      </c>
      <c r="AH287">
        <v>0</v>
      </c>
      <c r="AI287">
        <v>2</v>
      </c>
    </row>
    <row r="288" spans="1:35">
      <c r="A288">
        <v>29</v>
      </c>
      <c r="B288" t="str">
        <f t="shared" si="4"/>
        <v>Young Adults</v>
      </c>
      <c r="C288">
        <v>0</v>
      </c>
      <c r="D288" t="s">
        <v>36</v>
      </c>
      <c r="E288">
        <v>1086</v>
      </c>
      <c r="F288" t="s">
        <v>45</v>
      </c>
      <c r="G288">
        <v>7</v>
      </c>
      <c r="H288" t="str" cm="1">
        <f t="array" ref="H288">_xlfn.IFS(G288&gt;15,"Long Commute",G288&gt;5,"Moderate",G288&lt;=5,"Near Office")</f>
        <v>Moderate</v>
      </c>
      <c r="I288" t="s">
        <v>78</v>
      </c>
      <c r="J288" t="s">
        <v>51</v>
      </c>
      <c r="K288">
        <v>1</v>
      </c>
      <c r="L288" t="s">
        <v>39</v>
      </c>
      <c r="M288">
        <v>62</v>
      </c>
      <c r="N288">
        <v>2</v>
      </c>
      <c r="O288">
        <v>1</v>
      </c>
      <c r="P288" t="s">
        <v>50</v>
      </c>
      <c r="Q288" t="s">
        <v>77</v>
      </c>
      <c r="R288" t="s">
        <v>52</v>
      </c>
      <c r="S288">
        <v>2532</v>
      </c>
      <c r="T288" t="str" cm="1">
        <f t="array" ref="T288">_xlfn.IFS(S288&gt;=10000,"High (&gt;10k)",S288&gt;=5000,"Medium (5k-10k)",S288&lt;5000,"Low (&lt;5k)")</f>
        <v>Low (&lt;5k)</v>
      </c>
      <c r="U288">
        <v>6054</v>
      </c>
      <c r="V288">
        <v>6</v>
      </c>
      <c r="W288" t="s">
        <v>43</v>
      </c>
      <c r="X288">
        <v>14</v>
      </c>
      <c r="Y288">
        <v>3</v>
      </c>
      <c r="Z288">
        <v>3</v>
      </c>
      <c r="AA288">
        <v>3</v>
      </c>
      <c r="AB288">
        <v>8</v>
      </c>
      <c r="AC288">
        <v>5</v>
      </c>
      <c r="AD288" t="s">
        <v>74</v>
      </c>
      <c r="AE288">
        <v>4</v>
      </c>
      <c r="AF288" t="str" cm="1">
        <f t="array" ref="AF288">_xlfn.IFS(AE288&gt;=10,"Veteran (10y+)",AE288&gt;=3,"Established (3-10y)",AE288&lt;3,"New Hire (&lt;3y)")</f>
        <v>Established (3-10y)</v>
      </c>
      <c r="AG288">
        <v>3</v>
      </c>
      <c r="AH288">
        <v>0</v>
      </c>
      <c r="AI288">
        <v>3</v>
      </c>
    </row>
    <row r="289" spans="1:35">
      <c r="A289">
        <v>29</v>
      </c>
      <c r="B289" t="str">
        <f t="shared" si="4"/>
        <v>Young Adults</v>
      </c>
      <c r="C289">
        <v>0</v>
      </c>
      <c r="D289" t="s">
        <v>44</v>
      </c>
      <c r="E289">
        <v>1404</v>
      </c>
      <c r="F289" t="s">
        <v>37</v>
      </c>
      <c r="G289">
        <v>20</v>
      </c>
      <c r="H289" t="str" cm="1">
        <f t="array" ref="H289">_xlfn.IFS(G289&gt;15,"Long Commute",G289&gt;5,"Moderate",G289&lt;=5,"Near Office")</f>
        <v>Long Commute</v>
      </c>
      <c r="I289" t="s">
        <v>72</v>
      </c>
      <c r="J289" t="s">
        <v>60</v>
      </c>
      <c r="K289">
        <v>3</v>
      </c>
      <c r="L289" t="s">
        <v>39</v>
      </c>
      <c r="M289">
        <v>84</v>
      </c>
      <c r="N289">
        <v>3</v>
      </c>
      <c r="O289">
        <v>1</v>
      </c>
      <c r="P289" t="s">
        <v>57</v>
      </c>
      <c r="Q289" t="s">
        <v>77</v>
      </c>
      <c r="R289" t="s">
        <v>48</v>
      </c>
      <c r="S289">
        <v>2157</v>
      </c>
      <c r="T289" t="str" cm="1">
        <f t="array" ref="T289">_xlfn.IFS(S289&gt;=10000,"High (&gt;10k)",S289&gt;=5000,"Medium (5k-10k)",S289&lt;5000,"Low (&lt;5k)")</f>
        <v>Low (&lt;5k)</v>
      </c>
      <c r="U289">
        <v>18203</v>
      </c>
      <c r="V289">
        <v>1</v>
      </c>
      <c r="W289" t="s">
        <v>43</v>
      </c>
      <c r="X289">
        <v>15</v>
      </c>
      <c r="Y289">
        <v>3</v>
      </c>
      <c r="Z289">
        <v>2</v>
      </c>
      <c r="AA289">
        <v>1</v>
      </c>
      <c r="AB289">
        <v>3</v>
      </c>
      <c r="AC289">
        <v>5</v>
      </c>
      <c r="AD289" t="s">
        <v>74</v>
      </c>
      <c r="AE289">
        <v>3</v>
      </c>
      <c r="AF289" t="str" cm="1">
        <f t="array" ref="AF289">_xlfn.IFS(AE289&gt;=10,"Veteran (10y+)",AE289&gt;=3,"Established (3-10y)",AE289&lt;3,"New Hire (&lt;3y)")</f>
        <v>Established (3-10y)</v>
      </c>
      <c r="AG289">
        <v>1</v>
      </c>
      <c r="AH289">
        <v>0</v>
      </c>
      <c r="AI289">
        <v>2</v>
      </c>
    </row>
    <row r="290" spans="1:35">
      <c r="A290">
        <v>29</v>
      </c>
      <c r="B290" t="str">
        <f t="shared" si="4"/>
        <v>Young Adults</v>
      </c>
      <c r="C290">
        <v>1</v>
      </c>
      <c r="D290" t="s">
        <v>36</v>
      </c>
      <c r="E290">
        <v>906</v>
      </c>
      <c r="F290" t="s">
        <v>45</v>
      </c>
      <c r="G290">
        <v>10</v>
      </c>
      <c r="H290" t="str" cm="1">
        <f t="array" ref="H290">_xlfn.IFS(G290&gt;15,"Long Commute",G290&gt;5,"Moderate",G290&lt;=5,"Near Office")</f>
        <v>Moderate</v>
      </c>
      <c r="I290" t="s">
        <v>72</v>
      </c>
      <c r="J290" t="s">
        <v>38</v>
      </c>
      <c r="K290">
        <v>4</v>
      </c>
      <c r="L290" t="s">
        <v>39</v>
      </c>
      <c r="M290">
        <v>92</v>
      </c>
      <c r="N290">
        <v>2</v>
      </c>
      <c r="O290">
        <v>1</v>
      </c>
      <c r="P290" t="s">
        <v>47</v>
      </c>
      <c r="Q290" t="s">
        <v>82</v>
      </c>
      <c r="R290" t="s">
        <v>41</v>
      </c>
      <c r="S290">
        <v>2404</v>
      </c>
      <c r="T290" t="str" cm="1">
        <f t="array" ref="T290">_xlfn.IFS(S290&gt;=10000,"High (&gt;10k)",S290&gt;=5000,"Medium (5k-10k)",S290&lt;5000,"Low (&lt;5k)")</f>
        <v>Low (&lt;5k)</v>
      </c>
      <c r="U290">
        <v>11479</v>
      </c>
      <c r="V290">
        <v>6</v>
      </c>
      <c r="W290" t="s">
        <v>35</v>
      </c>
      <c r="X290">
        <v>20</v>
      </c>
      <c r="Y290">
        <v>4</v>
      </c>
      <c r="Z290">
        <v>3</v>
      </c>
      <c r="AA290">
        <v>0</v>
      </c>
      <c r="AB290">
        <v>3</v>
      </c>
      <c r="AC290">
        <v>5</v>
      </c>
      <c r="AD290" t="s">
        <v>74</v>
      </c>
      <c r="AE290">
        <v>0</v>
      </c>
      <c r="AF290" t="str" cm="1">
        <f t="array" ref="AF290">_xlfn.IFS(AE290&gt;=10,"Veteran (10y+)",AE290&gt;=3,"Established (3-10y)",AE290&lt;3,"New Hire (&lt;3y)")</f>
        <v>New Hire (&lt;3y)</v>
      </c>
      <c r="AG290">
        <v>0</v>
      </c>
      <c r="AH290">
        <v>0</v>
      </c>
      <c r="AI290">
        <v>0</v>
      </c>
    </row>
    <row r="291" spans="1:35">
      <c r="A291">
        <v>29</v>
      </c>
      <c r="B291" t="str">
        <f t="shared" si="4"/>
        <v>Young Adults</v>
      </c>
      <c r="C291">
        <v>0</v>
      </c>
      <c r="D291" t="s">
        <v>36</v>
      </c>
      <c r="E291">
        <v>1107</v>
      </c>
      <c r="F291" t="s">
        <v>45</v>
      </c>
      <c r="G291">
        <v>28</v>
      </c>
      <c r="H291" t="str" cm="1">
        <f t="array" ref="H291">_xlfn.IFS(G291&gt;15,"Long Commute",G291&gt;5,"Moderate",G291&lt;=5,"Near Office")</f>
        <v>Long Commute</v>
      </c>
      <c r="I291" t="s">
        <v>83</v>
      </c>
      <c r="J291" t="s">
        <v>38</v>
      </c>
      <c r="K291">
        <v>3</v>
      </c>
      <c r="L291" t="s">
        <v>39</v>
      </c>
      <c r="M291">
        <v>93</v>
      </c>
      <c r="N291">
        <v>3</v>
      </c>
      <c r="O291">
        <v>1</v>
      </c>
      <c r="P291" t="s">
        <v>47</v>
      </c>
      <c r="Q291" t="s">
        <v>77</v>
      </c>
      <c r="R291" t="s">
        <v>52</v>
      </c>
      <c r="S291">
        <v>2514</v>
      </c>
      <c r="T291" t="str" cm="1">
        <f t="array" ref="T291">_xlfn.IFS(S291&gt;=10000,"High (&gt;10k)",S291&gt;=5000,"Medium (5k-10k)",S291&lt;5000,"Low (&lt;5k)")</f>
        <v>Low (&lt;5k)</v>
      </c>
      <c r="U291">
        <v>26968</v>
      </c>
      <c r="V291">
        <v>4</v>
      </c>
      <c r="W291" t="s">
        <v>43</v>
      </c>
      <c r="X291">
        <v>22</v>
      </c>
      <c r="Y291">
        <v>4</v>
      </c>
      <c r="Z291">
        <v>1</v>
      </c>
      <c r="AA291">
        <v>1</v>
      </c>
      <c r="AB291">
        <v>11</v>
      </c>
      <c r="AC291">
        <v>1</v>
      </c>
      <c r="AD291" t="s">
        <v>74</v>
      </c>
      <c r="AE291">
        <v>7</v>
      </c>
      <c r="AF291" t="str" cm="1">
        <f t="array" ref="AF291">_xlfn.IFS(AE291&gt;=10,"Veteran (10y+)",AE291&gt;=3,"Established (3-10y)",AE291&lt;3,"New Hire (&lt;3y)")</f>
        <v>Established (3-10y)</v>
      </c>
      <c r="AG291">
        <v>5</v>
      </c>
      <c r="AH291">
        <v>1</v>
      </c>
      <c r="AI291">
        <v>7</v>
      </c>
    </row>
    <row r="292" spans="1:35">
      <c r="A292">
        <v>29</v>
      </c>
      <c r="B292" t="str">
        <f t="shared" si="4"/>
        <v>Young Adults</v>
      </c>
      <c r="C292">
        <v>0</v>
      </c>
      <c r="D292" t="s">
        <v>44</v>
      </c>
      <c r="E292">
        <v>490</v>
      </c>
      <c r="F292" t="s">
        <v>45</v>
      </c>
      <c r="G292">
        <v>10</v>
      </c>
      <c r="H292" t="str" cm="1">
        <f t="array" ref="H292">_xlfn.IFS(G292&gt;15,"Long Commute",G292&gt;5,"Moderate",G292&lt;=5,"Near Office")</f>
        <v>Moderate</v>
      </c>
      <c r="I292" t="s">
        <v>72</v>
      </c>
      <c r="J292" t="s">
        <v>38</v>
      </c>
      <c r="K292">
        <v>4</v>
      </c>
      <c r="L292" t="s">
        <v>39</v>
      </c>
      <c r="M292">
        <v>61</v>
      </c>
      <c r="N292">
        <v>3</v>
      </c>
      <c r="O292">
        <v>1</v>
      </c>
      <c r="P292" t="s">
        <v>47</v>
      </c>
      <c r="Q292" t="s">
        <v>75</v>
      </c>
      <c r="R292" t="s">
        <v>52</v>
      </c>
      <c r="S292">
        <v>3291</v>
      </c>
      <c r="T292" t="str" cm="1">
        <f t="array" ref="T292">_xlfn.IFS(S292&gt;=10000,"High (&gt;10k)",S292&gt;=5000,"Medium (5k-10k)",S292&lt;5000,"Low (&lt;5k)")</f>
        <v>Low (&lt;5k)</v>
      </c>
      <c r="U292">
        <v>17940</v>
      </c>
      <c r="V292">
        <v>0</v>
      </c>
      <c r="W292" t="s">
        <v>43</v>
      </c>
      <c r="X292">
        <v>14</v>
      </c>
      <c r="Y292">
        <v>3</v>
      </c>
      <c r="Z292">
        <v>4</v>
      </c>
      <c r="AA292">
        <v>2</v>
      </c>
      <c r="AB292">
        <v>8</v>
      </c>
      <c r="AC292">
        <v>2</v>
      </c>
      <c r="AD292" t="s">
        <v>81</v>
      </c>
      <c r="AE292">
        <v>7</v>
      </c>
      <c r="AF292" t="str" cm="1">
        <f t="array" ref="AF292">_xlfn.IFS(AE292&gt;=10,"Veteran (10y+)",AE292&gt;=3,"Established (3-10y)",AE292&lt;3,"New Hire (&lt;3y)")</f>
        <v>Established (3-10y)</v>
      </c>
      <c r="AG292">
        <v>5</v>
      </c>
      <c r="AH292">
        <v>1</v>
      </c>
      <c r="AI292">
        <v>1</v>
      </c>
    </row>
    <row r="293" spans="1:35">
      <c r="A293">
        <v>29</v>
      </c>
      <c r="B293" t="str">
        <f t="shared" si="4"/>
        <v>Young Adults</v>
      </c>
      <c r="C293">
        <v>0</v>
      </c>
      <c r="D293" t="s">
        <v>36</v>
      </c>
      <c r="E293">
        <v>718</v>
      </c>
      <c r="F293" t="s">
        <v>45</v>
      </c>
      <c r="G293">
        <v>8</v>
      </c>
      <c r="H293" t="str" cm="1">
        <f t="array" ref="H293">_xlfn.IFS(G293&gt;15,"Long Commute",G293&gt;5,"Moderate",G293&lt;=5,"Near Office")</f>
        <v>Moderate</v>
      </c>
      <c r="I293" t="s">
        <v>78</v>
      </c>
      <c r="J293" t="s">
        <v>51</v>
      </c>
      <c r="K293">
        <v>2</v>
      </c>
      <c r="L293" t="s">
        <v>46</v>
      </c>
      <c r="M293">
        <v>79</v>
      </c>
      <c r="N293">
        <v>2</v>
      </c>
      <c r="O293">
        <v>2</v>
      </c>
      <c r="P293" t="s">
        <v>53</v>
      </c>
      <c r="Q293" t="s">
        <v>77</v>
      </c>
      <c r="R293" t="s">
        <v>48</v>
      </c>
      <c r="S293">
        <v>5056</v>
      </c>
      <c r="T293" t="str" cm="1">
        <f t="array" ref="T293">_xlfn.IFS(S293&gt;=10000,"High (&gt;10k)",S293&gt;=5000,"Medium (5k-10k)",S293&lt;5000,"Low (&lt;5k)")</f>
        <v>Medium (5k-10k)</v>
      </c>
      <c r="U293">
        <v>17689</v>
      </c>
      <c r="V293">
        <v>1</v>
      </c>
      <c r="W293" t="s">
        <v>35</v>
      </c>
      <c r="X293">
        <v>15</v>
      </c>
      <c r="Y293">
        <v>3</v>
      </c>
      <c r="Z293">
        <v>3</v>
      </c>
      <c r="AA293">
        <v>1</v>
      </c>
      <c r="AB293">
        <v>10</v>
      </c>
      <c r="AC293">
        <v>2</v>
      </c>
      <c r="AD293" t="s">
        <v>81</v>
      </c>
      <c r="AE293">
        <v>10</v>
      </c>
      <c r="AF293" t="str" cm="1">
        <f t="array" ref="AF293">_xlfn.IFS(AE293&gt;=10,"Veteran (10y+)",AE293&gt;=3,"Established (3-10y)",AE293&lt;3,"New Hire (&lt;3y)")</f>
        <v>Veteran (10y+)</v>
      </c>
      <c r="AG293">
        <v>7</v>
      </c>
      <c r="AH293">
        <v>1</v>
      </c>
      <c r="AI293">
        <v>2</v>
      </c>
    </row>
    <row r="294" spans="1:35">
      <c r="A294">
        <v>29</v>
      </c>
      <c r="B294" t="str">
        <f t="shared" si="4"/>
        <v>Young Adults</v>
      </c>
      <c r="C294">
        <v>1</v>
      </c>
      <c r="D294" t="s">
        <v>36</v>
      </c>
      <c r="E294">
        <v>408</v>
      </c>
      <c r="F294" t="s">
        <v>37</v>
      </c>
      <c r="G294">
        <v>23</v>
      </c>
      <c r="H294" t="str" cm="1">
        <f t="array" ref="H294">_xlfn.IFS(G294&gt;15,"Long Commute",G294&gt;5,"Moderate",G294&lt;=5,"Near Office")</f>
        <v>Long Commute</v>
      </c>
      <c r="I294" t="s">
        <v>78</v>
      </c>
      <c r="J294" t="s">
        <v>38</v>
      </c>
      <c r="K294">
        <v>4</v>
      </c>
      <c r="L294" t="s">
        <v>39</v>
      </c>
      <c r="M294">
        <v>45</v>
      </c>
      <c r="N294">
        <v>2</v>
      </c>
      <c r="O294">
        <v>3</v>
      </c>
      <c r="P294" t="s">
        <v>40</v>
      </c>
      <c r="Q294" t="s">
        <v>82</v>
      </c>
      <c r="R294" t="s">
        <v>48</v>
      </c>
      <c r="S294">
        <v>7336</v>
      </c>
      <c r="T294" t="str" cm="1">
        <f t="array" ref="T294">_xlfn.IFS(S294&gt;=10000,"High (&gt;10k)",S294&gt;=5000,"Medium (5k-10k)",S294&lt;5000,"Low (&lt;5k)")</f>
        <v>Medium (5k-10k)</v>
      </c>
      <c r="U294">
        <v>11162</v>
      </c>
      <c r="V294">
        <v>1</v>
      </c>
      <c r="W294" t="s">
        <v>43</v>
      </c>
      <c r="X294">
        <v>13</v>
      </c>
      <c r="Y294">
        <v>3</v>
      </c>
      <c r="Z294">
        <v>1</v>
      </c>
      <c r="AA294">
        <v>1</v>
      </c>
      <c r="AB294">
        <v>11</v>
      </c>
      <c r="AC294">
        <v>3</v>
      </c>
      <c r="AD294" t="s">
        <v>80</v>
      </c>
      <c r="AE294">
        <v>11</v>
      </c>
      <c r="AF294" t="str" cm="1">
        <f t="array" ref="AF294">_xlfn.IFS(AE294&gt;=10,"Veteran (10y+)",AE294&gt;=3,"Established (3-10y)",AE294&lt;3,"New Hire (&lt;3y)")</f>
        <v>Veteran (10y+)</v>
      </c>
      <c r="AG294">
        <v>8</v>
      </c>
      <c r="AH294">
        <v>3</v>
      </c>
      <c r="AI294">
        <v>10</v>
      </c>
    </row>
    <row r="295" spans="1:35">
      <c r="A295">
        <v>29</v>
      </c>
      <c r="B295" t="str">
        <f t="shared" si="4"/>
        <v>Young Adults</v>
      </c>
      <c r="C295">
        <v>0</v>
      </c>
      <c r="D295" t="s">
        <v>36</v>
      </c>
      <c r="E295">
        <v>1401</v>
      </c>
      <c r="F295" t="s">
        <v>45</v>
      </c>
      <c r="G295">
        <v>6</v>
      </c>
      <c r="H295" t="str" cm="1">
        <f t="array" ref="H295">_xlfn.IFS(G295&gt;15,"Long Commute",G295&gt;5,"Moderate",G295&lt;=5,"Near Office")</f>
        <v>Moderate</v>
      </c>
      <c r="I295" t="s">
        <v>78</v>
      </c>
      <c r="J295" t="s">
        <v>51</v>
      </c>
      <c r="K295">
        <v>2</v>
      </c>
      <c r="L295" t="s">
        <v>39</v>
      </c>
      <c r="M295">
        <v>54</v>
      </c>
      <c r="N295">
        <v>3</v>
      </c>
      <c r="O295">
        <v>1</v>
      </c>
      <c r="P295" t="s">
        <v>50</v>
      </c>
      <c r="Q295" t="s">
        <v>77</v>
      </c>
      <c r="R295" t="s">
        <v>48</v>
      </c>
      <c r="S295">
        <v>3131</v>
      </c>
      <c r="T295" t="str" cm="1">
        <f t="array" ref="T295">_xlfn.IFS(S295&gt;=10000,"High (&gt;10k)",S295&gt;=5000,"Medium (5k-10k)",S295&lt;5000,"Low (&lt;5k)")</f>
        <v>Low (&lt;5k)</v>
      </c>
      <c r="U295">
        <v>26342</v>
      </c>
      <c r="V295">
        <v>1</v>
      </c>
      <c r="W295" t="s">
        <v>43</v>
      </c>
      <c r="X295">
        <v>13</v>
      </c>
      <c r="Y295">
        <v>3</v>
      </c>
      <c r="Z295">
        <v>1</v>
      </c>
      <c r="AA295">
        <v>1</v>
      </c>
      <c r="AB295">
        <v>10</v>
      </c>
      <c r="AC295">
        <v>5</v>
      </c>
      <c r="AD295" t="s">
        <v>74</v>
      </c>
      <c r="AE295">
        <v>10</v>
      </c>
      <c r="AF295" t="str" cm="1">
        <f t="array" ref="AF295">_xlfn.IFS(AE295&gt;=10,"Veteran (10y+)",AE295&gt;=3,"Established (3-10y)",AE295&lt;3,"New Hire (&lt;3y)")</f>
        <v>Veteran (10y+)</v>
      </c>
      <c r="AG295">
        <v>8</v>
      </c>
      <c r="AH295">
        <v>0</v>
      </c>
      <c r="AI295">
        <v>8</v>
      </c>
    </row>
    <row r="296" spans="1:35">
      <c r="A296">
        <v>29</v>
      </c>
      <c r="B296" t="str">
        <f t="shared" si="4"/>
        <v>Young Adults</v>
      </c>
      <c r="C296">
        <v>0</v>
      </c>
      <c r="D296" t="s">
        <v>36</v>
      </c>
      <c r="E296">
        <v>942</v>
      </c>
      <c r="F296" t="s">
        <v>45</v>
      </c>
      <c r="G296">
        <v>15</v>
      </c>
      <c r="H296" t="str" cm="1">
        <f t="array" ref="H296">_xlfn.IFS(G296&gt;15,"Long Commute",G296&gt;5,"Moderate",G296&lt;=5,"Near Office")</f>
        <v>Moderate</v>
      </c>
      <c r="I296" t="s">
        <v>78</v>
      </c>
      <c r="J296" t="s">
        <v>38</v>
      </c>
      <c r="K296">
        <v>2</v>
      </c>
      <c r="L296" t="s">
        <v>39</v>
      </c>
      <c r="M296">
        <v>69</v>
      </c>
      <c r="N296">
        <v>1</v>
      </c>
      <c r="O296">
        <v>1</v>
      </c>
      <c r="P296" t="s">
        <v>47</v>
      </c>
      <c r="Q296" t="s">
        <v>77</v>
      </c>
      <c r="R296" t="s">
        <v>48</v>
      </c>
      <c r="S296">
        <v>2168</v>
      </c>
      <c r="T296" t="str" cm="1">
        <f t="array" ref="T296">_xlfn.IFS(S296&gt;=10000,"High (&gt;10k)",S296&gt;=5000,"Medium (5k-10k)",S296&lt;5000,"Low (&lt;5k)")</f>
        <v>Low (&lt;5k)</v>
      </c>
      <c r="U296">
        <v>26933</v>
      </c>
      <c r="V296">
        <v>0</v>
      </c>
      <c r="W296" t="s">
        <v>35</v>
      </c>
      <c r="X296">
        <v>18</v>
      </c>
      <c r="Y296">
        <v>3</v>
      </c>
      <c r="Z296">
        <v>1</v>
      </c>
      <c r="AA296">
        <v>1</v>
      </c>
      <c r="AB296">
        <v>6</v>
      </c>
      <c r="AC296">
        <v>2</v>
      </c>
      <c r="AD296" t="s">
        <v>81</v>
      </c>
      <c r="AE296">
        <v>5</v>
      </c>
      <c r="AF296" t="str" cm="1">
        <f t="array" ref="AF296">_xlfn.IFS(AE296&gt;=10,"Veteran (10y+)",AE296&gt;=3,"Established (3-10y)",AE296&lt;3,"New Hire (&lt;3y)")</f>
        <v>Established (3-10y)</v>
      </c>
      <c r="AG296">
        <v>4</v>
      </c>
      <c r="AH296">
        <v>1</v>
      </c>
      <c r="AI296">
        <v>3</v>
      </c>
    </row>
    <row r="297" spans="1:35">
      <c r="A297">
        <v>29</v>
      </c>
      <c r="B297" t="str">
        <f t="shared" si="4"/>
        <v>Young Adults</v>
      </c>
      <c r="C297">
        <v>0</v>
      </c>
      <c r="D297" t="s">
        <v>36</v>
      </c>
      <c r="E297">
        <v>1010</v>
      </c>
      <c r="F297" t="s">
        <v>45</v>
      </c>
      <c r="G297">
        <v>1</v>
      </c>
      <c r="H297" t="str" cm="1">
        <f t="array" ref="H297">_xlfn.IFS(G297&gt;15,"Long Commute",G297&gt;5,"Moderate",G297&lt;=5,"Near Office")</f>
        <v>Near Office</v>
      </c>
      <c r="I297" t="s">
        <v>72</v>
      </c>
      <c r="J297" t="s">
        <v>38</v>
      </c>
      <c r="K297">
        <v>1</v>
      </c>
      <c r="L297" t="s">
        <v>39</v>
      </c>
      <c r="M297">
        <v>97</v>
      </c>
      <c r="N297">
        <v>3</v>
      </c>
      <c r="O297">
        <v>1</v>
      </c>
      <c r="P297" t="s">
        <v>47</v>
      </c>
      <c r="Q297" t="s">
        <v>77</v>
      </c>
      <c r="R297" t="s">
        <v>52</v>
      </c>
      <c r="S297">
        <v>3760</v>
      </c>
      <c r="T297" t="str" cm="1">
        <f t="array" ref="T297">_xlfn.IFS(S297&gt;=10000,"High (&gt;10k)",S297&gt;=5000,"Medium (5k-10k)",S297&lt;5000,"Low (&lt;5k)")</f>
        <v>Low (&lt;5k)</v>
      </c>
      <c r="U297">
        <v>5598</v>
      </c>
      <c r="V297">
        <v>1</v>
      </c>
      <c r="W297" t="s">
        <v>43</v>
      </c>
      <c r="X297">
        <v>15</v>
      </c>
      <c r="Y297">
        <v>3</v>
      </c>
      <c r="Z297">
        <v>1</v>
      </c>
      <c r="AA297">
        <v>3</v>
      </c>
      <c r="AB297">
        <v>3</v>
      </c>
      <c r="AC297">
        <v>5</v>
      </c>
      <c r="AD297" t="s">
        <v>74</v>
      </c>
      <c r="AE297">
        <v>3</v>
      </c>
      <c r="AF297" t="str" cm="1">
        <f t="array" ref="AF297">_xlfn.IFS(AE297&gt;=10,"Veteran (10y+)",AE297&gt;=3,"Established (3-10y)",AE297&lt;3,"New Hire (&lt;3y)")</f>
        <v>Established (3-10y)</v>
      </c>
      <c r="AG297">
        <v>2</v>
      </c>
      <c r="AH297">
        <v>1</v>
      </c>
      <c r="AI297">
        <v>2</v>
      </c>
    </row>
    <row r="298" spans="1:35">
      <c r="A298">
        <v>29</v>
      </c>
      <c r="B298" t="str">
        <f t="shared" si="4"/>
        <v>Young Adults</v>
      </c>
      <c r="C298">
        <v>0</v>
      </c>
      <c r="D298" t="s">
        <v>36</v>
      </c>
      <c r="E298">
        <v>1329</v>
      </c>
      <c r="F298" t="s">
        <v>45</v>
      </c>
      <c r="G298">
        <v>7</v>
      </c>
      <c r="H298" t="str" cm="1">
        <f t="array" ref="H298">_xlfn.IFS(G298&gt;15,"Long Commute",G298&gt;5,"Moderate",G298&lt;=5,"Near Office")</f>
        <v>Moderate</v>
      </c>
      <c r="I298" t="s">
        <v>72</v>
      </c>
      <c r="J298" t="s">
        <v>38</v>
      </c>
      <c r="K298">
        <v>3</v>
      </c>
      <c r="L298" t="s">
        <v>46</v>
      </c>
      <c r="M298">
        <v>82</v>
      </c>
      <c r="N298">
        <v>3</v>
      </c>
      <c r="O298">
        <v>2</v>
      </c>
      <c r="P298" t="s">
        <v>54</v>
      </c>
      <c r="Q298" t="s">
        <v>77</v>
      </c>
      <c r="R298" t="s">
        <v>52</v>
      </c>
      <c r="S298">
        <v>6623</v>
      </c>
      <c r="T298" t="str" cm="1">
        <f t="array" ref="T298">_xlfn.IFS(S298&gt;=10000,"High (&gt;10k)",S298&gt;=5000,"Medium (5k-10k)",S298&lt;5000,"Low (&lt;5k)")</f>
        <v>Medium (5k-10k)</v>
      </c>
      <c r="U298">
        <v>4204</v>
      </c>
      <c r="V298">
        <v>1</v>
      </c>
      <c r="W298" t="s">
        <v>35</v>
      </c>
      <c r="X298">
        <v>11</v>
      </c>
      <c r="Y298">
        <v>3</v>
      </c>
      <c r="Z298">
        <v>2</v>
      </c>
      <c r="AA298">
        <v>2</v>
      </c>
      <c r="AB298">
        <v>6</v>
      </c>
      <c r="AC298">
        <v>2</v>
      </c>
      <c r="AD298" t="s">
        <v>74</v>
      </c>
      <c r="AE298">
        <v>6</v>
      </c>
      <c r="AF298" t="str" cm="1">
        <f t="array" ref="AF298">_xlfn.IFS(AE298&gt;=10,"Veteran (10y+)",AE298&gt;=3,"Established (3-10y)",AE298&lt;3,"New Hire (&lt;3y)")</f>
        <v>Established (3-10y)</v>
      </c>
      <c r="AG298">
        <v>0</v>
      </c>
      <c r="AH298">
        <v>1</v>
      </c>
      <c r="AI298">
        <v>0</v>
      </c>
    </row>
    <row r="299" spans="1:35">
      <c r="A299">
        <v>29</v>
      </c>
      <c r="B299" t="str">
        <f t="shared" si="4"/>
        <v>Young Adults</v>
      </c>
      <c r="C299">
        <v>0</v>
      </c>
      <c r="D299" t="s">
        <v>36</v>
      </c>
      <c r="E299">
        <v>694</v>
      </c>
      <c r="F299" t="s">
        <v>45</v>
      </c>
      <c r="G299">
        <v>1</v>
      </c>
      <c r="H299" t="str" cm="1">
        <f t="array" ref="H299">_xlfn.IFS(G299&gt;15,"Long Commute",G299&gt;5,"Moderate",G299&lt;=5,"Near Office")</f>
        <v>Near Office</v>
      </c>
      <c r="I299" t="s">
        <v>72</v>
      </c>
      <c r="J299" t="s">
        <v>38</v>
      </c>
      <c r="K299">
        <v>4</v>
      </c>
      <c r="L299" t="s">
        <v>39</v>
      </c>
      <c r="M299">
        <v>87</v>
      </c>
      <c r="N299">
        <v>2</v>
      </c>
      <c r="O299">
        <v>4</v>
      </c>
      <c r="P299" t="s">
        <v>58</v>
      </c>
      <c r="Q299" t="s">
        <v>77</v>
      </c>
      <c r="R299" t="s">
        <v>52</v>
      </c>
      <c r="S299">
        <v>16124</v>
      </c>
      <c r="T299" t="str" cm="1">
        <f t="array" ref="T299">_xlfn.IFS(S299&gt;=10000,"High (&gt;10k)",S299&gt;=5000,"Medium (5k-10k)",S299&lt;5000,"Low (&lt;5k)")</f>
        <v>High (&gt;10k)</v>
      </c>
      <c r="U299">
        <v>3423</v>
      </c>
      <c r="V299">
        <v>3</v>
      </c>
      <c r="W299" t="s">
        <v>43</v>
      </c>
      <c r="X299">
        <v>14</v>
      </c>
      <c r="Y299">
        <v>3</v>
      </c>
      <c r="Z299">
        <v>2</v>
      </c>
      <c r="AA299">
        <v>2</v>
      </c>
      <c r="AB299">
        <v>9</v>
      </c>
      <c r="AC299">
        <v>2</v>
      </c>
      <c r="AD299" t="s">
        <v>81</v>
      </c>
      <c r="AE299">
        <v>7</v>
      </c>
      <c r="AF299" t="str" cm="1">
        <f t="array" ref="AF299">_xlfn.IFS(AE299&gt;=10,"Veteran (10y+)",AE299&gt;=3,"Established (3-10y)",AE299&lt;3,"New Hire (&lt;3y)")</f>
        <v>Established (3-10y)</v>
      </c>
      <c r="AG299">
        <v>7</v>
      </c>
      <c r="AH299">
        <v>1</v>
      </c>
      <c r="AI299">
        <v>7</v>
      </c>
    </row>
    <row r="300" spans="1:35">
      <c r="A300">
        <v>29</v>
      </c>
      <c r="B300" t="str">
        <f t="shared" si="4"/>
        <v>Young Adults</v>
      </c>
      <c r="C300">
        <v>1</v>
      </c>
      <c r="D300" t="s">
        <v>36</v>
      </c>
      <c r="E300">
        <v>806</v>
      </c>
      <c r="F300" t="s">
        <v>45</v>
      </c>
      <c r="G300">
        <v>7</v>
      </c>
      <c r="H300" t="str" cm="1">
        <f t="array" ref="H300">_xlfn.IFS(G300&gt;15,"Long Commute",G300&gt;5,"Moderate",G300&lt;=5,"Near Office")</f>
        <v>Moderate</v>
      </c>
      <c r="I300" t="s">
        <v>72</v>
      </c>
      <c r="J300" t="s">
        <v>60</v>
      </c>
      <c r="K300">
        <v>2</v>
      </c>
      <c r="L300" t="s">
        <v>39</v>
      </c>
      <c r="M300">
        <v>39</v>
      </c>
      <c r="N300">
        <v>3</v>
      </c>
      <c r="O300">
        <v>1</v>
      </c>
      <c r="P300" t="s">
        <v>50</v>
      </c>
      <c r="Q300" t="s">
        <v>73</v>
      </c>
      <c r="R300" t="s">
        <v>52</v>
      </c>
      <c r="S300">
        <v>3339</v>
      </c>
      <c r="T300" t="str" cm="1">
        <f t="array" ref="T300">_xlfn.IFS(S300&gt;=10000,"High (&gt;10k)",S300&gt;=5000,"Medium (5k-10k)",S300&lt;5000,"Low (&lt;5k)")</f>
        <v>Low (&lt;5k)</v>
      </c>
      <c r="U300">
        <v>17285</v>
      </c>
      <c r="V300">
        <v>3</v>
      </c>
      <c r="W300" t="s">
        <v>35</v>
      </c>
      <c r="X300">
        <v>13</v>
      </c>
      <c r="Y300">
        <v>3</v>
      </c>
      <c r="Z300">
        <v>1</v>
      </c>
      <c r="AA300">
        <v>2</v>
      </c>
      <c r="AB300">
        <v>10</v>
      </c>
      <c r="AC300">
        <v>2</v>
      </c>
      <c r="AD300" t="s">
        <v>74</v>
      </c>
      <c r="AE300">
        <v>7</v>
      </c>
      <c r="AF300" t="str" cm="1">
        <f t="array" ref="AF300">_xlfn.IFS(AE300&gt;=10,"Veteran (10y+)",AE300&gt;=3,"Established (3-10y)",AE300&lt;3,"New Hire (&lt;3y)")</f>
        <v>Established (3-10y)</v>
      </c>
      <c r="AG300">
        <v>7</v>
      </c>
      <c r="AH300">
        <v>7</v>
      </c>
      <c r="AI300">
        <v>7</v>
      </c>
    </row>
    <row r="301" spans="1:35">
      <c r="A301">
        <v>29</v>
      </c>
      <c r="B301" t="str">
        <f t="shared" si="4"/>
        <v>Young Adults</v>
      </c>
      <c r="C301">
        <v>0</v>
      </c>
      <c r="D301" t="s">
        <v>36</v>
      </c>
      <c r="E301">
        <v>332</v>
      </c>
      <c r="F301" t="s">
        <v>61</v>
      </c>
      <c r="G301">
        <v>17</v>
      </c>
      <c r="H301" t="str" cm="1">
        <f t="array" ref="H301">_xlfn.IFS(G301&gt;15,"Long Commute",G301&gt;5,"Moderate",G301&lt;=5,"Near Office")</f>
        <v>Long Commute</v>
      </c>
      <c r="I301" t="s">
        <v>72</v>
      </c>
      <c r="J301" t="s">
        <v>49</v>
      </c>
      <c r="K301">
        <v>2</v>
      </c>
      <c r="L301" t="s">
        <v>46</v>
      </c>
      <c r="M301">
        <v>51</v>
      </c>
      <c r="N301">
        <v>2</v>
      </c>
      <c r="O301">
        <v>3</v>
      </c>
      <c r="P301" t="s">
        <v>61</v>
      </c>
      <c r="Q301" t="s">
        <v>82</v>
      </c>
      <c r="R301" t="s">
        <v>41</v>
      </c>
      <c r="S301">
        <v>7988</v>
      </c>
      <c r="T301" t="str" cm="1">
        <f t="array" ref="T301">_xlfn.IFS(S301&gt;=10000,"High (&gt;10k)",S301&gt;=5000,"Medium (5k-10k)",S301&lt;5000,"Low (&lt;5k)")</f>
        <v>Medium (5k-10k)</v>
      </c>
      <c r="U301">
        <v>9769</v>
      </c>
      <c r="V301">
        <v>1</v>
      </c>
      <c r="W301" t="s">
        <v>43</v>
      </c>
      <c r="X301">
        <v>13</v>
      </c>
      <c r="Y301">
        <v>3</v>
      </c>
      <c r="Z301">
        <v>1</v>
      </c>
      <c r="AA301">
        <v>0</v>
      </c>
      <c r="AB301">
        <v>10</v>
      </c>
      <c r="AC301">
        <v>3</v>
      </c>
      <c r="AD301" t="s">
        <v>81</v>
      </c>
      <c r="AE301">
        <v>10</v>
      </c>
      <c r="AF301" t="str" cm="1">
        <f t="array" ref="AF301">_xlfn.IFS(AE301&gt;=10,"Veteran (10y+)",AE301&gt;=3,"Established (3-10y)",AE301&lt;3,"New Hire (&lt;3y)")</f>
        <v>Veteran (10y+)</v>
      </c>
      <c r="AG301">
        <v>9</v>
      </c>
      <c r="AH301">
        <v>0</v>
      </c>
      <c r="AI301">
        <v>9</v>
      </c>
    </row>
    <row r="302" spans="1:35">
      <c r="A302">
        <v>29</v>
      </c>
      <c r="B302" t="str">
        <f t="shared" si="4"/>
        <v>Young Adults</v>
      </c>
      <c r="C302">
        <v>1</v>
      </c>
      <c r="D302" t="s">
        <v>44</v>
      </c>
      <c r="E302">
        <v>337</v>
      </c>
      <c r="F302" t="s">
        <v>45</v>
      </c>
      <c r="G302">
        <v>14</v>
      </c>
      <c r="H302" t="str" cm="1">
        <f t="array" ref="H302">_xlfn.IFS(G302&gt;15,"Long Commute",G302&gt;5,"Moderate",G302&lt;=5,"Near Office")</f>
        <v>Moderate</v>
      </c>
      <c r="I302" t="s">
        <v>78</v>
      </c>
      <c r="J302" t="s">
        <v>49</v>
      </c>
      <c r="K302">
        <v>3</v>
      </c>
      <c r="L302" t="s">
        <v>39</v>
      </c>
      <c r="M302">
        <v>84</v>
      </c>
      <c r="N302">
        <v>3</v>
      </c>
      <c r="O302">
        <v>3</v>
      </c>
      <c r="P302" t="s">
        <v>54</v>
      </c>
      <c r="Q302" t="s">
        <v>77</v>
      </c>
      <c r="R302" t="s">
        <v>41</v>
      </c>
      <c r="S302">
        <v>7553</v>
      </c>
      <c r="T302" t="str" cm="1">
        <f t="array" ref="T302">_xlfn.IFS(S302&gt;=10000,"High (&gt;10k)",S302&gt;=5000,"Medium (5k-10k)",S302&lt;5000,"Low (&lt;5k)")</f>
        <v>Medium (5k-10k)</v>
      </c>
      <c r="U302">
        <v>22930</v>
      </c>
      <c r="V302">
        <v>0</v>
      </c>
      <c r="W302" t="s">
        <v>35</v>
      </c>
      <c r="X302">
        <v>12</v>
      </c>
      <c r="Y302">
        <v>3</v>
      </c>
      <c r="Z302">
        <v>1</v>
      </c>
      <c r="AA302">
        <v>0</v>
      </c>
      <c r="AB302">
        <v>9</v>
      </c>
      <c r="AC302">
        <v>1</v>
      </c>
      <c r="AD302" t="s">
        <v>74</v>
      </c>
      <c r="AE302">
        <v>8</v>
      </c>
      <c r="AF302" t="str" cm="1">
        <f t="array" ref="AF302">_xlfn.IFS(AE302&gt;=10,"Veteran (10y+)",AE302&gt;=3,"Established (3-10y)",AE302&lt;3,"New Hire (&lt;3y)")</f>
        <v>Established (3-10y)</v>
      </c>
      <c r="AG302">
        <v>7</v>
      </c>
      <c r="AH302">
        <v>7</v>
      </c>
      <c r="AI302">
        <v>7</v>
      </c>
    </row>
    <row r="303" spans="1:35">
      <c r="A303">
        <v>29</v>
      </c>
      <c r="B303" t="str">
        <f t="shared" si="4"/>
        <v>Young Adults</v>
      </c>
      <c r="C303">
        <v>1</v>
      </c>
      <c r="D303" t="s">
        <v>44</v>
      </c>
      <c r="E303">
        <v>115</v>
      </c>
      <c r="F303" t="s">
        <v>37</v>
      </c>
      <c r="G303">
        <v>13</v>
      </c>
      <c r="H303" t="str" cm="1">
        <f t="array" ref="H303">_xlfn.IFS(G303&gt;15,"Long Commute",G303&gt;5,"Moderate",G303&lt;=5,"Near Office")</f>
        <v>Moderate</v>
      </c>
      <c r="I303" t="s">
        <v>72</v>
      </c>
      <c r="J303" t="s">
        <v>60</v>
      </c>
      <c r="K303">
        <v>1</v>
      </c>
      <c r="L303" t="s">
        <v>39</v>
      </c>
      <c r="M303">
        <v>51</v>
      </c>
      <c r="N303">
        <v>3</v>
      </c>
      <c r="O303">
        <v>2</v>
      </c>
      <c r="P303" t="s">
        <v>40</v>
      </c>
      <c r="Q303" t="s">
        <v>75</v>
      </c>
      <c r="R303" t="s">
        <v>41</v>
      </c>
      <c r="S303">
        <v>5765</v>
      </c>
      <c r="T303" t="str" cm="1">
        <f t="array" ref="T303">_xlfn.IFS(S303&gt;=10000,"High (&gt;10k)",S303&gt;=5000,"Medium (5k-10k)",S303&lt;5000,"Low (&lt;5k)")</f>
        <v>Medium (5k-10k)</v>
      </c>
      <c r="U303">
        <v>17485</v>
      </c>
      <c r="V303">
        <v>5</v>
      </c>
      <c r="W303" t="s">
        <v>43</v>
      </c>
      <c r="X303">
        <v>11</v>
      </c>
      <c r="Y303">
        <v>3</v>
      </c>
      <c r="Z303">
        <v>1</v>
      </c>
      <c r="AA303">
        <v>0</v>
      </c>
      <c r="AB303">
        <v>7</v>
      </c>
      <c r="AC303">
        <v>4</v>
      </c>
      <c r="AD303" t="s">
        <v>80</v>
      </c>
      <c r="AE303">
        <v>5</v>
      </c>
      <c r="AF303" t="str" cm="1">
        <f t="array" ref="AF303">_xlfn.IFS(AE303&gt;=10,"Veteran (10y+)",AE303&gt;=3,"Established (3-10y)",AE303&lt;3,"New Hire (&lt;3y)")</f>
        <v>Established (3-10y)</v>
      </c>
      <c r="AG303">
        <v>3</v>
      </c>
      <c r="AH303">
        <v>0</v>
      </c>
      <c r="AI303">
        <v>0</v>
      </c>
    </row>
    <row r="304" spans="1:35">
      <c r="A304">
        <v>29</v>
      </c>
      <c r="B304" t="str">
        <f t="shared" si="4"/>
        <v>Young Adults</v>
      </c>
      <c r="C304">
        <v>0</v>
      </c>
      <c r="D304" t="s">
        <v>36</v>
      </c>
      <c r="E304">
        <v>1246</v>
      </c>
      <c r="F304" t="s">
        <v>37</v>
      </c>
      <c r="G304">
        <v>19</v>
      </c>
      <c r="H304" t="str" cm="1">
        <f t="array" ref="H304">_xlfn.IFS(G304&gt;15,"Long Commute",G304&gt;5,"Moderate",G304&lt;=5,"Near Office")</f>
        <v>Long Commute</v>
      </c>
      <c r="I304" t="s">
        <v>72</v>
      </c>
      <c r="J304" t="s">
        <v>38</v>
      </c>
      <c r="K304">
        <v>3</v>
      </c>
      <c r="L304" t="s">
        <v>46</v>
      </c>
      <c r="M304">
        <v>77</v>
      </c>
      <c r="N304">
        <v>2</v>
      </c>
      <c r="O304">
        <v>2</v>
      </c>
      <c r="P304" t="s">
        <v>40</v>
      </c>
      <c r="Q304" t="s">
        <v>73</v>
      </c>
      <c r="R304" t="s">
        <v>52</v>
      </c>
      <c r="S304">
        <v>8620</v>
      </c>
      <c r="T304" t="str" cm="1">
        <f t="array" ref="T304">_xlfn.IFS(S304&gt;=10000,"High (&gt;10k)",S304&gt;=5000,"Medium (5k-10k)",S304&lt;5000,"Low (&lt;5k)")</f>
        <v>Medium (5k-10k)</v>
      </c>
      <c r="U304">
        <v>23757</v>
      </c>
      <c r="V304">
        <v>1</v>
      </c>
      <c r="W304" t="s">
        <v>43</v>
      </c>
      <c r="X304">
        <v>14</v>
      </c>
      <c r="Y304">
        <v>3</v>
      </c>
      <c r="Z304">
        <v>3</v>
      </c>
      <c r="AA304">
        <v>2</v>
      </c>
      <c r="AB304">
        <v>10</v>
      </c>
      <c r="AC304">
        <v>3</v>
      </c>
      <c r="AD304" t="s">
        <v>74</v>
      </c>
      <c r="AE304">
        <v>10</v>
      </c>
      <c r="AF304" t="str" cm="1">
        <f t="array" ref="AF304">_xlfn.IFS(AE304&gt;=10,"Veteran (10y+)",AE304&gt;=3,"Established (3-10y)",AE304&lt;3,"New Hire (&lt;3y)")</f>
        <v>Veteran (10y+)</v>
      </c>
      <c r="AG304">
        <v>7</v>
      </c>
      <c r="AH304">
        <v>0</v>
      </c>
      <c r="AI304">
        <v>4</v>
      </c>
    </row>
    <row r="305" spans="1:35">
      <c r="A305">
        <v>29</v>
      </c>
      <c r="B305" t="str">
        <f t="shared" si="4"/>
        <v>Young Adults</v>
      </c>
      <c r="C305">
        <v>0</v>
      </c>
      <c r="D305" t="s">
        <v>44</v>
      </c>
      <c r="E305">
        <v>410</v>
      </c>
      <c r="F305" t="s">
        <v>45</v>
      </c>
      <c r="G305">
        <v>2</v>
      </c>
      <c r="H305" t="str" cm="1">
        <f t="array" ref="H305">_xlfn.IFS(G305&gt;15,"Long Commute",G305&gt;5,"Moderate",G305&lt;=5,"Near Office")</f>
        <v>Near Office</v>
      </c>
      <c r="I305" t="s">
        <v>78</v>
      </c>
      <c r="J305" t="s">
        <v>38</v>
      </c>
      <c r="K305">
        <v>4</v>
      </c>
      <c r="L305" t="s">
        <v>39</v>
      </c>
      <c r="M305">
        <v>97</v>
      </c>
      <c r="N305">
        <v>3</v>
      </c>
      <c r="O305">
        <v>1</v>
      </c>
      <c r="P305" t="s">
        <v>50</v>
      </c>
      <c r="Q305" t="s">
        <v>75</v>
      </c>
      <c r="R305" t="s">
        <v>48</v>
      </c>
      <c r="S305">
        <v>3180</v>
      </c>
      <c r="T305" t="str" cm="1">
        <f t="array" ref="T305">_xlfn.IFS(S305&gt;=10000,"High (&gt;10k)",S305&gt;=5000,"Medium (5k-10k)",S305&lt;5000,"Low (&lt;5k)")</f>
        <v>Low (&lt;5k)</v>
      </c>
      <c r="U305">
        <v>4668</v>
      </c>
      <c r="V305">
        <v>0</v>
      </c>
      <c r="W305" t="s">
        <v>43</v>
      </c>
      <c r="X305">
        <v>13</v>
      </c>
      <c r="Y305">
        <v>3</v>
      </c>
      <c r="Z305">
        <v>3</v>
      </c>
      <c r="AA305">
        <v>3</v>
      </c>
      <c r="AB305">
        <v>4</v>
      </c>
      <c r="AC305">
        <v>3</v>
      </c>
      <c r="AD305" t="s">
        <v>74</v>
      </c>
      <c r="AE305">
        <v>3</v>
      </c>
      <c r="AF305" t="str" cm="1">
        <f t="array" ref="AF305">_xlfn.IFS(AE305&gt;=10,"Veteran (10y+)",AE305&gt;=3,"Established (3-10y)",AE305&lt;3,"New Hire (&lt;3y)")</f>
        <v>Established (3-10y)</v>
      </c>
      <c r="AG305">
        <v>2</v>
      </c>
      <c r="AH305">
        <v>0</v>
      </c>
      <c r="AI305">
        <v>2</v>
      </c>
    </row>
    <row r="306" spans="1:35">
      <c r="A306">
        <v>29</v>
      </c>
      <c r="B306" t="str">
        <f t="shared" si="4"/>
        <v>Young Adults</v>
      </c>
      <c r="C306">
        <v>1</v>
      </c>
      <c r="D306" t="s">
        <v>36</v>
      </c>
      <c r="E306">
        <v>224</v>
      </c>
      <c r="F306" t="s">
        <v>45</v>
      </c>
      <c r="G306">
        <v>1</v>
      </c>
      <c r="H306" t="str" cm="1">
        <f t="array" ref="H306">_xlfn.IFS(G306&gt;15,"Long Commute",G306&gt;5,"Moderate",G306&lt;=5,"Near Office")</f>
        <v>Near Office</v>
      </c>
      <c r="I306" t="s">
        <v>83</v>
      </c>
      <c r="J306" t="s">
        <v>60</v>
      </c>
      <c r="K306">
        <v>1</v>
      </c>
      <c r="L306" t="s">
        <v>46</v>
      </c>
      <c r="M306">
        <v>100</v>
      </c>
      <c r="N306">
        <v>2</v>
      </c>
      <c r="O306">
        <v>1</v>
      </c>
      <c r="P306" t="s">
        <v>47</v>
      </c>
      <c r="Q306" t="s">
        <v>82</v>
      </c>
      <c r="R306" t="s">
        <v>41</v>
      </c>
      <c r="S306">
        <v>2362</v>
      </c>
      <c r="T306" t="str" cm="1">
        <f t="array" ref="T306">_xlfn.IFS(S306&gt;=10000,"High (&gt;10k)",S306&gt;=5000,"Medium (5k-10k)",S306&lt;5000,"Low (&lt;5k)")</f>
        <v>Low (&lt;5k)</v>
      </c>
      <c r="U306">
        <v>7568</v>
      </c>
      <c r="V306">
        <v>6</v>
      </c>
      <c r="W306" t="s">
        <v>43</v>
      </c>
      <c r="X306">
        <v>13</v>
      </c>
      <c r="Y306">
        <v>3</v>
      </c>
      <c r="Z306">
        <v>3</v>
      </c>
      <c r="AA306">
        <v>0</v>
      </c>
      <c r="AB306">
        <v>11</v>
      </c>
      <c r="AC306">
        <v>2</v>
      </c>
      <c r="AD306" t="s">
        <v>80</v>
      </c>
      <c r="AE306">
        <v>9</v>
      </c>
      <c r="AF306" t="str" cm="1">
        <f t="array" ref="AF306">_xlfn.IFS(AE306&gt;=10,"Veteran (10y+)",AE306&gt;=3,"Established (3-10y)",AE306&lt;3,"New Hire (&lt;3y)")</f>
        <v>Established (3-10y)</v>
      </c>
      <c r="AG306">
        <v>7</v>
      </c>
      <c r="AH306">
        <v>0</v>
      </c>
      <c r="AI306">
        <v>7</v>
      </c>
    </row>
    <row r="307" spans="1:35">
      <c r="A307">
        <v>29</v>
      </c>
      <c r="B307" t="str">
        <f t="shared" si="4"/>
        <v>Young Adults</v>
      </c>
      <c r="C307">
        <v>0</v>
      </c>
      <c r="D307" t="s">
        <v>36</v>
      </c>
      <c r="E307">
        <v>441</v>
      </c>
      <c r="F307" t="s">
        <v>45</v>
      </c>
      <c r="G307">
        <v>8</v>
      </c>
      <c r="H307" t="str" cm="1">
        <f t="array" ref="H307">_xlfn.IFS(G307&gt;15,"Long Commute",G307&gt;5,"Moderate",G307&lt;=5,"Near Office")</f>
        <v>Moderate</v>
      </c>
      <c r="I307" t="s">
        <v>78</v>
      </c>
      <c r="J307" t="s">
        <v>49</v>
      </c>
      <c r="K307">
        <v>3</v>
      </c>
      <c r="L307" t="s">
        <v>39</v>
      </c>
      <c r="M307">
        <v>39</v>
      </c>
      <c r="N307">
        <v>1</v>
      </c>
      <c r="O307">
        <v>2</v>
      </c>
      <c r="P307" t="s">
        <v>54</v>
      </c>
      <c r="Q307" t="s">
        <v>82</v>
      </c>
      <c r="R307" t="s">
        <v>48</v>
      </c>
      <c r="S307">
        <v>9715</v>
      </c>
      <c r="T307" t="str" cm="1">
        <f t="array" ref="T307">_xlfn.IFS(S307&gt;=10000,"High (&gt;10k)",S307&gt;=5000,"Medium (5k-10k)",S307&lt;5000,"Low (&lt;5k)")</f>
        <v>Medium (5k-10k)</v>
      </c>
      <c r="U307">
        <v>7288</v>
      </c>
      <c r="V307">
        <v>3</v>
      </c>
      <c r="W307" t="s">
        <v>43</v>
      </c>
      <c r="X307">
        <v>13</v>
      </c>
      <c r="Y307">
        <v>3</v>
      </c>
      <c r="Z307">
        <v>3</v>
      </c>
      <c r="AA307">
        <v>1</v>
      </c>
      <c r="AB307">
        <v>9</v>
      </c>
      <c r="AC307">
        <v>3</v>
      </c>
      <c r="AD307" t="s">
        <v>74</v>
      </c>
      <c r="AE307">
        <v>7</v>
      </c>
      <c r="AF307" t="str" cm="1">
        <f t="array" ref="AF307">_xlfn.IFS(AE307&gt;=10,"Veteran (10y+)",AE307&gt;=3,"Established (3-10y)",AE307&lt;3,"New Hire (&lt;3y)")</f>
        <v>Established (3-10y)</v>
      </c>
      <c r="AG307">
        <v>7</v>
      </c>
      <c r="AH307">
        <v>0</v>
      </c>
      <c r="AI307">
        <v>7</v>
      </c>
    </row>
    <row r="308" spans="1:35">
      <c r="A308">
        <v>29</v>
      </c>
      <c r="B308" t="str">
        <f t="shared" si="4"/>
        <v>Young Adults</v>
      </c>
      <c r="C308">
        <v>0</v>
      </c>
      <c r="D308" t="s">
        <v>36</v>
      </c>
      <c r="E308">
        <v>598</v>
      </c>
      <c r="F308" t="s">
        <v>45</v>
      </c>
      <c r="G308">
        <v>9</v>
      </c>
      <c r="H308" t="str" cm="1">
        <f t="array" ref="H308">_xlfn.IFS(G308&gt;15,"Long Commute",G308&gt;5,"Moderate",G308&lt;=5,"Near Office")</f>
        <v>Moderate</v>
      </c>
      <c r="I308" t="s">
        <v>72</v>
      </c>
      <c r="J308" t="s">
        <v>38</v>
      </c>
      <c r="K308">
        <v>3</v>
      </c>
      <c r="L308" t="s">
        <v>46</v>
      </c>
      <c r="M308">
        <v>91</v>
      </c>
      <c r="N308">
        <v>4</v>
      </c>
      <c r="O308">
        <v>1</v>
      </c>
      <c r="P308" t="s">
        <v>47</v>
      </c>
      <c r="Q308" t="s">
        <v>73</v>
      </c>
      <c r="R308" t="s">
        <v>48</v>
      </c>
      <c r="S308">
        <v>2451</v>
      </c>
      <c r="T308" t="str" cm="1">
        <f t="array" ref="T308">_xlfn.IFS(S308&gt;=10000,"High (&gt;10k)",S308&gt;=5000,"Medium (5k-10k)",S308&lt;5000,"Low (&lt;5k)")</f>
        <v>Low (&lt;5k)</v>
      </c>
      <c r="U308">
        <v>22376</v>
      </c>
      <c r="V308">
        <v>6</v>
      </c>
      <c r="W308" t="s">
        <v>43</v>
      </c>
      <c r="X308">
        <v>18</v>
      </c>
      <c r="Y308">
        <v>3</v>
      </c>
      <c r="Z308">
        <v>1</v>
      </c>
      <c r="AA308">
        <v>2</v>
      </c>
      <c r="AB308">
        <v>5</v>
      </c>
      <c r="AC308">
        <v>2</v>
      </c>
      <c r="AD308" t="s">
        <v>81</v>
      </c>
      <c r="AE308">
        <v>1</v>
      </c>
      <c r="AF308" t="str" cm="1">
        <f t="array" ref="AF308">_xlfn.IFS(AE308&gt;=10,"Veteran (10y+)",AE308&gt;=3,"Established (3-10y)",AE308&lt;3,"New Hire (&lt;3y)")</f>
        <v>New Hire (&lt;3y)</v>
      </c>
      <c r="AG308">
        <v>0</v>
      </c>
      <c r="AH308">
        <v>0</v>
      </c>
      <c r="AI308">
        <v>0</v>
      </c>
    </row>
    <row r="309" spans="1:35">
      <c r="A309">
        <v>29</v>
      </c>
      <c r="B309" t="str">
        <f t="shared" si="4"/>
        <v>Young Adults</v>
      </c>
      <c r="C309">
        <v>0</v>
      </c>
      <c r="D309" t="s">
        <v>36</v>
      </c>
      <c r="E309">
        <v>1370</v>
      </c>
      <c r="F309" t="s">
        <v>45</v>
      </c>
      <c r="G309">
        <v>3</v>
      </c>
      <c r="H309" t="str" cm="1">
        <f t="array" ref="H309">_xlfn.IFS(G309&gt;15,"Long Commute",G309&gt;5,"Moderate",G309&lt;=5,"Near Office")</f>
        <v>Near Office</v>
      </c>
      <c r="I309" t="s">
        <v>78</v>
      </c>
      <c r="J309" t="s">
        <v>51</v>
      </c>
      <c r="K309">
        <v>2</v>
      </c>
      <c r="L309" t="s">
        <v>46</v>
      </c>
      <c r="M309">
        <v>87</v>
      </c>
      <c r="N309">
        <v>3</v>
      </c>
      <c r="O309">
        <v>1</v>
      </c>
      <c r="P309" t="s">
        <v>50</v>
      </c>
      <c r="Q309" t="s">
        <v>82</v>
      </c>
      <c r="R309" t="s">
        <v>41</v>
      </c>
      <c r="S309">
        <v>4723</v>
      </c>
      <c r="T309" t="str" cm="1">
        <f t="array" ref="T309">_xlfn.IFS(S309&gt;=10000,"High (&gt;10k)",S309&gt;=5000,"Medium (5k-10k)",S309&lt;5000,"Low (&lt;5k)")</f>
        <v>Low (&lt;5k)</v>
      </c>
      <c r="U309">
        <v>16213</v>
      </c>
      <c r="V309">
        <v>1</v>
      </c>
      <c r="W309" t="s">
        <v>35</v>
      </c>
      <c r="X309">
        <v>18</v>
      </c>
      <c r="Y309">
        <v>3</v>
      </c>
      <c r="Z309">
        <v>4</v>
      </c>
      <c r="AA309">
        <v>0</v>
      </c>
      <c r="AB309">
        <v>10</v>
      </c>
      <c r="AC309">
        <v>3</v>
      </c>
      <c r="AD309" t="s">
        <v>74</v>
      </c>
      <c r="AE309">
        <v>10</v>
      </c>
      <c r="AF309" t="str" cm="1">
        <f t="array" ref="AF309">_xlfn.IFS(AE309&gt;=10,"Veteran (10y+)",AE309&gt;=3,"Established (3-10y)",AE309&lt;3,"New Hire (&lt;3y)")</f>
        <v>Veteran (10y+)</v>
      </c>
      <c r="AG309">
        <v>9</v>
      </c>
      <c r="AH309">
        <v>1</v>
      </c>
      <c r="AI309">
        <v>5</v>
      </c>
    </row>
    <row r="310" spans="1:35">
      <c r="A310">
        <v>29</v>
      </c>
      <c r="B310" t="str">
        <f t="shared" si="4"/>
        <v>Young Adults</v>
      </c>
      <c r="C310">
        <v>0</v>
      </c>
      <c r="D310" t="s">
        <v>44</v>
      </c>
      <c r="E310">
        <v>995</v>
      </c>
      <c r="F310" t="s">
        <v>45</v>
      </c>
      <c r="G310">
        <v>2</v>
      </c>
      <c r="H310" t="str" cm="1">
        <f t="array" ref="H310">_xlfn.IFS(G310&gt;15,"Long Commute",G310&gt;5,"Moderate",G310&lt;=5,"Near Office")</f>
        <v>Near Office</v>
      </c>
      <c r="I310" t="s">
        <v>78</v>
      </c>
      <c r="J310" t="s">
        <v>38</v>
      </c>
      <c r="K310">
        <v>1</v>
      </c>
      <c r="L310" t="s">
        <v>46</v>
      </c>
      <c r="M310">
        <v>87</v>
      </c>
      <c r="N310">
        <v>3</v>
      </c>
      <c r="O310">
        <v>2</v>
      </c>
      <c r="P310" t="s">
        <v>54</v>
      </c>
      <c r="Q310" t="s">
        <v>77</v>
      </c>
      <c r="R310" t="s">
        <v>52</v>
      </c>
      <c r="S310">
        <v>8853</v>
      </c>
      <c r="T310" t="str" cm="1">
        <f t="array" ref="T310">_xlfn.IFS(S310&gt;=10000,"High (&gt;10k)",S310&gt;=5000,"Medium (5k-10k)",S310&lt;5000,"Low (&lt;5k)")</f>
        <v>Medium (5k-10k)</v>
      </c>
      <c r="U310">
        <v>24483</v>
      </c>
      <c r="V310">
        <v>1</v>
      </c>
      <c r="W310" t="s">
        <v>43</v>
      </c>
      <c r="X310">
        <v>19</v>
      </c>
      <c r="Y310">
        <v>3</v>
      </c>
      <c r="Z310">
        <v>4</v>
      </c>
      <c r="AA310">
        <v>1</v>
      </c>
      <c r="AB310">
        <v>6</v>
      </c>
      <c r="AC310">
        <v>0</v>
      </c>
      <c r="AD310" t="s">
        <v>79</v>
      </c>
      <c r="AE310">
        <v>6</v>
      </c>
      <c r="AF310" t="str" cm="1">
        <f t="array" ref="AF310">_xlfn.IFS(AE310&gt;=10,"Veteran (10y+)",AE310&gt;=3,"Established (3-10y)",AE310&lt;3,"New Hire (&lt;3y)")</f>
        <v>Established (3-10y)</v>
      </c>
      <c r="AG310">
        <v>4</v>
      </c>
      <c r="AH310">
        <v>1</v>
      </c>
      <c r="AI310">
        <v>3</v>
      </c>
    </row>
    <row r="311" spans="1:35">
      <c r="A311">
        <v>29</v>
      </c>
      <c r="B311" t="str">
        <f t="shared" si="4"/>
        <v>Young Adults</v>
      </c>
      <c r="C311">
        <v>0</v>
      </c>
      <c r="D311" t="s">
        <v>36</v>
      </c>
      <c r="E311">
        <v>469</v>
      </c>
      <c r="F311" t="s">
        <v>37</v>
      </c>
      <c r="G311">
        <v>10</v>
      </c>
      <c r="H311" t="str" cm="1">
        <f t="array" ref="H311">_xlfn.IFS(G311&gt;15,"Long Commute",G311&gt;5,"Moderate",G311&lt;=5,"Near Office")</f>
        <v>Moderate</v>
      </c>
      <c r="I311" t="s">
        <v>72</v>
      </c>
      <c r="J311" t="s">
        <v>51</v>
      </c>
      <c r="K311">
        <v>3</v>
      </c>
      <c r="L311" t="s">
        <v>46</v>
      </c>
      <c r="M311">
        <v>42</v>
      </c>
      <c r="N311">
        <v>2</v>
      </c>
      <c r="O311">
        <v>2</v>
      </c>
      <c r="P311" t="s">
        <v>40</v>
      </c>
      <c r="Q311" t="s">
        <v>73</v>
      </c>
      <c r="R311" t="s">
        <v>41</v>
      </c>
      <c r="S311">
        <v>5869</v>
      </c>
      <c r="T311" t="str" cm="1">
        <f t="array" ref="T311">_xlfn.IFS(S311&gt;=10000,"High (&gt;10k)",S311&gt;=5000,"Medium (5k-10k)",S311&lt;5000,"Low (&lt;5k)")</f>
        <v>Medium (5k-10k)</v>
      </c>
      <c r="U311">
        <v>23413</v>
      </c>
      <c r="V311">
        <v>9</v>
      </c>
      <c r="W311" t="s">
        <v>43</v>
      </c>
      <c r="X311">
        <v>11</v>
      </c>
      <c r="Y311">
        <v>3</v>
      </c>
      <c r="Z311">
        <v>3</v>
      </c>
      <c r="AA311">
        <v>0</v>
      </c>
      <c r="AB311">
        <v>8</v>
      </c>
      <c r="AC311">
        <v>2</v>
      </c>
      <c r="AD311" t="s">
        <v>74</v>
      </c>
      <c r="AE311">
        <v>5</v>
      </c>
      <c r="AF311" t="str" cm="1">
        <f t="array" ref="AF311">_xlfn.IFS(AE311&gt;=10,"Veteran (10y+)",AE311&gt;=3,"Established (3-10y)",AE311&lt;3,"New Hire (&lt;3y)")</f>
        <v>Established (3-10y)</v>
      </c>
      <c r="AG311">
        <v>2</v>
      </c>
      <c r="AH311">
        <v>1</v>
      </c>
      <c r="AI311">
        <v>4</v>
      </c>
    </row>
    <row r="312" spans="1:35">
      <c r="A312">
        <v>29</v>
      </c>
      <c r="B312" t="str">
        <f t="shared" si="4"/>
        <v>Young Adults</v>
      </c>
      <c r="C312">
        <v>0</v>
      </c>
      <c r="D312" t="s">
        <v>36</v>
      </c>
      <c r="E312">
        <v>991</v>
      </c>
      <c r="F312" t="s">
        <v>37</v>
      </c>
      <c r="G312">
        <v>5</v>
      </c>
      <c r="H312" t="str" cm="1">
        <f t="array" ref="H312">_xlfn.IFS(G312&gt;15,"Long Commute",G312&gt;5,"Moderate",G312&lt;=5,"Near Office")</f>
        <v>Near Office</v>
      </c>
      <c r="I312" t="s">
        <v>72</v>
      </c>
      <c r="J312" t="s">
        <v>51</v>
      </c>
      <c r="K312">
        <v>1</v>
      </c>
      <c r="L312" t="s">
        <v>46</v>
      </c>
      <c r="M312">
        <v>43</v>
      </c>
      <c r="N312">
        <v>2</v>
      </c>
      <c r="O312">
        <v>2</v>
      </c>
      <c r="P312" t="s">
        <v>40</v>
      </c>
      <c r="Q312" t="s">
        <v>75</v>
      </c>
      <c r="R312" t="s">
        <v>52</v>
      </c>
      <c r="S312">
        <v>4187</v>
      </c>
      <c r="T312" t="str" cm="1">
        <f t="array" ref="T312">_xlfn.IFS(S312&gt;=10000,"High (&gt;10k)",S312&gt;=5000,"Medium (5k-10k)",S312&lt;5000,"Low (&lt;5k)")</f>
        <v>Low (&lt;5k)</v>
      </c>
      <c r="U312">
        <v>3356</v>
      </c>
      <c r="V312">
        <v>1</v>
      </c>
      <c r="W312" t="s">
        <v>35</v>
      </c>
      <c r="X312">
        <v>13</v>
      </c>
      <c r="Y312">
        <v>3</v>
      </c>
      <c r="Z312">
        <v>2</v>
      </c>
      <c r="AA312">
        <v>1</v>
      </c>
      <c r="AB312">
        <v>10</v>
      </c>
      <c r="AC312">
        <v>3</v>
      </c>
      <c r="AD312" t="s">
        <v>81</v>
      </c>
      <c r="AE312">
        <v>10</v>
      </c>
      <c r="AF312" t="str" cm="1">
        <f t="array" ref="AF312">_xlfn.IFS(AE312&gt;=10,"Veteran (10y+)",AE312&gt;=3,"Established (3-10y)",AE312&lt;3,"New Hire (&lt;3y)")</f>
        <v>Veteran (10y+)</v>
      </c>
      <c r="AG312">
        <v>0</v>
      </c>
      <c r="AH312">
        <v>0</v>
      </c>
      <c r="AI312">
        <v>9</v>
      </c>
    </row>
    <row r="313" spans="1:35">
      <c r="A313">
        <v>29</v>
      </c>
      <c r="B313" t="str">
        <f t="shared" si="4"/>
        <v>Young Adults</v>
      </c>
      <c r="C313">
        <v>0</v>
      </c>
      <c r="D313" t="s">
        <v>36</v>
      </c>
      <c r="E313">
        <v>1082</v>
      </c>
      <c r="F313" t="s">
        <v>45</v>
      </c>
      <c r="G313">
        <v>9</v>
      </c>
      <c r="H313" t="str" cm="1">
        <f t="array" ref="H313">_xlfn.IFS(G313&gt;15,"Long Commute",G313&gt;5,"Moderate",G313&lt;=5,"Near Office")</f>
        <v>Moderate</v>
      </c>
      <c r="I313" t="s">
        <v>83</v>
      </c>
      <c r="J313" t="s">
        <v>51</v>
      </c>
      <c r="K313">
        <v>4</v>
      </c>
      <c r="L313" t="s">
        <v>39</v>
      </c>
      <c r="M313">
        <v>43</v>
      </c>
      <c r="N313">
        <v>3</v>
      </c>
      <c r="O313">
        <v>1</v>
      </c>
      <c r="P313" t="s">
        <v>50</v>
      </c>
      <c r="Q313" t="s">
        <v>73</v>
      </c>
      <c r="R313" t="s">
        <v>48</v>
      </c>
      <c r="S313">
        <v>2974</v>
      </c>
      <c r="T313" t="str" cm="1">
        <f t="array" ref="T313">_xlfn.IFS(S313&gt;=10000,"High (&gt;10k)",S313&gt;=5000,"Medium (5k-10k)",S313&lt;5000,"Low (&lt;5k)")</f>
        <v>Low (&lt;5k)</v>
      </c>
      <c r="U313">
        <v>25412</v>
      </c>
      <c r="V313">
        <v>9</v>
      </c>
      <c r="W313" t="s">
        <v>43</v>
      </c>
      <c r="X313">
        <v>17</v>
      </c>
      <c r="Y313">
        <v>3</v>
      </c>
      <c r="Z313">
        <v>3</v>
      </c>
      <c r="AA313">
        <v>1</v>
      </c>
      <c r="AB313">
        <v>9</v>
      </c>
      <c r="AC313">
        <v>2</v>
      </c>
      <c r="AD313" t="s">
        <v>74</v>
      </c>
      <c r="AE313">
        <v>5</v>
      </c>
      <c r="AF313" t="str" cm="1">
        <f t="array" ref="AF313">_xlfn.IFS(AE313&gt;=10,"Veteran (10y+)",AE313&gt;=3,"Established (3-10y)",AE313&lt;3,"New Hire (&lt;3y)")</f>
        <v>Established (3-10y)</v>
      </c>
      <c r="AG313">
        <v>3</v>
      </c>
      <c r="AH313">
        <v>1</v>
      </c>
      <c r="AI313">
        <v>2</v>
      </c>
    </row>
    <row r="314" spans="1:35">
      <c r="A314">
        <v>29</v>
      </c>
      <c r="B314" t="str">
        <f t="shared" si="4"/>
        <v>Young Adults</v>
      </c>
      <c r="C314">
        <v>1</v>
      </c>
      <c r="D314" t="s">
        <v>36</v>
      </c>
      <c r="E314">
        <v>428</v>
      </c>
      <c r="F314" t="s">
        <v>37</v>
      </c>
      <c r="G314">
        <v>9</v>
      </c>
      <c r="H314" t="str" cm="1">
        <f t="array" ref="H314">_xlfn.IFS(G314&gt;15,"Long Commute",G314&gt;5,"Moderate",G314&lt;=5,"Near Office")</f>
        <v>Moderate</v>
      </c>
      <c r="I314" t="s">
        <v>72</v>
      </c>
      <c r="J314" t="s">
        <v>59</v>
      </c>
      <c r="K314">
        <v>2</v>
      </c>
      <c r="L314" t="s">
        <v>39</v>
      </c>
      <c r="M314">
        <v>52</v>
      </c>
      <c r="N314">
        <v>1</v>
      </c>
      <c r="O314">
        <v>1</v>
      </c>
      <c r="P314" t="s">
        <v>57</v>
      </c>
      <c r="Q314" t="s">
        <v>75</v>
      </c>
      <c r="R314" t="s">
        <v>41</v>
      </c>
      <c r="S314">
        <v>2760</v>
      </c>
      <c r="T314" t="str" cm="1">
        <f t="array" ref="T314">_xlfn.IFS(S314&gt;=10000,"High (&gt;10k)",S314&gt;=5000,"Medium (5k-10k)",S314&lt;5000,"Low (&lt;5k)")</f>
        <v>Low (&lt;5k)</v>
      </c>
      <c r="U314">
        <v>14630</v>
      </c>
      <c r="V314">
        <v>1</v>
      </c>
      <c r="W314" t="s">
        <v>43</v>
      </c>
      <c r="X314">
        <v>13</v>
      </c>
      <c r="Y314">
        <v>3</v>
      </c>
      <c r="Z314">
        <v>3</v>
      </c>
      <c r="AA314">
        <v>0</v>
      </c>
      <c r="AB314">
        <v>2</v>
      </c>
      <c r="AC314">
        <v>3</v>
      </c>
      <c r="AD314" t="s">
        <v>74</v>
      </c>
      <c r="AE314">
        <v>2</v>
      </c>
      <c r="AF314" t="str" cm="1">
        <f t="array" ref="AF314">_xlfn.IFS(AE314&gt;=10,"Veteran (10y+)",AE314&gt;=3,"Established (3-10y)",AE314&lt;3,"New Hire (&lt;3y)")</f>
        <v>New Hire (&lt;3y)</v>
      </c>
      <c r="AG314">
        <v>2</v>
      </c>
      <c r="AH314">
        <v>2</v>
      </c>
      <c r="AI314">
        <v>2</v>
      </c>
    </row>
    <row r="315" spans="1:35">
      <c r="A315">
        <v>29</v>
      </c>
      <c r="B315" t="str">
        <f t="shared" si="4"/>
        <v>Young Adults</v>
      </c>
      <c r="C315">
        <v>0</v>
      </c>
      <c r="D315" t="s">
        <v>44</v>
      </c>
      <c r="E315">
        <v>461</v>
      </c>
      <c r="F315" t="s">
        <v>45</v>
      </c>
      <c r="G315">
        <v>1</v>
      </c>
      <c r="H315" t="str" cm="1">
        <f t="array" ref="H315">_xlfn.IFS(G315&gt;15,"Long Commute",G315&gt;5,"Moderate",G315&lt;=5,"Near Office")</f>
        <v>Near Office</v>
      </c>
      <c r="I315" t="s">
        <v>72</v>
      </c>
      <c r="J315" t="s">
        <v>38</v>
      </c>
      <c r="K315">
        <v>4</v>
      </c>
      <c r="L315" t="s">
        <v>46</v>
      </c>
      <c r="M315">
        <v>70</v>
      </c>
      <c r="N315">
        <v>4</v>
      </c>
      <c r="O315">
        <v>2</v>
      </c>
      <c r="P315" t="s">
        <v>54</v>
      </c>
      <c r="Q315" t="s">
        <v>73</v>
      </c>
      <c r="R315" t="s">
        <v>41</v>
      </c>
      <c r="S315">
        <v>6294</v>
      </c>
      <c r="T315" t="str" cm="1">
        <f t="array" ref="T315">_xlfn.IFS(S315&gt;=10000,"High (&gt;10k)",S315&gt;=5000,"Medium (5k-10k)",S315&lt;5000,"Low (&lt;5k)")</f>
        <v>Medium (5k-10k)</v>
      </c>
      <c r="U315">
        <v>23060</v>
      </c>
      <c r="V315">
        <v>8</v>
      </c>
      <c r="W315" t="s">
        <v>35</v>
      </c>
      <c r="X315">
        <v>12</v>
      </c>
      <c r="Y315">
        <v>3</v>
      </c>
      <c r="Z315">
        <v>4</v>
      </c>
      <c r="AA315">
        <v>0</v>
      </c>
      <c r="AB315">
        <v>10</v>
      </c>
      <c r="AC315">
        <v>5</v>
      </c>
      <c r="AD315" t="s">
        <v>79</v>
      </c>
      <c r="AE315">
        <v>3</v>
      </c>
      <c r="AF315" t="str" cm="1">
        <f t="array" ref="AF315">_xlfn.IFS(AE315&gt;=10,"Veteran (10y+)",AE315&gt;=3,"Established (3-10y)",AE315&lt;3,"New Hire (&lt;3y)")</f>
        <v>Established (3-10y)</v>
      </c>
      <c r="AG315">
        <v>2</v>
      </c>
      <c r="AH315">
        <v>0</v>
      </c>
      <c r="AI315">
        <v>2</v>
      </c>
    </row>
    <row r="316" spans="1:35">
      <c r="A316">
        <v>29</v>
      </c>
      <c r="B316" t="str">
        <f t="shared" si="4"/>
        <v>Young Adults</v>
      </c>
      <c r="C316">
        <v>0</v>
      </c>
      <c r="D316" t="s">
        <v>36</v>
      </c>
      <c r="E316">
        <v>590</v>
      </c>
      <c r="F316" t="s">
        <v>45</v>
      </c>
      <c r="G316">
        <v>4</v>
      </c>
      <c r="H316" t="str" cm="1">
        <f t="array" ref="H316">_xlfn.IFS(G316&gt;15,"Long Commute",G316&gt;5,"Moderate",G316&lt;=5,"Near Office")</f>
        <v>Near Office</v>
      </c>
      <c r="I316" t="s">
        <v>72</v>
      </c>
      <c r="J316" t="s">
        <v>60</v>
      </c>
      <c r="K316">
        <v>4</v>
      </c>
      <c r="L316" t="s">
        <v>39</v>
      </c>
      <c r="M316">
        <v>91</v>
      </c>
      <c r="N316">
        <v>2</v>
      </c>
      <c r="O316">
        <v>1</v>
      </c>
      <c r="P316" t="s">
        <v>47</v>
      </c>
      <c r="Q316" t="s">
        <v>82</v>
      </c>
      <c r="R316" t="s">
        <v>52</v>
      </c>
      <c r="S316">
        <v>2109</v>
      </c>
      <c r="T316" t="str" cm="1">
        <f t="array" ref="T316">_xlfn.IFS(S316&gt;=10000,"High (&gt;10k)",S316&gt;=5000,"Medium (5k-10k)",S316&lt;5000,"Low (&lt;5k)")</f>
        <v>Low (&lt;5k)</v>
      </c>
      <c r="U316">
        <v>10007</v>
      </c>
      <c r="V316">
        <v>1</v>
      </c>
      <c r="W316" t="s">
        <v>43</v>
      </c>
      <c r="X316">
        <v>13</v>
      </c>
      <c r="Y316">
        <v>3</v>
      </c>
      <c r="Z316">
        <v>3</v>
      </c>
      <c r="AA316">
        <v>1</v>
      </c>
      <c r="AB316">
        <v>1</v>
      </c>
      <c r="AC316">
        <v>2</v>
      </c>
      <c r="AD316" t="s">
        <v>74</v>
      </c>
      <c r="AE316">
        <v>1</v>
      </c>
      <c r="AF316" t="str" cm="1">
        <f t="array" ref="AF316">_xlfn.IFS(AE316&gt;=10,"Veteran (10y+)",AE316&gt;=3,"Established (3-10y)",AE316&lt;3,"New Hire (&lt;3y)")</f>
        <v>New Hire (&lt;3y)</v>
      </c>
      <c r="AG316">
        <v>0</v>
      </c>
      <c r="AH316">
        <v>0</v>
      </c>
      <c r="AI316">
        <v>0</v>
      </c>
    </row>
    <row r="317" spans="1:35">
      <c r="A317">
        <v>29</v>
      </c>
      <c r="B317" t="str">
        <f t="shared" si="4"/>
        <v>Young Adults</v>
      </c>
      <c r="C317">
        <v>1</v>
      </c>
      <c r="D317" t="s">
        <v>36</v>
      </c>
      <c r="E317">
        <v>350</v>
      </c>
      <c r="F317" t="s">
        <v>61</v>
      </c>
      <c r="G317">
        <v>13</v>
      </c>
      <c r="H317" t="str" cm="1">
        <f t="array" ref="H317">_xlfn.IFS(G317&gt;15,"Long Commute",G317&gt;5,"Moderate",G317&lt;=5,"Near Office")</f>
        <v>Moderate</v>
      </c>
      <c r="I317" t="s">
        <v>72</v>
      </c>
      <c r="J317" t="s">
        <v>61</v>
      </c>
      <c r="K317">
        <v>1</v>
      </c>
      <c r="L317" t="s">
        <v>46</v>
      </c>
      <c r="M317">
        <v>56</v>
      </c>
      <c r="N317">
        <v>2</v>
      </c>
      <c r="O317">
        <v>1</v>
      </c>
      <c r="P317" t="s">
        <v>61</v>
      </c>
      <c r="Q317" t="s">
        <v>82</v>
      </c>
      <c r="R317" t="s">
        <v>52</v>
      </c>
      <c r="S317">
        <v>2335</v>
      </c>
      <c r="T317" t="str" cm="1">
        <f t="array" ref="T317">_xlfn.IFS(S317&gt;=10000,"High (&gt;10k)",S317&gt;=5000,"Medium (5k-10k)",S317&lt;5000,"Low (&lt;5k)")</f>
        <v>Low (&lt;5k)</v>
      </c>
      <c r="U317">
        <v>3157</v>
      </c>
      <c r="V317">
        <v>4</v>
      </c>
      <c r="W317" t="s">
        <v>35</v>
      </c>
      <c r="X317">
        <v>15</v>
      </c>
      <c r="Y317">
        <v>3</v>
      </c>
      <c r="Z317">
        <v>4</v>
      </c>
      <c r="AA317">
        <v>3</v>
      </c>
      <c r="AB317">
        <v>4</v>
      </c>
      <c r="AC317">
        <v>3</v>
      </c>
      <c r="AD317" t="s">
        <v>74</v>
      </c>
      <c r="AE317">
        <v>2</v>
      </c>
      <c r="AF317" t="str" cm="1">
        <f t="array" ref="AF317">_xlfn.IFS(AE317&gt;=10,"Veteran (10y+)",AE317&gt;=3,"Established (3-10y)",AE317&lt;3,"New Hire (&lt;3y)")</f>
        <v>New Hire (&lt;3y)</v>
      </c>
      <c r="AG317">
        <v>2</v>
      </c>
      <c r="AH317">
        <v>2</v>
      </c>
      <c r="AI317">
        <v>0</v>
      </c>
    </row>
    <row r="318" spans="1:35">
      <c r="A318">
        <v>29</v>
      </c>
      <c r="B318" t="str">
        <f t="shared" si="4"/>
        <v>Young Adults</v>
      </c>
      <c r="C318">
        <v>0</v>
      </c>
      <c r="D318" t="s">
        <v>44</v>
      </c>
      <c r="E318">
        <v>574</v>
      </c>
      <c r="F318" t="s">
        <v>45</v>
      </c>
      <c r="G318">
        <v>20</v>
      </c>
      <c r="H318" t="str" cm="1">
        <f t="array" ref="H318">_xlfn.IFS(G318&gt;15,"Long Commute",G318&gt;5,"Moderate",G318&lt;=5,"Near Office")</f>
        <v>Long Commute</v>
      </c>
      <c r="I318" t="s">
        <v>78</v>
      </c>
      <c r="J318" t="s">
        <v>51</v>
      </c>
      <c r="K318">
        <v>4</v>
      </c>
      <c r="L318" t="s">
        <v>46</v>
      </c>
      <c r="M318">
        <v>40</v>
      </c>
      <c r="N318">
        <v>3</v>
      </c>
      <c r="O318">
        <v>1</v>
      </c>
      <c r="P318" t="s">
        <v>50</v>
      </c>
      <c r="Q318" t="s">
        <v>77</v>
      </c>
      <c r="R318" t="s">
        <v>48</v>
      </c>
      <c r="S318">
        <v>3812</v>
      </c>
      <c r="T318" t="str" cm="1">
        <f t="array" ref="T318">_xlfn.IFS(S318&gt;=10000,"High (&gt;10k)",S318&gt;=5000,"Medium (5k-10k)",S318&lt;5000,"Low (&lt;5k)")</f>
        <v>Low (&lt;5k)</v>
      </c>
      <c r="U318">
        <v>7003</v>
      </c>
      <c r="V318">
        <v>1</v>
      </c>
      <c r="W318" t="s">
        <v>43</v>
      </c>
      <c r="X318">
        <v>13</v>
      </c>
      <c r="Y318">
        <v>3</v>
      </c>
      <c r="Z318">
        <v>2</v>
      </c>
      <c r="AA318">
        <v>0</v>
      </c>
      <c r="AB318">
        <v>11</v>
      </c>
      <c r="AC318">
        <v>3</v>
      </c>
      <c r="AD318" t="s">
        <v>79</v>
      </c>
      <c r="AE318">
        <v>11</v>
      </c>
      <c r="AF318" t="str" cm="1">
        <f t="array" ref="AF318">_xlfn.IFS(AE318&gt;=10,"Veteran (10y+)",AE318&gt;=3,"Established (3-10y)",AE318&lt;3,"New Hire (&lt;3y)")</f>
        <v>Veteran (10y+)</v>
      </c>
      <c r="AG318">
        <v>8</v>
      </c>
      <c r="AH318">
        <v>3</v>
      </c>
      <c r="AI318">
        <v>10</v>
      </c>
    </row>
    <row r="319" spans="1:35">
      <c r="A319">
        <v>29</v>
      </c>
      <c r="B319" t="str">
        <f t="shared" si="4"/>
        <v>Young Adults</v>
      </c>
      <c r="C319">
        <v>0</v>
      </c>
      <c r="D319" t="s">
        <v>36</v>
      </c>
      <c r="E319">
        <v>726</v>
      </c>
      <c r="F319" t="s">
        <v>45</v>
      </c>
      <c r="G319">
        <v>29</v>
      </c>
      <c r="H319" t="str" cm="1">
        <f t="array" ref="H319">_xlfn.IFS(G319&gt;15,"Long Commute",G319&gt;5,"Moderate",G319&lt;=5,"Near Office")</f>
        <v>Long Commute</v>
      </c>
      <c r="I319" t="s">
        <v>78</v>
      </c>
      <c r="J319" t="s">
        <v>38</v>
      </c>
      <c r="K319">
        <v>4</v>
      </c>
      <c r="L319" t="s">
        <v>46</v>
      </c>
      <c r="M319">
        <v>93</v>
      </c>
      <c r="N319">
        <v>1</v>
      </c>
      <c r="O319">
        <v>2</v>
      </c>
      <c r="P319" t="s">
        <v>54</v>
      </c>
      <c r="Q319" t="s">
        <v>73</v>
      </c>
      <c r="R319" t="s">
        <v>52</v>
      </c>
      <c r="S319">
        <v>6384</v>
      </c>
      <c r="T319" t="str" cm="1">
        <f t="array" ref="T319">_xlfn.IFS(S319&gt;=10000,"High (&gt;10k)",S319&gt;=5000,"Medium (5k-10k)",S319&lt;5000,"Low (&lt;5k)")</f>
        <v>Medium (5k-10k)</v>
      </c>
      <c r="U319">
        <v>21143</v>
      </c>
      <c r="V319">
        <v>8</v>
      </c>
      <c r="W319" t="s">
        <v>43</v>
      </c>
      <c r="X319">
        <v>17</v>
      </c>
      <c r="Y319">
        <v>3</v>
      </c>
      <c r="Z319">
        <v>4</v>
      </c>
      <c r="AA319">
        <v>2</v>
      </c>
      <c r="AB319">
        <v>11</v>
      </c>
      <c r="AC319">
        <v>3</v>
      </c>
      <c r="AD319" t="s">
        <v>74</v>
      </c>
      <c r="AE319">
        <v>7</v>
      </c>
      <c r="AF319" t="str" cm="1">
        <f t="array" ref="AF319">_xlfn.IFS(AE319&gt;=10,"Veteran (10y+)",AE319&gt;=3,"Established (3-10y)",AE319&lt;3,"New Hire (&lt;3y)")</f>
        <v>Established (3-10y)</v>
      </c>
      <c r="AG319">
        <v>0</v>
      </c>
      <c r="AH319">
        <v>1</v>
      </c>
      <c r="AI319">
        <v>6</v>
      </c>
    </row>
    <row r="320" spans="1:35">
      <c r="A320">
        <v>29</v>
      </c>
      <c r="B320" t="str">
        <f t="shared" si="4"/>
        <v>Young Adults</v>
      </c>
      <c r="C320">
        <v>0</v>
      </c>
      <c r="D320" t="s">
        <v>36</v>
      </c>
      <c r="E320">
        <v>352</v>
      </c>
      <c r="F320" t="s">
        <v>61</v>
      </c>
      <c r="G320">
        <v>6</v>
      </c>
      <c r="H320" t="str" cm="1">
        <f t="array" ref="H320">_xlfn.IFS(G320&gt;15,"Long Commute",G320&gt;5,"Moderate",G320&lt;=5,"Near Office")</f>
        <v>Moderate</v>
      </c>
      <c r="I320" t="s">
        <v>78</v>
      </c>
      <c r="J320" t="s">
        <v>51</v>
      </c>
      <c r="K320">
        <v>4</v>
      </c>
      <c r="L320" t="s">
        <v>46</v>
      </c>
      <c r="M320">
        <v>87</v>
      </c>
      <c r="N320">
        <v>2</v>
      </c>
      <c r="O320">
        <v>1</v>
      </c>
      <c r="P320" t="s">
        <v>61</v>
      </c>
      <c r="Q320" t="s">
        <v>75</v>
      </c>
      <c r="R320" t="s">
        <v>48</v>
      </c>
      <c r="S320">
        <v>2804</v>
      </c>
      <c r="T320" t="str" cm="1">
        <f t="array" ref="T320">_xlfn.IFS(S320&gt;=10000,"High (&gt;10k)",S320&gt;=5000,"Medium (5k-10k)",S320&lt;5000,"Low (&lt;5k)")</f>
        <v>Low (&lt;5k)</v>
      </c>
      <c r="U320">
        <v>15434</v>
      </c>
      <c r="V320">
        <v>1</v>
      </c>
      <c r="W320" t="s">
        <v>43</v>
      </c>
      <c r="X320">
        <v>11</v>
      </c>
      <c r="Y320">
        <v>3</v>
      </c>
      <c r="Z320">
        <v>4</v>
      </c>
      <c r="AA320">
        <v>0</v>
      </c>
      <c r="AB320">
        <v>1</v>
      </c>
      <c r="AC320">
        <v>3</v>
      </c>
      <c r="AD320" t="s">
        <v>74</v>
      </c>
      <c r="AE320">
        <v>1</v>
      </c>
      <c r="AF320" t="str" cm="1">
        <f t="array" ref="AF320">_xlfn.IFS(AE320&gt;=10,"Veteran (10y+)",AE320&gt;=3,"Established (3-10y)",AE320&lt;3,"New Hire (&lt;3y)")</f>
        <v>New Hire (&lt;3y)</v>
      </c>
      <c r="AG320">
        <v>0</v>
      </c>
      <c r="AH320">
        <v>0</v>
      </c>
      <c r="AI320">
        <v>0</v>
      </c>
    </row>
    <row r="321" spans="1:35">
      <c r="A321">
        <v>29</v>
      </c>
      <c r="B321" t="str">
        <f t="shared" si="4"/>
        <v>Young Adults</v>
      </c>
      <c r="C321">
        <v>1</v>
      </c>
      <c r="D321" t="s">
        <v>44</v>
      </c>
      <c r="E321">
        <v>459</v>
      </c>
      <c r="F321" t="s">
        <v>45</v>
      </c>
      <c r="G321">
        <v>24</v>
      </c>
      <c r="H321" t="str" cm="1">
        <f t="array" ref="H321">_xlfn.IFS(G321&gt;15,"Long Commute",G321&gt;5,"Moderate",G321&lt;=5,"Near Office")</f>
        <v>Long Commute</v>
      </c>
      <c r="I321" t="s">
        <v>76</v>
      </c>
      <c r="J321" t="s">
        <v>38</v>
      </c>
      <c r="K321">
        <v>4</v>
      </c>
      <c r="L321" t="s">
        <v>46</v>
      </c>
      <c r="M321">
        <v>73</v>
      </c>
      <c r="N321">
        <v>2</v>
      </c>
      <c r="O321">
        <v>1</v>
      </c>
      <c r="P321" t="s">
        <v>47</v>
      </c>
      <c r="Q321" t="s">
        <v>77</v>
      </c>
      <c r="R321" t="s">
        <v>41</v>
      </c>
      <c r="S321">
        <v>2439</v>
      </c>
      <c r="T321" t="str" cm="1">
        <f t="array" ref="T321">_xlfn.IFS(S321&gt;=10000,"High (&gt;10k)",S321&gt;=5000,"Medium (5k-10k)",S321&lt;5000,"Low (&lt;5k)")</f>
        <v>Low (&lt;5k)</v>
      </c>
      <c r="U321">
        <v>14753</v>
      </c>
      <c r="V321">
        <v>1</v>
      </c>
      <c r="W321" t="s">
        <v>35</v>
      </c>
      <c r="X321">
        <v>24</v>
      </c>
      <c r="Y321">
        <v>4</v>
      </c>
      <c r="Z321">
        <v>2</v>
      </c>
      <c r="AA321">
        <v>0</v>
      </c>
      <c r="AB321">
        <v>1</v>
      </c>
      <c r="AC321">
        <v>3</v>
      </c>
      <c r="AD321" t="s">
        <v>81</v>
      </c>
      <c r="AE321">
        <v>1</v>
      </c>
      <c r="AF321" t="str" cm="1">
        <f t="array" ref="AF321">_xlfn.IFS(AE321&gt;=10,"Veteran (10y+)",AE321&gt;=3,"Established (3-10y)",AE321&lt;3,"New Hire (&lt;3y)")</f>
        <v>New Hire (&lt;3y)</v>
      </c>
      <c r="AG321">
        <v>0</v>
      </c>
      <c r="AH321">
        <v>1</v>
      </c>
      <c r="AI321">
        <v>0</v>
      </c>
    </row>
    <row r="322" spans="1:35">
      <c r="A322">
        <v>29</v>
      </c>
      <c r="B322" t="str">
        <f t="shared" si="4"/>
        <v>Young Adults</v>
      </c>
      <c r="C322">
        <v>0</v>
      </c>
      <c r="D322" t="s">
        <v>36</v>
      </c>
      <c r="E322">
        <v>592</v>
      </c>
      <c r="F322" t="s">
        <v>45</v>
      </c>
      <c r="G322">
        <v>7</v>
      </c>
      <c r="H322" t="str" cm="1">
        <f t="array" ref="H322">_xlfn.IFS(G322&gt;15,"Long Commute",G322&gt;5,"Moderate",G322&lt;=5,"Near Office")</f>
        <v>Moderate</v>
      </c>
      <c r="I322" t="s">
        <v>72</v>
      </c>
      <c r="J322" t="s">
        <v>38</v>
      </c>
      <c r="K322">
        <v>4</v>
      </c>
      <c r="L322" t="s">
        <v>46</v>
      </c>
      <c r="M322">
        <v>59</v>
      </c>
      <c r="N322">
        <v>3</v>
      </c>
      <c r="O322">
        <v>1</v>
      </c>
      <c r="P322" t="s">
        <v>50</v>
      </c>
      <c r="Q322" t="s">
        <v>82</v>
      </c>
      <c r="R322" t="s">
        <v>41</v>
      </c>
      <c r="S322">
        <v>2062</v>
      </c>
      <c r="T322" t="str" cm="1">
        <f t="array" ref="T322">_xlfn.IFS(S322&gt;=10000,"High (&gt;10k)",S322&gt;=5000,"Medium (5k-10k)",S322&lt;5000,"Low (&lt;5k)")</f>
        <v>Low (&lt;5k)</v>
      </c>
      <c r="U322">
        <v>19384</v>
      </c>
      <c r="V322">
        <v>3</v>
      </c>
      <c r="W322" t="s">
        <v>43</v>
      </c>
      <c r="X322">
        <v>14</v>
      </c>
      <c r="Y322">
        <v>3</v>
      </c>
      <c r="Z322">
        <v>2</v>
      </c>
      <c r="AA322">
        <v>0</v>
      </c>
      <c r="AB322">
        <v>11</v>
      </c>
      <c r="AC322">
        <v>2</v>
      </c>
      <c r="AD322" t="s">
        <v>74</v>
      </c>
      <c r="AE322">
        <v>3</v>
      </c>
      <c r="AF322" t="str" cm="1">
        <f t="array" ref="AF322">_xlfn.IFS(AE322&gt;=10,"Veteran (10y+)",AE322&gt;=3,"Established (3-10y)",AE322&lt;3,"New Hire (&lt;3y)")</f>
        <v>Established (3-10y)</v>
      </c>
      <c r="AG322">
        <v>2</v>
      </c>
      <c r="AH322">
        <v>1</v>
      </c>
      <c r="AI322">
        <v>2</v>
      </c>
    </row>
    <row r="323" spans="1:35">
      <c r="A323">
        <v>29</v>
      </c>
      <c r="B323" t="str">
        <f t="shared" ref="B323:B386" si="5">IF(A323&gt;=46,"Senior",IF(A323&gt;=30,"Middle Aged","Young Adults"))</f>
        <v>Young Adults</v>
      </c>
      <c r="C323">
        <v>1</v>
      </c>
      <c r="D323" t="s">
        <v>44</v>
      </c>
      <c r="E323">
        <v>746</v>
      </c>
      <c r="F323" t="s">
        <v>37</v>
      </c>
      <c r="G323">
        <v>24</v>
      </c>
      <c r="H323" t="str" cm="1">
        <f t="array" ref="H323">_xlfn.IFS(G323&gt;15,"Long Commute",G323&gt;5,"Moderate",G323&lt;=5,"Near Office")</f>
        <v>Long Commute</v>
      </c>
      <c r="I323" t="s">
        <v>72</v>
      </c>
      <c r="J323" t="s">
        <v>60</v>
      </c>
      <c r="K323">
        <v>3</v>
      </c>
      <c r="L323" t="s">
        <v>46</v>
      </c>
      <c r="M323">
        <v>45</v>
      </c>
      <c r="N323">
        <v>4</v>
      </c>
      <c r="O323">
        <v>1</v>
      </c>
      <c r="P323" t="s">
        <v>57</v>
      </c>
      <c r="Q323" t="s">
        <v>82</v>
      </c>
      <c r="R323" t="s">
        <v>41</v>
      </c>
      <c r="S323">
        <v>1091</v>
      </c>
      <c r="T323" t="str" cm="1">
        <f t="array" ref="T323">_xlfn.IFS(S323&gt;=10000,"High (&gt;10k)",S323&gt;=5000,"Medium (5k-10k)",S323&lt;5000,"Low (&lt;5k)")</f>
        <v>Low (&lt;5k)</v>
      </c>
      <c r="U323">
        <v>10642</v>
      </c>
      <c r="V323">
        <v>1</v>
      </c>
      <c r="W323" t="s">
        <v>43</v>
      </c>
      <c r="X323">
        <v>17</v>
      </c>
      <c r="Y323">
        <v>3</v>
      </c>
      <c r="Z323">
        <v>4</v>
      </c>
      <c r="AA323">
        <v>0</v>
      </c>
      <c r="AB323">
        <v>1</v>
      </c>
      <c r="AC323">
        <v>3</v>
      </c>
      <c r="AD323" t="s">
        <v>74</v>
      </c>
      <c r="AE323">
        <v>1</v>
      </c>
      <c r="AF323" t="str" cm="1">
        <f t="array" ref="AF323">_xlfn.IFS(AE323&gt;=10,"Veteran (10y+)",AE323&gt;=3,"Established (3-10y)",AE323&lt;3,"New Hire (&lt;3y)")</f>
        <v>New Hire (&lt;3y)</v>
      </c>
      <c r="AG323">
        <v>0</v>
      </c>
      <c r="AH323">
        <v>0</v>
      </c>
      <c r="AI323">
        <v>0</v>
      </c>
    </row>
    <row r="324" spans="1:35">
      <c r="A324">
        <v>29</v>
      </c>
      <c r="B324" t="str">
        <f t="shared" si="5"/>
        <v>Young Adults</v>
      </c>
      <c r="C324">
        <v>0</v>
      </c>
      <c r="D324" t="s">
        <v>36</v>
      </c>
      <c r="E324">
        <v>136</v>
      </c>
      <c r="F324" t="s">
        <v>45</v>
      </c>
      <c r="G324">
        <v>1</v>
      </c>
      <c r="H324" t="str" cm="1">
        <f t="array" ref="H324">_xlfn.IFS(G324&gt;15,"Long Commute",G324&gt;5,"Moderate",G324&lt;=5,"Near Office")</f>
        <v>Near Office</v>
      </c>
      <c r="I324" t="s">
        <v>72</v>
      </c>
      <c r="J324" t="s">
        <v>38</v>
      </c>
      <c r="K324">
        <v>1</v>
      </c>
      <c r="L324" t="s">
        <v>46</v>
      </c>
      <c r="M324">
        <v>89</v>
      </c>
      <c r="N324">
        <v>3</v>
      </c>
      <c r="O324">
        <v>2</v>
      </c>
      <c r="P324" t="s">
        <v>54</v>
      </c>
      <c r="Q324" t="s">
        <v>82</v>
      </c>
      <c r="R324" t="s">
        <v>48</v>
      </c>
      <c r="S324">
        <v>5373</v>
      </c>
      <c r="T324" t="str" cm="1">
        <f t="array" ref="T324">_xlfn.IFS(S324&gt;=10000,"High (&gt;10k)",S324&gt;=5000,"Medium (5k-10k)",S324&lt;5000,"Low (&lt;5k)")</f>
        <v>Medium (5k-10k)</v>
      </c>
      <c r="U324">
        <v>6225</v>
      </c>
      <c r="V324">
        <v>0</v>
      </c>
      <c r="W324" t="s">
        <v>43</v>
      </c>
      <c r="X324">
        <v>12</v>
      </c>
      <c r="Y324">
        <v>3</v>
      </c>
      <c r="Z324">
        <v>1</v>
      </c>
      <c r="AA324">
        <v>1</v>
      </c>
      <c r="AB324">
        <v>6</v>
      </c>
      <c r="AC324">
        <v>5</v>
      </c>
      <c r="AD324" t="s">
        <v>81</v>
      </c>
      <c r="AE324">
        <v>5</v>
      </c>
      <c r="AF324" t="str" cm="1">
        <f t="array" ref="AF324">_xlfn.IFS(AE324&gt;=10,"Veteran (10y+)",AE324&gt;=3,"Established (3-10y)",AE324&lt;3,"New Hire (&lt;3y)")</f>
        <v>Established (3-10y)</v>
      </c>
      <c r="AG324">
        <v>3</v>
      </c>
      <c r="AH324">
        <v>0</v>
      </c>
      <c r="AI324">
        <v>2</v>
      </c>
    </row>
    <row r="325" spans="1:35">
      <c r="A325">
        <v>29</v>
      </c>
      <c r="B325" t="str">
        <f t="shared" si="5"/>
        <v>Young Adults</v>
      </c>
      <c r="C325">
        <v>1</v>
      </c>
      <c r="D325" t="s">
        <v>36</v>
      </c>
      <c r="E325">
        <v>1092</v>
      </c>
      <c r="F325" t="s">
        <v>45</v>
      </c>
      <c r="G325">
        <v>1</v>
      </c>
      <c r="H325" t="str" cm="1">
        <f t="array" ref="H325">_xlfn.IFS(G325&gt;15,"Long Commute",G325&gt;5,"Moderate",G325&lt;=5,"Near Office")</f>
        <v>Near Office</v>
      </c>
      <c r="I325" t="s">
        <v>83</v>
      </c>
      <c r="J325" t="s">
        <v>51</v>
      </c>
      <c r="K325">
        <v>1</v>
      </c>
      <c r="L325" t="s">
        <v>46</v>
      </c>
      <c r="M325">
        <v>36</v>
      </c>
      <c r="N325">
        <v>3</v>
      </c>
      <c r="O325">
        <v>1</v>
      </c>
      <c r="P325" t="s">
        <v>47</v>
      </c>
      <c r="Q325" t="s">
        <v>77</v>
      </c>
      <c r="R325" t="s">
        <v>48</v>
      </c>
      <c r="S325">
        <v>4787</v>
      </c>
      <c r="T325" t="str" cm="1">
        <f t="array" ref="T325">_xlfn.IFS(S325&gt;=10000,"High (&gt;10k)",S325&gt;=5000,"Medium (5k-10k)",S325&lt;5000,"Low (&lt;5k)")</f>
        <v>Low (&lt;5k)</v>
      </c>
      <c r="U325">
        <v>26124</v>
      </c>
      <c r="V325">
        <v>9</v>
      </c>
      <c r="W325" t="s">
        <v>35</v>
      </c>
      <c r="X325">
        <v>14</v>
      </c>
      <c r="Y325">
        <v>3</v>
      </c>
      <c r="Z325">
        <v>2</v>
      </c>
      <c r="AA325">
        <v>3</v>
      </c>
      <c r="AB325">
        <v>4</v>
      </c>
      <c r="AC325">
        <v>3</v>
      </c>
      <c r="AD325" t="s">
        <v>79</v>
      </c>
      <c r="AE325">
        <v>2</v>
      </c>
      <c r="AF325" t="str" cm="1">
        <f t="array" ref="AF325">_xlfn.IFS(AE325&gt;=10,"Veteran (10y+)",AE325&gt;=3,"Established (3-10y)",AE325&lt;3,"New Hire (&lt;3y)")</f>
        <v>New Hire (&lt;3y)</v>
      </c>
      <c r="AG325">
        <v>2</v>
      </c>
      <c r="AH325">
        <v>2</v>
      </c>
      <c r="AI325">
        <v>2</v>
      </c>
    </row>
    <row r="326" spans="1:35">
      <c r="A326">
        <v>29</v>
      </c>
      <c r="B326" t="str">
        <f t="shared" si="5"/>
        <v>Young Adults</v>
      </c>
      <c r="C326">
        <v>0</v>
      </c>
      <c r="D326" t="s">
        <v>36</v>
      </c>
      <c r="E326">
        <v>1378</v>
      </c>
      <c r="F326" t="s">
        <v>45</v>
      </c>
      <c r="G326">
        <v>13</v>
      </c>
      <c r="H326" t="str" cm="1">
        <f t="array" ref="H326">_xlfn.IFS(G326&gt;15,"Long Commute",G326&gt;5,"Moderate",G326&lt;=5,"Near Office")</f>
        <v>Moderate</v>
      </c>
      <c r="I326" t="s">
        <v>76</v>
      </c>
      <c r="J326" t="s">
        <v>49</v>
      </c>
      <c r="K326">
        <v>4</v>
      </c>
      <c r="L326" t="s">
        <v>46</v>
      </c>
      <c r="M326">
        <v>46</v>
      </c>
      <c r="N326">
        <v>2</v>
      </c>
      <c r="O326">
        <v>2</v>
      </c>
      <c r="P326" t="s">
        <v>50</v>
      </c>
      <c r="Q326" t="s">
        <v>75</v>
      </c>
      <c r="R326" t="s">
        <v>48</v>
      </c>
      <c r="S326">
        <v>4025</v>
      </c>
      <c r="T326" t="str" cm="1">
        <f t="array" ref="T326">_xlfn.IFS(S326&gt;=10000,"High (&gt;10k)",S326&gt;=5000,"Medium (5k-10k)",S326&lt;5000,"Low (&lt;5k)")</f>
        <v>Low (&lt;5k)</v>
      </c>
      <c r="U326">
        <v>23679</v>
      </c>
      <c r="V326">
        <v>4</v>
      </c>
      <c r="W326" t="s">
        <v>35</v>
      </c>
      <c r="X326">
        <v>13</v>
      </c>
      <c r="Y326">
        <v>3</v>
      </c>
      <c r="Z326">
        <v>1</v>
      </c>
      <c r="AA326">
        <v>1</v>
      </c>
      <c r="AB326">
        <v>10</v>
      </c>
      <c r="AC326">
        <v>2</v>
      </c>
      <c r="AD326" t="s">
        <v>74</v>
      </c>
      <c r="AE326">
        <v>4</v>
      </c>
      <c r="AF326" t="str" cm="1">
        <f t="array" ref="AF326">_xlfn.IFS(AE326&gt;=10,"Veteran (10y+)",AE326&gt;=3,"Established (3-10y)",AE326&lt;3,"New Hire (&lt;3y)")</f>
        <v>Established (3-10y)</v>
      </c>
      <c r="AG326">
        <v>3</v>
      </c>
      <c r="AH326">
        <v>0</v>
      </c>
      <c r="AI326">
        <v>3</v>
      </c>
    </row>
    <row r="327" spans="1:35">
      <c r="A327">
        <v>29</v>
      </c>
      <c r="B327" t="str">
        <f t="shared" si="5"/>
        <v>Young Adults</v>
      </c>
      <c r="C327">
        <v>0</v>
      </c>
      <c r="D327" t="s">
        <v>36</v>
      </c>
      <c r="E327">
        <v>468</v>
      </c>
      <c r="F327" t="s">
        <v>45</v>
      </c>
      <c r="G327">
        <v>28</v>
      </c>
      <c r="H327" t="str" cm="1">
        <f t="array" ref="H327">_xlfn.IFS(G327&gt;15,"Long Commute",G327&gt;5,"Moderate",G327&lt;=5,"Near Office")</f>
        <v>Long Commute</v>
      </c>
      <c r="I327" t="s">
        <v>83</v>
      </c>
      <c r="J327" t="s">
        <v>51</v>
      </c>
      <c r="K327">
        <v>4</v>
      </c>
      <c r="L327" t="s">
        <v>39</v>
      </c>
      <c r="M327">
        <v>73</v>
      </c>
      <c r="N327">
        <v>2</v>
      </c>
      <c r="O327">
        <v>1</v>
      </c>
      <c r="P327" t="s">
        <v>47</v>
      </c>
      <c r="Q327" t="s">
        <v>82</v>
      </c>
      <c r="R327" t="s">
        <v>41</v>
      </c>
      <c r="S327">
        <v>3785</v>
      </c>
      <c r="T327" t="str" cm="1">
        <f t="array" ref="T327">_xlfn.IFS(S327&gt;=10000,"High (&gt;10k)",S327&gt;=5000,"Medium (5k-10k)",S327&lt;5000,"Low (&lt;5k)")</f>
        <v>Low (&lt;5k)</v>
      </c>
      <c r="U327">
        <v>8489</v>
      </c>
      <c r="V327">
        <v>1</v>
      </c>
      <c r="W327" t="s">
        <v>43</v>
      </c>
      <c r="X327">
        <v>14</v>
      </c>
      <c r="Y327">
        <v>3</v>
      </c>
      <c r="Z327">
        <v>2</v>
      </c>
      <c r="AA327">
        <v>0</v>
      </c>
      <c r="AB327">
        <v>5</v>
      </c>
      <c r="AC327">
        <v>3</v>
      </c>
      <c r="AD327" t="s">
        <v>80</v>
      </c>
      <c r="AE327">
        <v>5</v>
      </c>
      <c r="AF327" t="str" cm="1">
        <f t="array" ref="AF327">_xlfn.IFS(AE327&gt;=10,"Veteran (10y+)",AE327&gt;=3,"Established (3-10y)",AE327&lt;3,"New Hire (&lt;3y)")</f>
        <v>Established (3-10y)</v>
      </c>
      <c r="AG327">
        <v>4</v>
      </c>
      <c r="AH327">
        <v>0</v>
      </c>
      <c r="AI327">
        <v>4</v>
      </c>
    </row>
    <row r="328" spans="1:35">
      <c r="A328">
        <v>30</v>
      </c>
      <c r="B328" t="str">
        <f t="shared" si="5"/>
        <v>Middle Aged</v>
      </c>
      <c r="C328">
        <v>0</v>
      </c>
      <c r="D328" t="s">
        <v>36</v>
      </c>
      <c r="E328">
        <v>1358</v>
      </c>
      <c r="F328" t="s">
        <v>45</v>
      </c>
      <c r="G328">
        <v>24</v>
      </c>
      <c r="H328" t="str" cm="1">
        <f t="array" ref="H328">_xlfn.IFS(G328&gt;15,"Long Commute",G328&gt;5,"Moderate",G328&lt;=5,"Near Office")</f>
        <v>Long Commute</v>
      </c>
      <c r="I328" t="s">
        <v>78</v>
      </c>
      <c r="J328" t="s">
        <v>38</v>
      </c>
      <c r="K328">
        <v>4</v>
      </c>
      <c r="L328" t="s">
        <v>46</v>
      </c>
      <c r="M328">
        <v>67</v>
      </c>
      <c r="N328">
        <v>3</v>
      </c>
      <c r="O328">
        <v>1</v>
      </c>
      <c r="P328" t="s">
        <v>50</v>
      </c>
      <c r="Q328" t="s">
        <v>73</v>
      </c>
      <c r="R328" t="s">
        <v>52</v>
      </c>
      <c r="S328">
        <v>2693</v>
      </c>
      <c r="T328" t="str" cm="1">
        <f t="array" ref="T328">_xlfn.IFS(S328&gt;=10000,"High (&gt;10k)",S328&gt;=5000,"Medium (5k-10k)",S328&lt;5000,"Low (&lt;5k)")</f>
        <v>Low (&lt;5k)</v>
      </c>
      <c r="U328">
        <v>13335</v>
      </c>
      <c r="V328">
        <v>1</v>
      </c>
      <c r="W328" t="s">
        <v>43</v>
      </c>
      <c r="X328">
        <v>22</v>
      </c>
      <c r="Y328">
        <v>4</v>
      </c>
      <c r="Z328">
        <v>2</v>
      </c>
      <c r="AA328">
        <v>1</v>
      </c>
      <c r="AB328">
        <v>1</v>
      </c>
      <c r="AC328">
        <v>2</v>
      </c>
      <c r="AD328" t="s">
        <v>74</v>
      </c>
      <c r="AE328">
        <v>1</v>
      </c>
      <c r="AF328" t="str" cm="1">
        <f t="array" ref="AF328">_xlfn.IFS(AE328&gt;=10,"Veteran (10y+)",AE328&gt;=3,"Established (3-10y)",AE328&lt;3,"New Hire (&lt;3y)")</f>
        <v>New Hire (&lt;3y)</v>
      </c>
      <c r="AG328">
        <v>0</v>
      </c>
      <c r="AH328">
        <v>0</v>
      </c>
      <c r="AI328">
        <v>0</v>
      </c>
    </row>
    <row r="329" spans="1:35">
      <c r="A329">
        <v>30</v>
      </c>
      <c r="B329" t="str">
        <f t="shared" si="5"/>
        <v>Middle Aged</v>
      </c>
      <c r="C329">
        <v>0</v>
      </c>
      <c r="D329" t="s">
        <v>36</v>
      </c>
      <c r="E329">
        <v>125</v>
      </c>
      <c r="F329" t="s">
        <v>45</v>
      </c>
      <c r="G329">
        <v>9</v>
      </c>
      <c r="H329" t="str" cm="1">
        <f t="array" ref="H329">_xlfn.IFS(G329&gt;15,"Long Commute",G329&gt;5,"Moderate",G329&lt;=5,"Near Office")</f>
        <v>Moderate</v>
      </c>
      <c r="I329" t="s">
        <v>76</v>
      </c>
      <c r="J329" t="s">
        <v>51</v>
      </c>
      <c r="K329">
        <v>4</v>
      </c>
      <c r="L329" t="s">
        <v>46</v>
      </c>
      <c r="M329">
        <v>83</v>
      </c>
      <c r="N329">
        <v>2</v>
      </c>
      <c r="O329">
        <v>1</v>
      </c>
      <c r="P329" t="s">
        <v>50</v>
      </c>
      <c r="Q329" t="s">
        <v>73</v>
      </c>
      <c r="R329" t="s">
        <v>41</v>
      </c>
      <c r="S329">
        <v>2206</v>
      </c>
      <c r="T329" t="str" cm="1">
        <f t="array" ref="T329">_xlfn.IFS(S329&gt;=10000,"High (&gt;10k)",S329&gt;=5000,"Medium (5k-10k)",S329&lt;5000,"Low (&lt;5k)")</f>
        <v>Low (&lt;5k)</v>
      </c>
      <c r="U329">
        <v>16117</v>
      </c>
      <c r="V329">
        <v>1</v>
      </c>
      <c r="W329" t="s">
        <v>43</v>
      </c>
      <c r="X329">
        <v>13</v>
      </c>
      <c r="Y329">
        <v>3</v>
      </c>
      <c r="Z329">
        <v>1</v>
      </c>
      <c r="AA329">
        <v>0</v>
      </c>
      <c r="AB329">
        <v>10</v>
      </c>
      <c r="AC329">
        <v>5</v>
      </c>
      <c r="AD329" t="s">
        <v>74</v>
      </c>
      <c r="AE329">
        <v>10</v>
      </c>
      <c r="AF329" t="str" cm="1">
        <f t="array" ref="AF329">_xlfn.IFS(AE329&gt;=10,"Veteran (10y+)",AE329&gt;=3,"Established (3-10y)",AE329&lt;3,"New Hire (&lt;3y)")</f>
        <v>Veteran (10y+)</v>
      </c>
      <c r="AG329">
        <v>0</v>
      </c>
      <c r="AH329">
        <v>1</v>
      </c>
      <c r="AI329">
        <v>8</v>
      </c>
    </row>
    <row r="330" spans="1:35">
      <c r="A330">
        <v>30</v>
      </c>
      <c r="B330" t="str">
        <f t="shared" si="5"/>
        <v>Middle Aged</v>
      </c>
      <c r="C330">
        <v>0</v>
      </c>
      <c r="D330" t="s">
        <v>44</v>
      </c>
      <c r="E330">
        <v>721</v>
      </c>
      <c r="F330" t="s">
        <v>45</v>
      </c>
      <c r="G330">
        <v>1</v>
      </c>
      <c r="H330" t="str" cm="1">
        <f t="array" ref="H330">_xlfn.IFS(G330&gt;15,"Long Commute",G330&gt;5,"Moderate",G330&lt;=5,"Near Office")</f>
        <v>Near Office</v>
      </c>
      <c r="I330" t="s">
        <v>76</v>
      </c>
      <c r="J330" t="s">
        <v>51</v>
      </c>
      <c r="K330">
        <v>3</v>
      </c>
      <c r="L330" t="s">
        <v>39</v>
      </c>
      <c r="M330">
        <v>58</v>
      </c>
      <c r="N330">
        <v>3</v>
      </c>
      <c r="O330">
        <v>2</v>
      </c>
      <c r="P330" t="s">
        <v>50</v>
      </c>
      <c r="Q330" t="s">
        <v>77</v>
      </c>
      <c r="R330" t="s">
        <v>41</v>
      </c>
      <c r="S330">
        <v>4011</v>
      </c>
      <c r="T330" t="str" cm="1">
        <f t="array" ref="T330">_xlfn.IFS(S330&gt;=10000,"High (&gt;10k)",S330&gt;=5000,"Medium (5k-10k)",S330&lt;5000,"Low (&lt;5k)")</f>
        <v>Low (&lt;5k)</v>
      </c>
      <c r="U330">
        <v>10781</v>
      </c>
      <c r="V330">
        <v>1</v>
      </c>
      <c r="W330" t="s">
        <v>43</v>
      </c>
      <c r="X330">
        <v>23</v>
      </c>
      <c r="Y330">
        <v>4</v>
      </c>
      <c r="Z330">
        <v>4</v>
      </c>
      <c r="AA330">
        <v>0</v>
      </c>
      <c r="AB330">
        <v>12</v>
      </c>
      <c r="AC330">
        <v>2</v>
      </c>
      <c r="AD330" t="s">
        <v>74</v>
      </c>
      <c r="AE330">
        <v>12</v>
      </c>
      <c r="AF330" t="str" cm="1">
        <f t="array" ref="AF330">_xlfn.IFS(AE330&gt;=10,"Veteran (10y+)",AE330&gt;=3,"Established (3-10y)",AE330&lt;3,"New Hire (&lt;3y)")</f>
        <v>Veteran (10y+)</v>
      </c>
      <c r="AG330">
        <v>8</v>
      </c>
      <c r="AH330">
        <v>3</v>
      </c>
      <c r="AI330">
        <v>7</v>
      </c>
    </row>
    <row r="331" spans="1:35">
      <c r="A331">
        <v>30</v>
      </c>
      <c r="B331" t="str">
        <f t="shared" si="5"/>
        <v>Middle Aged</v>
      </c>
      <c r="C331">
        <v>0</v>
      </c>
      <c r="D331" t="s">
        <v>36</v>
      </c>
      <c r="E331">
        <v>852</v>
      </c>
      <c r="F331" t="s">
        <v>45</v>
      </c>
      <c r="G331">
        <v>1</v>
      </c>
      <c r="H331" t="str" cm="1">
        <f t="array" ref="H331">_xlfn.IFS(G331&gt;15,"Long Commute",G331&gt;5,"Moderate",G331&lt;=5,"Near Office")</f>
        <v>Near Office</v>
      </c>
      <c r="I331" t="s">
        <v>78</v>
      </c>
      <c r="J331" t="s">
        <v>38</v>
      </c>
      <c r="K331">
        <v>4</v>
      </c>
      <c r="L331" t="s">
        <v>46</v>
      </c>
      <c r="M331">
        <v>55</v>
      </c>
      <c r="N331">
        <v>2</v>
      </c>
      <c r="O331">
        <v>2</v>
      </c>
      <c r="P331" t="s">
        <v>50</v>
      </c>
      <c r="Q331" t="s">
        <v>77</v>
      </c>
      <c r="R331" t="s">
        <v>48</v>
      </c>
      <c r="S331">
        <v>5126</v>
      </c>
      <c r="T331" t="str" cm="1">
        <f t="array" ref="T331">_xlfn.IFS(S331&gt;=10000,"High (&gt;10k)",S331&gt;=5000,"Medium (5k-10k)",S331&lt;5000,"Low (&lt;5k)")</f>
        <v>Medium (5k-10k)</v>
      </c>
      <c r="U331">
        <v>15998</v>
      </c>
      <c r="V331">
        <v>1</v>
      </c>
      <c r="W331" t="s">
        <v>35</v>
      </c>
      <c r="X331">
        <v>12</v>
      </c>
      <c r="Y331">
        <v>3</v>
      </c>
      <c r="Z331">
        <v>3</v>
      </c>
      <c r="AA331">
        <v>2</v>
      </c>
      <c r="AB331">
        <v>10</v>
      </c>
      <c r="AC331">
        <v>1</v>
      </c>
      <c r="AD331" t="s">
        <v>81</v>
      </c>
      <c r="AE331">
        <v>10</v>
      </c>
      <c r="AF331" t="str" cm="1">
        <f t="array" ref="AF331">_xlfn.IFS(AE331&gt;=10,"Veteran (10y+)",AE331&gt;=3,"Established (3-10y)",AE331&lt;3,"New Hire (&lt;3y)")</f>
        <v>Veteran (10y+)</v>
      </c>
      <c r="AG331">
        <v>8</v>
      </c>
      <c r="AH331">
        <v>3</v>
      </c>
      <c r="AI331">
        <v>0</v>
      </c>
    </row>
    <row r="332" spans="1:35">
      <c r="A332">
        <v>30</v>
      </c>
      <c r="B332" t="str">
        <f t="shared" si="5"/>
        <v>Middle Aged</v>
      </c>
      <c r="C332">
        <v>0</v>
      </c>
      <c r="D332" t="s">
        <v>36</v>
      </c>
      <c r="E332">
        <v>288</v>
      </c>
      <c r="F332" t="s">
        <v>45</v>
      </c>
      <c r="G332">
        <v>2</v>
      </c>
      <c r="H332" t="str" cm="1">
        <f t="array" ref="H332">_xlfn.IFS(G332&gt;15,"Long Commute",G332&gt;5,"Moderate",G332&lt;=5,"Near Office")</f>
        <v>Near Office</v>
      </c>
      <c r="I332" t="s">
        <v>72</v>
      </c>
      <c r="J332" t="s">
        <v>38</v>
      </c>
      <c r="K332">
        <v>3</v>
      </c>
      <c r="L332" t="s">
        <v>46</v>
      </c>
      <c r="M332">
        <v>99</v>
      </c>
      <c r="N332">
        <v>2</v>
      </c>
      <c r="O332">
        <v>2</v>
      </c>
      <c r="P332" t="s">
        <v>54</v>
      </c>
      <c r="Q332" t="s">
        <v>77</v>
      </c>
      <c r="R332" t="s">
        <v>48</v>
      </c>
      <c r="S332">
        <v>4152</v>
      </c>
      <c r="T332" t="str" cm="1">
        <f t="array" ref="T332">_xlfn.IFS(S332&gt;=10000,"High (&gt;10k)",S332&gt;=5000,"Medium (5k-10k)",S332&lt;5000,"Low (&lt;5k)")</f>
        <v>Low (&lt;5k)</v>
      </c>
      <c r="U332">
        <v>15830</v>
      </c>
      <c r="V332">
        <v>1</v>
      </c>
      <c r="W332" t="s">
        <v>43</v>
      </c>
      <c r="X332">
        <v>19</v>
      </c>
      <c r="Y332">
        <v>3</v>
      </c>
      <c r="Z332">
        <v>1</v>
      </c>
      <c r="AA332">
        <v>3</v>
      </c>
      <c r="AB332">
        <v>11</v>
      </c>
      <c r="AC332">
        <v>3</v>
      </c>
      <c r="AD332" t="s">
        <v>74</v>
      </c>
      <c r="AE332">
        <v>11</v>
      </c>
      <c r="AF332" t="str" cm="1">
        <f t="array" ref="AF332">_xlfn.IFS(AE332&gt;=10,"Veteran (10y+)",AE332&gt;=3,"Established (3-10y)",AE332&lt;3,"New Hire (&lt;3y)")</f>
        <v>Veteran (10y+)</v>
      </c>
      <c r="AG332">
        <v>10</v>
      </c>
      <c r="AH332">
        <v>10</v>
      </c>
      <c r="AI332">
        <v>8</v>
      </c>
    </row>
    <row r="333" spans="1:35">
      <c r="A333">
        <v>30</v>
      </c>
      <c r="B333" t="str">
        <f t="shared" si="5"/>
        <v>Middle Aged</v>
      </c>
      <c r="C333">
        <v>0</v>
      </c>
      <c r="D333" t="s">
        <v>36</v>
      </c>
      <c r="E333">
        <v>1334</v>
      </c>
      <c r="F333" t="s">
        <v>37</v>
      </c>
      <c r="G333">
        <v>4</v>
      </c>
      <c r="H333" t="str" cm="1">
        <f t="array" ref="H333">_xlfn.IFS(G333&gt;15,"Long Commute",G333&gt;5,"Moderate",G333&lt;=5,"Near Office")</f>
        <v>Near Office</v>
      </c>
      <c r="I333" t="s">
        <v>76</v>
      </c>
      <c r="J333" t="s">
        <v>51</v>
      </c>
      <c r="K333">
        <v>3</v>
      </c>
      <c r="L333" t="s">
        <v>39</v>
      </c>
      <c r="M333">
        <v>63</v>
      </c>
      <c r="N333">
        <v>2</v>
      </c>
      <c r="O333">
        <v>2</v>
      </c>
      <c r="P333" t="s">
        <v>40</v>
      </c>
      <c r="Q333" t="s">
        <v>75</v>
      </c>
      <c r="R333" t="s">
        <v>52</v>
      </c>
      <c r="S333">
        <v>5209</v>
      </c>
      <c r="T333" t="str" cm="1">
        <f t="array" ref="T333">_xlfn.IFS(S333&gt;=10000,"High (&gt;10k)",S333&gt;=5000,"Medium (5k-10k)",S333&lt;5000,"Low (&lt;5k)")</f>
        <v>Medium (5k-10k)</v>
      </c>
      <c r="U333">
        <v>19760</v>
      </c>
      <c r="V333">
        <v>1</v>
      </c>
      <c r="W333" t="s">
        <v>35</v>
      </c>
      <c r="X333">
        <v>12</v>
      </c>
      <c r="Y333">
        <v>3</v>
      </c>
      <c r="Z333">
        <v>2</v>
      </c>
      <c r="AA333">
        <v>3</v>
      </c>
      <c r="AB333">
        <v>11</v>
      </c>
      <c r="AC333">
        <v>4</v>
      </c>
      <c r="AD333" t="s">
        <v>81</v>
      </c>
      <c r="AE333">
        <v>11</v>
      </c>
      <c r="AF333" t="str" cm="1">
        <f t="array" ref="AF333">_xlfn.IFS(AE333&gt;=10,"Veteran (10y+)",AE333&gt;=3,"Established (3-10y)",AE333&lt;3,"New Hire (&lt;3y)")</f>
        <v>Veteran (10y+)</v>
      </c>
      <c r="AG333">
        <v>8</v>
      </c>
      <c r="AH333">
        <v>2</v>
      </c>
      <c r="AI333">
        <v>7</v>
      </c>
    </row>
    <row r="334" spans="1:35">
      <c r="A334">
        <v>30</v>
      </c>
      <c r="B334" t="str">
        <f t="shared" si="5"/>
        <v>Middle Aged</v>
      </c>
      <c r="C334">
        <v>0</v>
      </c>
      <c r="D334" t="s">
        <v>44</v>
      </c>
      <c r="E334">
        <v>1312</v>
      </c>
      <c r="F334" t="s">
        <v>45</v>
      </c>
      <c r="G334">
        <v>23</v>
      </c>
      <c r="H334" t="str" cm="1">
        <f t="array" ref="H334">_xlfn.IFS(G334&gt;15,"Long Commute",G334&gt;5,"Moderate",G334&lt;=5,"Near Office")</f>
        <v>Long Commute</v>
      </c>
      <c r="I334" t="s">
        <v>72</v>
      </c>
      <c r="J334" t="s">
        <v>38</v>
      </c>
      <c r="K334">
        <v>1</v>
      </c>
      <c r="L334" t="s">
        <v>46</v>
      </c>
      <c r="M334">
        <v>96</v>
      </c>
      <c r="N334">
        <v>1</v>
      </c>
      <c r="O334">
        <v>1</v>
      </c>
      <c r="P334" t="s">
        <v>47</v>
      </c>
      <c r="Q334" t="s">
        <v>73</v>
      </c>
      <c r="R334" t="s">
        <v>52</v>
      </c>
      <c r="S334">
        <v>2613</v>
      </c>
      <c r="T334" t="str" cm="1">
        <f t="array" ref="T334">_xlfn.IFS(S334&gt;=10000,"High (&gt;10k)",S334&gt;=5000,"Medium (5k-10k)",S334&lt;5000,"Low (&lt;5k)")</f>
        <v>Low (&lt;5k)</v>
      </c>
      <c r="U334">
        <v>22310</v>
      </c>
      <c r="V334">
        <v>1</v>
      </c>
      <c r="W334" t="s">
        <v>43</v>
      </c>
      <c r="X334">
        <v>25</v>
      </c>
      <c r="Y334">
        <v>4</v>
      </c>
      <c r="Z334">
        <v>3</v>
      </c>
      <c r="AA334">
        <v>3</v>
      </c>
      <c r="AB334">
        <v>10</v>
      </c>
      <c r="AC334">
        <v>2</v>
      </c>
      <c r="AD334" t="s">
        <v>81</v>
      </c>
      <c r="AE334">
        <v>10</v>
      </c>
      <c r="AF334" t="str" cm="1">
        <f t="array" ref="AF334">_xlfn.IFS(AE334&gt;=10,"Veteran (10y+)",AE334&gt;=3,"Established (3-10y)",AE334&lt;3,"New Hire (&lt;3y)")</f>
        <v>Veteran (10y+)</v>
      </c>
      <c r="AG334">
        <v>7</v>
      </c>
      <c r="AH334">
        <v>0</v>
      </c>
      <c r="AI334">
        <v>9</v>
      </c>
    </row>
    <row r="335" spans="1:35">
      <c r="A335">
        <v>30</v>
      </c>
      <c r="B335" t="str">
        <f t="shared" si="5"/>
        <v>Middle Aged</v>
      </c>
      <c r="C335">
        <v>0</v>
      </c>
      <c r="D335" t="s">
        <v>36</v>
      </c>
      <c r="E335">
        <v>1240</v>
      </c>
      <c r="F335" t="s">
        <v>61</v>
      </c>
      <c r="G335">
        <v>9</v>
      </c>
      <c r="H335" t="str" cm="1">
        <f t="array" ref="H335">_xlfn.IFS(G335&gt;15,"Long Commute",G335&gt;5,"Moderate",G335&lt;=5,"Near Office")</f>
        <v>Moderate</v>
      </c>
      <c r="I335" t="s">
        <v>72</v>
      </c>
      <c r="J335" t="s">
        <v>61</v>
      </c>
      <c r="K335">
        <v>3</v>
      </c>
      <c r="L335" t="s">
        <v>46</v>
      </c>
      <c r="M335">
        <v>48</v>
      </c>
      <c r="N335">
        <v>3</v>
      </c>
      <c r="O335">
        <v>2</v>
      </c>
      <c r="P335" t="s">
        <v>61</v>
      </c>
      <c r="Q335" t="s">
        <v>77</v>
      </c>
      <c r="R335" t="s">
        <v>48</v>
      </c>
      <c r="S335">
        <v>6347</v>
      </c>
      <c r="T335" t="str" cm="1">
        <f t="array" ref="T335">_xlfn.IFS(S335&gt;=10000,"High (&gt;10k)",S335&gt;=5000,"Medium (5k-10k)",S335&lt;5000,"Low (&lt;5k)")</f>
        <v>Medium (5k-10k)</v>
      </c>
      <c r="U335">
        <v>13982</v>
      </c>
      <c r="V335">
        <v>0</v>
      </c>
      <c r="W335" t="s">
        <v>35</v>
      </c>
      <c r="X335">
        <v>19</v>
      </c>
      <c r="Y335">
        <v>3</v>
      </c>
      <c r="Z335">
        <v>4</v>
      </c>
      <c r="AA335">
        <v>0</v>
      </c>
      <c r="AB335">
        <v>12</v>
      </c>
      <c r="AC335">
        <v>2</v>
      </c>
      <c r="AD335" t="s">
        <v>80</v>
      </c>
      <c r="AE335">
        <v>11</v>
      </c>
      <c r="AF335" t="str" cm="1">
        <f t="array" ref="AF335">_xlfn.IFS(AE335&gt;=10,"Veteran (10y+)",AE335&gt;=3,"Established (3-10y)",AE335&lt;3,"New Hire (&lt;3y)")</f>
        <v>Veteran (10y+)</v>
      </c>
      <c r="AG335">
        <v>9</v>
      </c>
      <c r="AH335">
        <v>4</v>
      </c>
      <c r="AI335">
        <v>7</v>
      </c>
    </row>
    <row r="336" spans="1:35">
      <c r="A336">
        <v>30</v>
      </c>
      <c r="B336" t="str">
        <f t="shared" si="5"/>
        <v>Middle Aged</v>
      </c>
      <c r="C336">
        <v>0</v>
      </c>
      <c r="D336" t="s">
        <v>36</v>
      </c>
      <c r="E336">
        <v>438</v>
      </c>
      <c r="F336" t="s">
        <v>45</v>
      </c>
      <c r="G336">
        <v>18</v>
      </c>
      <c r="H336" t="str" cm="1">
        <f t="array" ref="H336">_xlfn.IFS(G336&gt;15,"Long Commute",G336&gt;5,"Moderate",G336&lt;=5,"Near Office")</f>
        <v>Long Commute</v>
      </c>
      <c r="I336" t="s">
        <v>72</v>
      </c>
      <c r="J336" t="s">
        <v>38</v>
      </c>
      <c r="K336">
        <v>1</v>
      </c>
      <c r="L336" t="s">
        <v>39</v>
      </c>
      <c r="M336">
        <v>75</v>
      </c>
      <c r="N336">
        <v>3</v>
      </c>
      <c r="O336">
        <v>1</v>
      </c>
      <c r="P336" t="s">
        <v>47</v>
      </c>
      <c r="Q336" t="s">
        <v>73</v>
      </c>
      <c r="R336" t="s">
        <v>41</v>
      </c>
      <c r="S336">
        <v>2632</v>
      </c>
      <c r="T336" t="str" cm="1">
        <f t="array" ref="T336">_xlfn.IFS(S336&gt;=10000,"High (&gt;10k)",S336&gt;=5000,"Medium (5k-10k)",S336&lt;5000,"Low (&lt;5k)")</f>
        <v>Low (&lt;5k)</v>
      </c>
      <c r="U336">
        <v>23910</v>
      </c>
      <c r="V336">
        <v>1</v>
      </c>
      <c r="W336" t="s">
        <v>43</v>
      </c>
      <c r="X336">
        <v>14</v>
      </c>
      <c r="Y336">
        <v>3</v>
      </c>
      <c r="Z336">
        <v>3</v>
      </c>
      <c r="AA336">
        <v>0</v>
      </c>
      <c r="AB336">
        <v>5</v>
      </c>
      <c r="AC336">
        <v>4</v>
      </c>
      <c r="AD336" t="s">
        <v>81</v>
      </c>
      <c r="AE336">
        <v>5</v>
      </c>
      <c r="AF336" t="str" cm="1">
        <f t="array" ref="AF336">_xlfn.IFS(AE336&gt;=10,"Veteran (10y+)",AE336&gt;=3,"Established (3-10y)",AE336&lt;3,"New Hire (&lt;3y)")</f>
        <v>Established (3-10y)</v>
      </c>
      <c r="AG336">
        <v>4</v>
      </c>
      <c r="AH336">
        <v>0</v>
      </c>
      <c r="AI336">
        <v>4</v>
      </c>
    </row>
    <row r="337" spans="1:35">
      <c r="A337">
        <v>30</v>
      </c>
      <c r="B337" t="str">
        <f t="shared" si="5"/>
        <v>Middle Aged</v>
      </c>
      <c r="C337">
        <v>0</v>
      </c>
      <c r="D337" t="s">
        <v>36</v>
      </c>
      <c r="E337">
        <v>201</v>
      </c>
      <c r="F337" t="s">
        <v>45</v>
      </c>
      <c r="G337">
        <v>5</v>
      </c>
      <c r="H337" t="str" cm="1">
        <f t="array" ref="H337">_xlfn.IFS(G337&gt;15,"Long Commute",G337&gt;5,"Moderate",G337&lt;=5,"Near Office")</f>
        <v>Near Office</v>
      </c>
      <c r="I337" t="s">
        <v>72</v>
      </c>
      <c r="J337" t="s">
        <v>60</v>
      </c>
      <c r="K337">
        <v>4</v>
      </c>
      <c r="L337" t="s">
        <v>39</v>
      </c>
      <c r="M337">
        <v>84</v>
      </c>
      <c r="N337">
        <v>3</v>
      </c>
      <c r="O337">
        <v>1</v>
      </c>
      <c r="P337" t="s">
        <v>47</v>
      </c>
      <c r="Q337" t="s">
        <v>82</v>
      </c>
      <c r="R337" t="s">
        <v>52</v>
      </c>
      <c r="S337">
        <v>3204</v>
      </c>
      <c r="T337" t="str" cm="1">
        <f t="array" ref="T337">_xlfn.IFS(S337&gt;=10000,"High (&gt;10k)",S337&gt;=5000,"Medium (5k-10k)",S337&lt;5000,"Low (&lt;5k)")</f>
        <v>Low (&lt;5k)</v>
      </c>
      <c r="U337">
        <v>10415</v>
      </c>
      <c r="V337">
        <v>5</v>
      </c>
      <c r="W337" t="s">
        <v>43</v>
      </c>
      <c r="X337">
        <v>14</v>
      </c>
      <c r="Y337">
        <v>3</v>
      </c>
      <c r="Z337">
        <v>4</v>
      </c>
      <c r="AA337">
        <v>1</v>
      </c>
      <c r="AB337">
        <v>8</v>
      </c>
      <c r="AC337">
        <v>3</v>
      </c>
      <c r="AD337" t="s">
        <v>74</v>
      </c>
      <c r="AE337">
        <v>3</v>
      </c>
      <c r="AF337" t="str" cm="1">
        <f t="array" ref="AF337">_xlfn.IFS(AE337&gt;=10,"Veteran (10y+)",AE337&gt;=3,"Established (3-10y)",AE337&lt;3,"New Hire (&lt;3y)")</f>
        <v>Established (3-10y)</v>
      </c>
      <c r="AG337">
        <v>2</v>
      </c>
      <c r="AH337">
        <v>2</v>
      </c>
      <c r="AI337">
        <v>2</v>
      </c>
    </row>
    <row r="338" spans="1:35">
      <c r="A338">
        <v>30</v>
      </c>
      <c r="B338" t="str">
        <f t="shared" si="5"/>
        <v>Middle Aged</v>
      </c>
      <c r="C338">
        <v>0</v>
      </c>
      <c r="D338" t="s">
        <v>36</v>
      </c>
      <c r="E338">
        <v>1427</v>
      </c>
      <c r="F338" t="s">
        <v>45</v>
      </c>
      <c r="G338">
        <v>2</v>
      </c>
      <c r="H338" t="str" cm="1">
        <f t="array" ref="H338">_xlfn.IFS(G338&gt;15,"Long Commute",G338&gt;5,"Moderate",G338&lt;=5,"Near Office")</f>
        <v>Near Office</v>
      </c>
      <c r="I338" t="s">
        <v>78</v>
      </c>
      <c r="J338" t="s">
        <v>51</v>
      </c>
      <c r="K338">
        <v>2</v>
      </c>
      <c r="L338" t="s">
        <v>46</v>
      </c>
      <c r="M338">
        <v>35</v>
      </c>
      <c r="N338">
        <v>2</v>
      </c>
      <c r="O338">
        <v>1</v>
      </c>
      <c r="P338" t="s">
        <v>50</v>
      </c>
      <c r="Q338" t="s">
        <v>77</v>
      </c>
      <c r="R338" t="s">
        <v>41</v>
      </c>
      <c r="S338">
        <v>2720</v>
      </c>
      <c r="T338" t="str" cm="1">
        <f t="array" ref="T338">_xlfn.IFS(S338&gt;=10000,"High (&gt;10k)",S338&gt;=5000,"Medium (5k-10k)",S338&lt;5000,"Low (&lt;5k)")</f>
        <v>Low (&lt;5k)</v>
      </c>
      <c r="U338">
        <v>11162</v>
      </c>
      <c r="V338">
        <v>0</v>
      </c>
      <c r="W338" t="s">
        <v>43</v>
      </c>
      <c r="X338">
        <v>13</v>
      </c>
      <c r="Y338">
        <v>3</v>
      </c>
      <c r="Z338">
        <v>4</v>
      </c>
      <c r="AA338">
        <v>0</v>
      </c>
      <c r="AB338">
        <v>6</v>
      </c>
      <c r="AC338">
        <v>3</v>
      </c>
      <c r="AD338" t="s">
        <v>74</v>
      </c>
      <c r="AE338">
        <v>5</v>
      </c>
      <c r="AF338" t="str" cm="1">
        <f t="array" ref="AF338">_xlfn.IFS(AE338&gt;=10,"Veteran (10y+)",AE338&gt;=3,"Established (3-10y)",AE338&lt;3,"New Hire (&lt;3y)")</f>
        <v>Established (3-10y)</v>
      </c>
      <c r="AG338">
        <v>3</v>
      </c>
      <c r="AH338">
        <v>1</v>
      </c>
      <c r="AI338">
        <v>2</v>
      </c>
    </row>
    <row r="339" spans="1:35">
      <c r="A339">
        <v>30</v>
      </c>
      <c r="B339" t="str">
        <f t="shared" si="5"/>
        <v>Middle Aged</v>
      </c>
      <c r="C339">
        <v>0</v>
      </c>
      <c r="D339" t="s">
        <v>36</v>
      </c>
      <c r="E339">
        <v>1339</v>
      </c>
      <c r="F339" t="s">
        <v>37</v>
      </c>
      <c r="G339">
        <v>5</v>
      </c>
      <c r="H339" t="str" cm="1">
        <f t="array" ref="H339">_xlfn.IFS(G339&gt;15,"Long Commute",G339&gt;5,"Moderate",G339&lt;=5,"Near Office")</f>
        <v>Near Office</v>
      </c>
      <c r="I339" t="s">
        <v>72</v>
      </c>
      <c r="J339" t="s">
        <v>38</v>
      </c>
      <c r="K339">
        <v>2</v>
      </c>
      <c r="L339" t="s">
        <v>39</v>
      </c>
      <c r="M339">
        <v>41</v>
      </c>
      <c r="N339">
        <v>3</v>
      </c>
      <c r="O339">
        <v>3</v>
      </c>
      <c r="P339" t="s">
        <v>40</v>
      </c>
      <c r="Q339" t="s">
        <v>77</v>
      </c>
      <c r="R339" t="s">
        <v>48</v>
      </c>
      <c r="S339">
        <v>9419</v>
      </c>
      <c r="T339" t="str" cm="1">
        <f t="array" ref="T339">_xlfn.IFS(S339&gt;=10000,"High (&gt;10k)",S339&gt;=5000,"Medium (5k-10k)",S339&lt;5000,"Low (&lt;5k)")</f>
        <v>Medium (5k-10k)</v>
      </c>
      <c r="U339">
        <v>8053</v>
      </c>
      <c r="V339">
        <v>2</v>
      </c>
      <c r="W339" t="s">
        <v>43</v>
      </c>
      <c r="X339">
        <v>12</v>
      </c>
      <c r="Y339">
        <v>3</v>
      </c>
      <c r="Z339">
        <v>3</v>
      </c>
      <c r="AA339">
        <v>1</v>
      </c>
      <c r="AB339">
        <v>12</v>
      </c>
      <c r="AC339">
        <v>2</v>
      </c>
      <c r="AD339" t="s">
        <v>74</v>
      </c>
      <c r="AE339">
        <v>10</v>
      </c>
      <c r="AF339" t="str" cm="1">
        <f t="array" ref="AF339">_xlfn.IFS(AE339&gt;=10,"Veteran (10y+)",AE339&gt;=3,"Established (3-10y)",AE339&lt;3,"New Hire (&lt;3y)")</f>
        <v>Veteran (10y+)</v>
      </c>
      <c r="AG339">
        <v>9</v>
      </c>
      <c r="AH339">
        <v>7</v>
      </c>
      <c r="AI339">
        <v>4</v>
      </c>
    </row>
    <row r="340" spans="1:35">
      <c r="A340">
        <v>30</v>
      </c>
      <c r="B340" t="str">
        <f t="shared" si="5"/>
        <v>Middle Aged</v>
      </c>
      <c r="C340">
        <v>0</v>
      </c>
      <c r="D340" t="s">
        <v>55</v>
      </c>
      <c r="E340">
        <v>111</v>
      </c>
      <c r="F340" t="s">
        <v>45</v>
      </c>
      <c r="G340">
        <v>9</v>
      </c>
      <c r="H340" t="str" cm="1">
        <f t="array" ref="H340">_xlfn.IFS(G340&gt;15,"Long Commute",G340&gt;5,"Moderate",G340&lt;=5,"Near Office")</f>
        <v>Moderate</v>
      </c>
      <c r="I340" t="s">
        <v>72</v>
      </c>
      <c r="J340" t="s">
        <v>51</v>
      </c>
      <c r="K340">
        <v>3</v>
      </c>
      <c r="L340" t="s">
        <v>46</v>
      </c>
      <c r="M340">
        <v>66</v>
      </c>
      <c r="N340">
        <v>3</v>
      </c>
      <c r="O340">
        <v>2</v>
      </c>
      <c r="P340" t="s">
        <v>50</v>
      </c>
      <c r="Q340" t="s">
        <v>82</v>
      </c>
      <c r="R340" t="s">
        <v>52</v>
      </c>
      <c r="S340">
        <v>3072</v>
      </c>
      <c r="T340" t="str" cm="1">
        <f t="array" ref="T340">_xlfn.IFS(S340&gt;=10000,"High (&gt;10k)",S340&gt;=5000,"Medium (5k-10k)",S340&lt;5000,"Low (&lt;5k)")</f>
        <v>Low (&lt;5k)</v>
      </c>
      <c r="U340">
        <v>11012</v>
      </c>
      <c r="V340">
        <v>1</v>
      </c>
      <c r="W340" t="s">
        <v>43</v>
      </c>
      <c r="X340">
        <v>11</v>
      </c>
      <c r="Y340">
        <v>3</v>
      </c>
      <c r="Z340">
        <v>3</v>
      </c>
      <c r="AA340">
        <v>2</v>
      </c>
      <c r="AB340">
        <v>12</v>
      </c>
      <c r="AC340">
        <v>4</v>
      </c>
      <c r="AD340" t="s">
        <v>74</v>
      </c>
      <c r="AE340">
        <v>12</v>
      </c>
      <c r="AF340" t="str" cm="1">
        <f t="array" ref="AF340">_xlfn.IFS(AE340&gt;=10,"Veteran (10y+)",AE340&gt;=3,"Established (3-10y)",AE340&lt;3,"New Hire (&lt;3y)")</f>
        <v>Veteran (10y+)</v>
      </c>
      <c r="AG340">
        <v>9</v>
      </c>
      <c r="AH340">
        <v>6</v>
      </c>
      <c r="AI340">
        <v>10</v>
      </c>
    </row>
    <row r="341" spans="1:35">
      <c r="A341">
        <v>30</v>
      </c>
      <c r="B341" t="str">
        <f t="shared" si="5"/>
        <v>Middle Aged</v>
      </c>
      <c r="C341">
        <v>0</v>
      </c>
      <c r="D341" t="s">
        <v>55</v>
      </c>
      <c r="E341">
        <v>829</v>
      </c>
      <c r="F341" t="s">
        <v>45</v>
      </c>
      <c r="G341">
        <v>1</v>
      </c>
      <c r="H341" t="str" cm="1">
        <f t="array" ref="H341">_xlfn.IFS(G341&gt;15,"Long Commute",G341&gt;5,"Moderate",G341&lt;=5,"Near Office")</f>
        <v>Near Office</v>
      </c>
      <c r="I341" t="s">
        <v>78</v>
      </c>
      <c r="J341" t="s">
        <v>38</v>
      </c>
      <c r="K341">
        <v>3</v>
      </c>
      <c r="L341" t="s">
        <v>46</v>
      </c>
      <c r="M341">
        <v>88</v>
      </c>
      <c r="N341">
        <v>2</v>
      </c>
      <c r="O341">
        <v>3</v>
      </c>
      <c r="P341" t="s">
        <v>53</v>
      </c>
      <c r="Q341" t="s">
        <v>73</v>
      </c>
      <c r="R341" t="s">
        <v>41</v>
      </c>
      <c r="S341">
        <v>8474</v>
      </c>
      <c r="T341" t="str" cm="1">
        <f t="array" ref="T341">_xlfn.IFS(S341&gt;=10000,"High (&gt;10k)",S341&gt;=5000,"Medium (5k-10k)",S341&lt;5000,"Low (&lt;5k)")</f>
        <v>Medium (5k-10k)</v>
      </c>
      <c r="U341">
        <v>20925</v>
      </c>
      <c r="V341">
        <v>1</v>
      </c>
      <c r="W341" t="s">
        <v>43</v>
      </c>
      <c r="X341">
        <v>22</v>
      </c>
      <c r="Y341">
        <v>4</v>
      </c>
      <c r="Z341">
        <v>3</v>
      </c>
      <c r="AA341">
        <v>0</v>
      </c>
      <c r="AB341">
        <v>12</v>
      </c>
      <c r="AC341">
        <v>2</v>
      </c>
      <c r="AD341" t="s">
        <v>74</v>
      </c>
      <c r="AE341">
        <v>11</v>
      </c>
      <c r="AF341" t="str" cm="1">
        <f t="array" ref="AF341">_xlfn.IFS(AE341&gt;=10,"Veteran (10y+)",AE341&gt;=3,"Established (3-10y)",AE341&lt;3,"New Hire (&lt;3y)")</f>
        <v>Veteran (10y+)</v>
      </c>
      <c r="AG341">
        <v>8</v>
      </c>
      <c r="AH341">
        <v>5</v>
      </c>
      <c r="AI341">
        <v>8</v>
      </c>
    </row>
    <row r="342" spans="1:35">
      <c r="A342">
        <v>30</v>
      </c>
      <c r="B342" t="str">
        <f t="shared" si="5"/>
        <v>Middle Aged</v>
      </c>
      <c r="C342">
        <v>1</v>
      </c>
      <c r="D342" t="s">
        <v>36</v>
      </c>
      <c r="E342">
        <v>1005</v>
      </c>
      <c r="F342" t="s">
        <v>45</v>
      </c>
      <c r="G342">
        <v>3</v>
      </c>
      <c r="H342" t="str" cm="1">
        <f t="array" ref="H342">_xlfn.IFS(G342&gt;15,"Long Commute",G342&gt;5,"Moderate",G342&lt;=5,"Near Office")</f>
        <v>Near Office</v>
      </c>
      <c r="I342" t="s">
        <v>72</v>
      </c>
      <c r="J342" t="s">
        <v>60</v>
      </c>
      <c r="K342">
        <v>4</v>
      </c>
      <c r="L342" t="s">
        <v>39</v>
      </c>
      <c r="M342">
        <v>88</v>
      </c>
      <c r="N342">
        <v>3</v>
      </c>
      <c r="O342">
        <v>1</v>
      </c>
      <c r="P342" t="s">
        <v>47</v>
      </c>
      <c r="Q342" t="s">
        <v>82</v>
      </c>
      <c r="R342" t="s">
        <v>41</v>
      </c>
      <c r="S342">
        <v>2657</v>
      </c>
      <c r="T342" t="str" cm="1">
        <f t="array" ref="T342">_xlfn.IFS(S342&gt;=10000,"High (&gt;10k)",S342&gt;=5000,"Medium (5k-10k)",S342&lt;5000,"Low (&lt;5k)")</f>
        <v>Low (&lt;5k)</v>
      </c>
      <c r="U342">
        <v>8556</v>
      </c>
      <c r="V342">
        <v>5</v>
      </c>
      <c r="W342" t="s">
        <v>35</v>
      </c>
      <c r="X342">
        <v>11</v>
      </c>
      <c r="Y342">
        <v>3</v>
      </c>
      <c r="Z342">
        <v>3</v>
      </c>
      <c r="AA342">
        <v>0</v>
      </c>
      <c r="AB342">
        <v>8</v>
      </c>
      <c r="AC342">
        <v>5</v>
      </c>
      <c r="AD342" t="s">
        <v>74</v>
      </c>
      <c r="AE342">
        <v>5</v>
      </c>
      <c r="AF342" t="str" cm="1">
        <f t="array" ref="AF342">_xlfn.IFS(AE342&gt;=10,"Veteran (10y+)",AE342&gt;=3,"Established (3-10y)",AE342&lt;3,"New Hire (&lt;3y)")</f>
        <v>Established (3-10y)</v>
      </c>
      <c r="AG342">
        <v>2</v>
      </c>
      <c r="AH342">
        <v>0</v>
      </c>
      <c r="AI342">
        <v>4</v>
      </c>
    </row>
    <row r="343" spans="1:35">
      <c r="A343">
        <v>30</v>
      </c>
      <c r="B343" t="str">
        <f t="shared" si="5"/>
        <v>Middle Aged</v>
      </c>
      <c r="C343">
        <v>1</v>
      </c>
      <c r="D343" t="s">
        <v>44</v>
      </c>
      <c r="E343">
        <v>334</v>
      </c>
      <c r="F343" t="s">
        <v>37</v>
      </c>
      <c r="G343">
        <v>26</v>
      </c>
      <c r="H343" t="str" cm="1">
        <f t="array" ref="H343">_xlfn.IFS(G343&gt;15,"Long Commute",G343&gt;5,"Moderate",G343&lt;=5,"Near Office")</f>
        <v>Long Commute</v>
      </c>
      <c r="I343" t="s">
        <v>83</v>
      </c>
      <c r="J343" t="s">
        <v>59</v>
      </c>
      <c r="K343">
        <v>3</v>
      </c>
      <c r="L343" t="s">
        <v>39</v>
      </c>
      <c r="M343">
        <v>52</v>
      </c>
      <c r="N343">
        <v>2</v>
      </c>
      <c r="O343">
        <v>2</v>
      </c>
      <c r="P343" t="s">
        <v>40</v>
      </c>
      <c r="Q343" t="s">
        <v>82</v>
      </c>
      <c r="R343" t="s">
        <v>41</v>
      </c>
      <c r="S343">
        <v>6696</v>
      </c>
      <c r="T343" t="str" cm="1">
        <f t="array" ref="T343">_xlfn.IFS(S343&gt;=10000,"High (&gt;10k)",S343&gt;=5000,"Medium (5k-10k)",S343&lt;5000,"Low (&lt;5k)")</f>
        <v>Medium (5k-10k)</v>
      </c>
      <c r="U343">
        <v>22967</v>
      </c>
      <c r="V343">
        <v>5</v>
      </c>
      <c r="W343" t="s">
        <v>43</v>
      </c>
      <c r="X343">
        <v>15</v>
      </c>
      <c r="Y343">
        <v>3</v>
      </c>
      <c r="Z343">
        <v>3</v>
      </c>
      <c r="AA343">
        <v>0</v>
      </c>
      <c r="AB343">
        <v>9</v>
      </c>
      <c r="AC343">
        <v>5</v>
      </c>
      <c r="AD343" t="s">
        <v>81</v>
      </c>
      <c r="AE343">
        <v>6</v>
      </c>
      <c r="AF343" t="str" cm="1">
        <f t="array" ref="AF343">_xlfn.IFS(AE343&gt;=10,"Veteran (10y+)",AE343&gt;=3,"Established (3-10y)",AE343&lt;3,"New Hire (&lt;3y)")</f>
        <v>Established (3-10y)</v>
      </c>
      <c r="AG343">
        <v>3</v>
      </c>
      <c r="AH343">
        <v>0</v>
      </c>
      <c r="AI343">
        <v>1</v>
      </c>
    </row>
    <row r="344" spans="1:35">
      <c r="A344">
        <v>30</v>
      </c>
      <c r="B344" t="str">
        <f t="shared" si="5"/>
        <v>Middle Aged</v>
      </c>
      <c r="C344">
        <v>0</v>
      </c>
      <c r="D344" t="s">
        <v>36</v>
      </c>
      <c r="E344">
        <v>1275</v>
      </c>
      <c r="F344" t="s">
        <v>45</v>
      </c>
      <c r="G344">
        <v>28</v>
      </c>
      <c r="H344" t="str" cm="1">
        <f t="array" ref="H344">_xlfn.IFS(G344&gt;15,"Long Commute",G344&gt;5,"Moderate",G344&lt;=5,"Near Office")</f>
        <v>Long Commute</v>
      </c>
      <c r="I344" t="s">
        <v>76</v>
      </c>
      <c r="J344" t="s">
        <v>51</v>
      </c>
      <c r="K344">
        <v>4</v>
      </c>
      <c r="L344" t="s">
        <v>39</v>
      </c>
      <c r="M344">
        <v>64</v>
      </c>
      <c r="N344">
        <v>3</v>
      </c>
      <c r="O344">
        <v>2</v>
      </c>
      <c r="P344" t="s">
        <v>47</v>
      </c>
      <c r="Q344" t="s">
        <v>77</v>
      </c>
      <c r="R344" t="s">
        <v>48</v>
      </c>
      <c r="S344">
        <v>5775</v>
      </c>
      <c r="T344" t="str" cm="1">
        <f t="array" ref="T344">_xlfn.IFS(S344&gt;=10000,"High (&gt;10k)",S344&gt;=5000,"Medium (5k-10k)",S344&lt;5000,"Low (&lt;5k)")</f>
        <v>Medium (5k-10k)</v>
      </c>
      <c r="U344">
        <v>11934</v>
      </c>
      <c r="V344">
        <v>1</v>
      </c>
      <c r="W344" t="s">
        <v>43</v>
      </c>
      <c r="X344">
        <v>13</v>
      </c>
      <c r="Y344">
        <v>3</v>
      </c>
      <c r="Z344">
        <v>4</v>
      </c>
      <c r="AA344">
        <v>2</v>
      </c>
      <c r="AB344">
        <v>11</v>
      </c>
      <c r="AC344">
        <v>2</v>
      </c>
      <c r="AD344" t="s">
        <v>74</v>
      </c>
      <c r="AE344">
        <v>10</v>
      </c>
      <c r="AF344" t="str" cm="1">
        <f t="array" ref="AF344">_xlfn.IFS(AE344&gt;=10,"Veteran (10y+)",AE344&gt;=3,"Established (3-10y)",AE344&lt;3,"New Hire (&lt;3y)")</f>
        <v>Veteran (10y+)</v>
      </c>
      <c r="AG344">
        <v>8</v>
      </c>
      <c r="AH344">
        <v>1</v>
      </c>
      <c r="AI344">
        <v>9</v>
      </c>
    </row>
    <row r="345" spans="1:35">
      <c r="A345">
        <v>30</v>
      </c>
      <c r="B345" t="str">
        <f t="shared" si="5"/>
        <v>Middle Aged</v>
      </c>
      <c r="C345">
        <v>0</v>
      </c>
      <c r="D345" t="s">
        <v>36</v>
      </c>
      <c r="E345">
        <v>570</v>
      </c>
      <c r="F345" t="s">
        <v>37</v>
      </c>
      <c r="G345">
        <v>5</v>
      </c>
      <c r="H345" t="str" cm="1">
        <f t="array" ref="H345">_xlfn.IFS(G345&gt;15,"Long Commute",G345&gt;5,"Moderate",G345&lt;=5,"Near Office")</f>
        <v>Near Office</v>
      </c>
      <c r="I345" t="s">
        <v>72</v>
      </c>
      <c r="J345" t="s">
        <v>59</v>
      </c>
      <c r="K345">
        <v>4</v>
      </c>
      <c r="L345" t="s">
        <v>39</v>
      </c>
      <c r="M345">
        <v>30</v>
      </c>
      <c r="N345">
        <v>2</v>
      </c>
      <c r="O345">
        <v>2</v>
      </c>
      <c r="P345" t="s">
        <v>40</v>
      </c>
      <c r="Q345" t="s">
        <v>73</v>
      </c>
      <c r="R345" t="s">
        <v>52</v>
      </c>
      <c r="S345">
        <v>6118</v>
      </c>
      <c r="T345" t="str" cm="1">
        <f t="array" ref="T345">_xlfn.IFS(S345&gt;=10000,"High (&gt;10k)",S345&gt;=5000,"Medium (5k-10k)",S345&lt;5000,"Low (&lt;5k)")</f>
        <v>Medium (5k-10k)</v>
      </c>
      <c r="U345">
        <v>5431</v>
      </c>
      <c r="V345">
        <v>1</v>
      </c>
      <c r="W345" t="s">
        <v>43</v>
      </c>
      <c r="X345">
        <v>13</v>
      </c>
      <c r="Y345">
        <v>3</v>
      </c>
      <c r="Z345">
        <v>3</v>
      </c>
      <c r="AA345">
        <v>3</v>
      </c>
      <c r="AB345">
        <v>10</v>
      </c>
      <c r="AC345">
        <v>2</v>
      </c>
      <c r="AD345" t="s">
        <v>74</v>
      </c>
      <c r="AE345">
        <v>10</v>
      </c>
      <c r="AF345" t="str" cm="1">
        <f t="array" ref="AF345">_xlfn.IFS(AE345&gt;=10,"Veteran (10y+)",AE345&gt;=3,"Established (3-10y)",AE345&lt;3,"New Hire (&lt;3y)")</f>
        <v>Veteran (10y+)</v>
      </c>
      <c r="AG345">
        <v>9</v>
      </c>
      <c r="AH345">
        <v>1</v>
      </c>
      <c r="AI345">
        <v>2</v>
      </c>
    </row>
    <row r="346" spans="1:35">
      <c r="A346">
        <v>30</v>
      </c>
      <c r="B346" t="str">
        <f t="shared" si="5"/>
        <v>Middle Aged</v>
      </c>
      <c r="C346">
        <v>0</v>
      </c>
      <c r="D346" t="s">
        <v>55</v>
      </c>
      <c r="E346">
        <v>641</v>
      </c>
      <c r="F346" t="s">
        <v>37</v>
      </c>
      <c r="G346">
        <v>25</v>
      </c>
      <c r="H346" t="str" cm="1">
        <f t="array" ref="H346">_xlfn.IFS(G346&gt;15,"Long Commute",G346&gt;5,"Moderate",G346&lt;=5,"Near Office")</f>
        <v>Long Commute</v>
      </c>
      <c r="I346" t="s">
        <v>76</v>
      </c>
      <c r="J346" t="s">
        <v>60</v>
      </c>
      <c r="K346">
        <v>4</v>
      </c>
      <c r="L346" t="s">
        <v>39</v>
      </c>
      <c r="M346">
        <v>85</v>
      </c>
      <c r="N346">
        <v>3</v>
      </c>
      <c r="O346">
        <v>2</v>
      </c>
      <c r="P346" t="s">
        <v>40</v>
      </c>
      <c r="Q346" t="s">
        <v>73</v>
      </c>
      <c r="R346" t="s">
        <v>48</v>
      </c>
      <c r="S346">
        <v>4736</v>
      </c>
      <c r="T346" t="str" cm="1">
        <f t="array" ref="T346">_xlfn.IFS(S346&gt;=10000,"High (&gt;10k)",S346&gt;=5000,"Medium (5k-10k)",S346&lt;5000,"Low (&lt;5k)")</f>
        <v>Low (&lt;5k)</v>
      </c>
      <c r="U346">
        <v>6069</v>
      </c>
      <c r="V346">
        <v>7</v>
      </c>
      <c r="W346" t="s">
        <v>35</v>
      </c>
      <c r="X346">
        <v>12</v>
      </c>
      <c r="Y346">
        <v>3</v>
      </c>
      <c r="Z346">
        <v>2</v>
      </c>
      <c r="AA346">
        <v>1</v>
      </c>
      <c r="AB346">
        <v>4</v>
      </c>
      <c r="AC346">
        <v>2</v>
      </c>
      <c r="AD346" t="s">
        <v>79</v>
      </c>
      <c r="AE346">
        <v>2</v>
      </c>
      <c r="AF346" t="str" cm="1">
        <f t="array" ref="AF346">_xlfn.IFS(AE346&gt;=10,"Veteran (10y+)",AE346&gt;=3,"Established (3-10y)",AE346&lt;3,"New Hire (&lt;3y)")</f>
        <v>New Hire (&lt;3y)</v>
      </c>
      <c r="AG346">
        <v>2</v>
      </c>
      <c r="AH346">
        <v>2</v>
      </c>
      <c r="AI346">
        <v>2</v>
      </c>
    </row>
    <row r="347" spans="1:35">
      <c r="A347">
        <v>30</v>
      </c>
      <c r="B347" t="str">
        <f t="shared" si="5"/>
        <v>Middle Aged</v>
      </c>
      <c r="C347">
        <v>0</v>
      </c>
      <c r="D347" t="s">
        <v>36</v>
      </c>
      <c r="E347">
        <v>202</v>
      </c>
      <c r="F347" t="s">
        <v>37</v>
      </c>
      <c r="G347">
        <v>2</v>
      </c>
      <c r="H347" t="str" cm="1">
        <f t="array" ref="H347">_xlfn.IFS(G347&gt;15,"Long Commute",G347&gt;5,"Moderate",G347&lt;=5,"Near Office")</f>
        <v>Near Office</v>
      </c>
      <c r="I347" t="s">
        <v>78</v>
      </c>
      <c r="J347" t="s">
        <v>60</v>
      </c>
      <c r="K347">
        <v>3</v>
      </c>
      <c r="L347" t="s">
        <v>46</v>
      </c>
      <c r="M347">
        <v>72</v>
      </c>
      <c r="N347">
        <v>3</v>
      </c>
      <c r="O347">
        <v>1</v>
      </c>
      <c r="P347" t="s">
        <v>57</v>
      </c>
      <c r="Q347" t="s">
        <v>75</v>
      </c>
      <c r="R347" t="s">
        <v>48</v>
      </c>
      <c r="S347">
        <v>2476</v>
      </c>
      <c r="T347" t="str" cm="1">
        <f t="array" ref="T347">_xlfn.IFS(S347&gt;=10000,"High (&gt;10k)",S347&gt;=5000,"Medium (5k-10k)",S347&lt;5000,"Low (&lt;5k)")</f>
        <v>Low (&lt;5k)</v>
      </c>
      <c r="U347">
        <v>17434</v>
      </c>
      <c r="V347">
        <v>1</v>
      </c>
      <c r="W347" t="s">
        <v>43</v>
      </c>
      <c r="X347">
        <v>18</v>
      </c>
      <c r="Y347">
        <v>3</v>
      </c>
      <c r="Z347">
        <v>1</v>
      </c>
      <c r="AA347">
        <v>1</v>
      </c>
      <c r="AB347">
        <v>1</v>
      </c>
      <c r="AC347">
        <v>3</v>
      </c>
      <c r="AD347" t="s">
        <v>74</v>
      </c>
      <c r="AE347">
        <v>1</v>
      </c>
      <c r="AF347" t="str" cm="1">
        <f t="array" ref="AF347">_xlfn.IFS(AE347&gt;=10,"Veteran (10y+)",AE347&gt;=3,"Established (3-10y)",AE347&lt;3,"New Hire (&lt;3y)")</f>
        <v>New Hire (&lt;3y)</v>
      </c>
      <c r="AG347">
        <v>0</v>
      </c>
      <c r="AH347">
        <v>0</v>
      </c>
      <c r="AI347">
        <v>0</v>
      </c>
    </row>
    <row r="348" spans="1:35">
      <c r="A348">
        <v>30</v>
      </c>
      <c r="B348" t="str">
        <f t="shared" si="5"/>
        <v>Middle Aged</v>
      </c>
      <c r="C348">
        <v>1</v>
      </c>
      <c r="D348" t="s">
        <v>44</v>
      </c>
      <c r="E348">
        <v>464</v>
      </c>
      <c r="F348" t="s">
        <v>45</v>
      </c>
      <c r="G348">
        <v>4</v>
      </c>
      <c r="H348" t="str" cm="1">
        <f t="array" ref="H348">_xlfn.IFS(G348&gt;15,"Long Commute",G348&gt;5,"Moderate",G348&lt;=5,"Near Office")</f>
        <v>Near Office</v>
      </c>
      <c r="I348" t="s">
        <v>72</v>
      </c>
      <c r="J348" t="s">
        <v>60</v>
      </c>
      <c r="K348">
        <v>3</v>
      </c>
      <c r="L348" t="s">
        <v>46</v>
      </c>
      <c r="M348">
        <v>40</v>
      </c>
      <c r="N348">
        <v>3</v>
      </c>
      <c r="O348">
        <v>1</v>
      </c>
      <c r="P348" t="s">
        <v>47</v>
      </c>
      <c r="Q348" t="s">
        <v>77</v>
      </c>
      <c r="R348" t="s">
        <v>41</v>
      </c>
      <c r="S348">
        <v>2285</v>
      </c>
      <c r="T348" t="str" cm="1">
        <f t="array" ref="T348">_xlfn.IFS(S348&gt;=10000,"High (&gt;10k)",S348&gt;=5000,"Medium (5k-10k)",S348&lt;5000,"Low (&lt;5k)")</f>
        <v>Low (&lt;5k)</v>
      </c>
      <c r="U348">
        <v>3427</v>
      </c>
      <c r="V348">
        <v>9</v>
      </c>
      <c r="W348" t="s">
        <v>35</v>
      </c>
      <c r="X348">
        <v>23</v>
      </c>
      <c r="Y348">
        <v>4</v>
      </c>
      <c r="Z348">
        <v>3</v>
      </c>
      <c r="AA348">
        <v>0</v>
      </c>
      <c r="AB348">
        <v>3</v>
      </c>
      <c r="AC348">
        <v>4</v>
      </c>
      <c r="AD348" t="s">
        <v>74</v>
      </c>
      <c r="AE348">
        <v>1</v>
      </c>
      <c r="AF348" t="str" cm="1">
        <f t="array" ref="AF348">_xlfn.IFS(AE348&gt;=10,"Veteran (10y+)",AE348&gt;=3,"Established (3-10y)",AE348&lt;3,"New Hire (&lt;3y)")</f>
        <v>New Hire (&lt;3y)</v>
      </c>
      <c r="AG348">
        <v>0</v>
      </c>
      <c r="AH348">
        <v>0</v>
      </c>
      <c r="AI348">
        <v>0</v>
      </c>
    </row>
    <row r="349" spans="1:35">
      <c r="A349">
        <v>30</v>
      </c>
      <c r="B349" t="str">
        <f t="shared" si="5"/>
        <v>Middle Aged</v>
      </c>
      <c r="C349">
        <v>0</v>
      </c>
      <c r="D349" t="s">
        <v>36</v>
      </c>
      <c r="E349">
        <v>1082</v>
      </c>
      <c r="F349" t="s">
        <v>37</v>
      </c>
      <c r="G349">
        <v>12</v>
      </c>
      <c r="H349" t="str" cm="1">
        <f t="array" ref="H349">_xlfn.IFS(G349&gt;15,"Long Commute",G349&gt;5,"Moderate",G349&lt;=5,"Near Office")</f>
        <v>Moderate</v>
      </c>
      <c r="I349" t="s">
        <v>72</v>
      </c>
      <c r="J349" t="s">
        <v>60</v>
      </c>
      <c r="K349">
        <v>2</v>
      </c>
      <c r="L349" t="s">
        <v>39</v>
      </c>
      <c r="M349">
        <v>83</v>
      </c>
      <c r="N349">
        <v>3</v>
      </c>
      <c r="O349">
        <v>2</v>
      </c>
      <c r="P349" t="s">
        <v>40</v>
      </c>
      <c r="Q349" t="s">
        <v>73</v>
      </c>
      <c r="R349" t="s">
        <v>41</v>
      </c>
      <c r="S349">
        <v>6577</v>
      </c>
      <c r="T349" t="str" cm="1">
        <f t="array" ref="T349">_xlfn.IFS(S349&gt;=10000,"High (&gt;10k)",S349&gt;=5000,"Medium (5k-10k)",S349&lt;5000,"Low (&lt;5k)")</f>
        <v>Medium (5k-10k)</v>
      </c>
      <c r="U349">
        <v>19558</v>
      </c>
      <c r="V349">
        <v>0</v>
      </c>
      <c r="W349" t="s">
        <v>43</v>
      </c>
      <c r="X349">
        <v>11</v>
      </c>
      <c r="Y349">
        <v>3</v>
      </c>
      <c r="Z349">
        <v>2</v>
      </c>
      <c r="AA349">
        <v>0</v>
      </c>
      <c r="AB349">
        <v>6</v>
      </c>
      <c r="AC349">
        <v>6</v>
      </c>
      <c r="AD349" t="s">
        <v>74</v>
      </c>
      <c r="AE349">
        <v>5</v>
      </c>
      <c r="AF349" t="str" cm="1">
        <f t="array" ref="AF349">_xlfn.IFS(AE349&gt;=10,"Veteran (10y+)",AE349&gt;=3,"Established (3-10y)",AE349&lt;3,"New Hire (&lt;3y)")</f>
        <v>Established (3-10y)</v>
      </c>
      <c r="AG349">
        <v>4</v>
      </c>
      <c r="AH349">
        <v>4</v>
      </c>
      <c r="AI349">
        <v>4</v>
      </c>
    </row>
    <row r="350" spans="1:35">
      <c r="A350">
        <v>30</v>
      </c>
      <c r="B350" t="str">
        <f t="shared" si="5"/>
        <v>Middle Aged</v>
      </c>
      <c r="C350">
        <v>0</v>
      </c>
      <c r="D350" t="s">
        <v>36</v>
      </c>
      <c r="E350">
        <v>317</v>
      </c>
      <c r="F350" t="s">
        <v>45</v>
      </c>
      <c r="G350">
        <v>2</v>
      </c>
      <c r="H350" t="str" cm="1">
        <f t="array" ref="H350">_xlfn.IFS(G350&gt;15,"Long Commute",G350&gt;5,"Moderate",G350&lt;=5,"Near Office")</f>
        <v>Near Office</v>
      </c>
      <c r="I350" t="s">
        <v>72</v>
      </c>
      <c r="J350" t="s">
        <v>38</v>
      </c>
      <c r="K350">
        <v>3</v>
      </c>
      <c r="L350" t="s">
        <v>39</v>
      </c>
      <c r="M350">
        <v>43</v>
      </c>
      <c r="N350">
        <v>1</v>
      </c>
      <c r="O350">
        <v>2</v>
      </c>
      <c r="P350" t="s">
        <v>53</v>
      </c>
      <c r="Q350" t="s">
        <v>77</v>
      </c>
      <c r="R350" t="s">
        <v>41</v>
      </c>
      <c r="S350">
        <v>6091</v>
      </c>
      <c r="T350" t="str" cm="1">
        <f t="array" ref="T350">_xlfn.IFS(S350&gt;=10000,"High (&gt;10k)",S350&gt;=5000,"Medium (5k-10k)",S350&lt;5000,"Low (&lt;5k)")</f>
        <v>Medium (5k-10k)</v>
      </c>
      <c r="U350">
        <v>24793</v>
      </c>
      <c r="V350">
        <v>2</v>
      </c>
      <c r="W350" t="s">
        <v>43</v>
      </c>
      <c r="X350">
        <v>20</v>
      </c>
      <c r="Y350">
        <v>4</v>
      </c>
      <c r="Z350">
        <v>3</v>
      </c>
      <c r="AA350">
        <v>0</v>
      </c>
      <c r="AB350">
        <v>11</v>
      </c>
      <c r="AC350">
        <v>2</v>
      </c>
      <c r="AD350" t="s">
        <v>74</v>
      </c>
      <c r="AE350">
        <v>5</v>
      </c>
      <c r="AF350" t="str" cm="1">
        <f t="array" ref="AF350">_xlfn.IFS(AE350&gt;=10,"Veteran (10y+)",AE350&gt;=3,"Established (3-10y)",AE350&lt;3,"New Hire (&lt;3y)")</f>
        <v>Established (3-10y)</v>
      </c>
      <c r="AG350">
        <v>4</v>
      </c>
      <c r="AH350">
        <v>0</v>
      </c>
      <c r="AI350">
        <v>2</v>
      </c>
    </row>
    <row r="351" spans="1:35">
      <c r="A351">
        <v>30</v>
      </c>
      <c r="B351" t="str">
        <f t="shared" si="5"/>
        <v>Middle Aged</v>
      </c>
      <c r="C351">
        <v>0</v>
      </c>
      <c r="D351" t="s">
        <v>55</v>
      </c>
      <c r="E351">
        <v>1400</v>
      </c>
      <c r="F351" t="s">
        <v>45</v>
      </c>
      <c r="G351">
        <v>3</v>
      </c>
      <c r="H351" t="str" cm="1">
        <f t="array" ref="H351">_xlfn.IFS(G351&gt;15,"Long Commute",G351&gt;5,"Moderate",G351&lt;=5,"Near Office")</f>
        <v>Near Office</v>
      </c>
      <c r="I351" t="s">
        <v>72</v>
      </c>
      <c r="J351" t="s">
        <v>38</v>
      </c>
      <c r="K351">
        <v>3</v>
      </c>
      <c r="L351" t="s">
        <v>46</v>
      </c>
      <c r="M351">
        <v>53</v>
      </c>
      <c r="N351">
        <v>3</v>
      </c>
      <c r="O351">
        <v>1</v>
      </c>
      <c r="P351" t="s">
        <v>50</v>
      </c>
      <c r="Q351" t="s">
        <v>77</v>
      </c>
      <c r="R351" t="s">
        <v>48</v>
      </c>
      <c r="S351">
        <v>2097</v>
      </c>
      <c r="T351" t="str" cm="1">
        <f t="array" ref="T351">_xlfn.IFS(S351&gt;=10000,"High (&gt;10k)",S351&gt;=5000,"Medium (5k-10k)",S351&lt;5000,"Low (&lt;5k)")</f>
        <v>Low (&lt;5k)</v>
      </c>
      <c r="U351">
        <v>16734</v>
      </c>
      <c r="V351">
        <v>4</v>
      </c>
      <c r="W351" t="s">
        <v>43</v>
      </c>
      <c r="X351">
        <v>15</v>
      </c>
      <c r="Y351">
        <v>3</v>
      </c>
      <c r="Z351">
        <v>3</v>
      </c>
      <c r="AA351">
        <v>1</v>
      </c>
      <c r="AB351">
        <v>9</v>
      </c>
      <c r="AC351">
        <v>3</v>
      </c>
      <c r="AD351" t="s">
        <v>80</v>
      </c>
      <c r="AE351">
        <v>5</v>
      </c>
      <c r="AF351" t="str" cm="1">
        <f t="array" ref="AF351">_xlfn.IFS(AE351&gt;=10,"Veteran (10y+)",AE351&gt;=3,"Established (3-10y)",AE351&lt;3,"New Hire (&lt;3y)")</f>
        <v>Established (3-10y)</v>
      </c>
      <c r="AG351">
        <v>3</v>
      </c>
      <c r="AH351">
        <v>1</v>
      </c>
      <c r="AI351">
        <v>4</v>
      </c>
    </row>
    <row r="352" spans="1:35">
      <c r="A352">
        <v>30</v>
      </c>
      <c r="B352" t="str">
        <f t="shared" si="5"/>
        <v>Middle Aged</v>
      </c>
      <c r="C352">
        <v>0</v>
      </c>
      <c r="D352" t="s">
        <v>55</v>
      </c>
      <c r="E352">
        <v>1398</v>
      </c>
      <c r="F352" t="s">
        <v>37</v>
      </c>
      <c r="G352">
        <v>22</v>
      </c>
      <c r="H352" t="str" cm="1">
        <f t="array" ref="H352">_xlfn.IFS(G352&gt;15,"Long Commute",G352&gt;5,"Moderate",G352&lt;=5,"Near Office")</f>
        <v>Long Commute</v>
      </c>
      <c r="I352" t="s">
        <v>83</v>
      </c>
      <c r="J352" t="s">
        <v>49</v>
      </c>
      <c r="K352">
        <v>3</v>
      </c>
      <c r="L352" t="s">
        <v>39</v>
      </c>
      <c r="M352">
        <v>69</v>
      </c>
      <c r="N352">
        <v>3</v>
      </c>
      <c r="O352">
        <v>3</v>
      </c>
      <c r="P352" t="s">
        <v>40</v>
      </c>
      <c r="Q352" t="s">
        <v>82</v>
      </c>
      <c r="R352" t="s">
        <v>48</v>
      </c>
      <c r="S352">
        <v>8412</v>
      </c>
      <c r="T352" t="str" cm="1">
        <f t="array" ref="T352">_xlfn.IFS(S352&gt;=10000,"High (&gt;10k)",S352&gt;=5000,"Medium (5k-10k)",S352&lt;5000,"Low (&lt;5k)")</f>
        <v>Medium (5k-10k)</v>
      </c>
      <c r="U352">
        <v>2890</v>
      </c>
      <c r="V352">
        <v>0</v>
      </c>
      <c r="W352" t="s">
        <v>43</v>
      </c>
      <c r="X352">
        <v>11</v>
      </c>
      <c r="Y352">
        <v>3</v>
      </c>
      <c r="Z352">
        <v>3</v>
      </c>
      <c r="AA352">
        <v>0</v>
      </c>
      <c r="AB352">
        <v>10</v>
      </c>
      <c r="AC352">
        <v>3</v>
      </c>
      <c r="AD352" t="s">
        <v>74</v>
      </c>
      <c r="AE352">
        <v>9</v>
      </c>
      <c r="AF352" t="str" cm="1">
        <f t="array" ref="AF352">_xlfn.IFS(AE352&gt;=10,"Veteran (10y+)",AE352&gt;=3,"Established (3-10y)",AE352&lt;3,"New Hire (&lt;3y)")</f>
        <v>Established (3-10y)</v>
      </c>
      <c r="AG352">
        <v>8</v>
      </c>
      <c r="AH352">
        <v>7</v>
      </c>
      <c r="AI352">
        <v>8</v>
      </c>
    </row>
    <row r="353" spans="1:35">
      <c r="A353">
        <v>30</v>
      </c>
      <c r="B353" t="str">
        <f t="shared" si="5"/>
        <v>Middle Aged</v>
      </c>
      <c r="C353">
        <v>0</v>
      </c>
      <c r="D353" t="s">
        <v>55</v>
      </c>
      <c r="E353">
        <v>1116</v>
      </c>
      <c r="F353" t="s">
        <v>45</v>
      </c>
      <c r="G353">
        <v>2</v>
      </c>
      <c r="H353" t="str" cm="1">
        <f t="array" ref="H353">_xlfn.IFS(G353&gt;15,"Long Commute",G353&gt;5,"Moderate",G353&lt;=5,"Near Office")</f>
        <v>Near Office</v>
      </c>
      <c r="I353" t="s">
        <v>72</v>
      </c>
      <c r="J353" t="s">
        <v>51</v>
      </c>
      <c r="K353">
        <v>3</v>
      </c>
      <c r="L353" t="s">
        <v>39</v>
      </c>
      <c r="M353">
        <v>49</v>
      </c>
      <c r="N353">
        <v>3</v>
      </c>
      <c r="O353">
        <v>1</v>
      </c>
      <c r="P353" t="s">
        <v>50</v>
      </c>
      <c r="Q353" t="s">
        <v>77</v>
      </c>
      <c r="R353" t="s">
        <v>41</v>
      </c>
      <c r="S353">
        <v>2564</v>
      </c>
      <c r="T353" t="str" cm="1">
        <f t="array" ref="T353">_xlfn.IFS(S353&gt;=10000,"High (&gt;10k)",S353&gt;=5000,"Medium (5k-10k)",S353&lt;5000,"Low (&lt;5k)")</f>
        <v>Low (&lt;5k)</v>
      </c>
      <c r="U353">
        <v>7181</v>
      </c>
      <c r="V353">
        <v>0</v>
      </c>
      <c r="W353" t="s">
        <v>43</v>
      </c>
      <c r="X353">
        <v>14</v>
      </c>
      <c r="Y353">
        <v>3</v>
      </c>
      <c r="Z353">
        <v>3</v>
      </c>
      <c r="AA353">
        <v>0</v>
      </c>
      <c r="AB353">
        <v>12</v>
      </c>
      <c r="AC353">
        <v>2</v>
      </c>
      <c r="AD353" t="s">
        <v>81</v>
      </c>
      <c r="AE353">
        <v>11</v>
      </c>
      <c r="AF353" t="str" cm="1">
        <f t="array" ref="AF353">_xlfn.IFS(AE353&gt;=10,"Veteran (10y+)",AE353&gt;=3,"Established (3-10y)",AE353&lt;3,"New Hire (&lt;3y)")</f>
        <v>Veteran (10y+)</v>
      </c>
      <c r="AG353">
        <v>7</v>
      </c>
      <c r="AH353">
        <v>6</v>
      </c>
      <c r="AI353">
        <v>7</v>
      </c>
    </row>
    <row r="354" spans="1:35">
      <c r="A354">
        <v>30</v>
      </c>
      <c r="B354" t="str">
        <f t="shared" si="5"/>
        <v>Middle Aged</v>
      </c>
      <c r="C354">
        <v>0</v>
      </c>
      <c r="D354" t="s">
        <v>36</v>
      </c>
      <c r="E354">
        <v>413</v>
      </c>
      <c r="F354" t="s">
        <v>37</v>
      </c>
      <c r="G354">
        <v>7</v>
      </c>
      <c r="H354" t="str" cm="1">
        <f t="array" ref="H354">_xlfn.IFS(G354&gt;15,"Long Commute",G354&gt;5,"Moderate",G354&lt;=5,"Near Office")</f>
        <v>Moderate</v>
      </c>
      <c r="I354" t="s">
        <v>78</v>
      </c>
      <c r="J354" t="s">
        <v>59</v>
      </c>
      <c r="K354">
        <v>4</v>
      </c>
      <c r="L354" t="s">
        <v>46</v>
      </c>
      <c r="M354">
        <v>57</v>
      </c>
      <c r="N354">
        <v>3</v>
      </c>
      <c r="O354">
        <v>1</v>
      </c>
      <c r="P354" t="s">
        <v>57</v>
      </c>
      <c r="Q354" t="s">
        <v>75</v>
      </c>
      <c r="R354" t="s">
        <v>41</v>
      </c>
      <c r="S354">
        <v>2983</v>
      </c>
      <c r="T354" t="str" cm="1">
        <f t="array" ref="T354">_xlfn.IFS(S354&gt;=10000,"High (&gt;10k)",S354&gt;=5000,"Medium (5k-10k)",S354&lt;5000,"Low (&lt;5k)")</f>
        <v>Low (&lt;5k)</v>
      </c>
      <c r="U354">
        <v>18398</v>
      </c>
      <c r="V354">
        <v>0</v>
      </c>
      <c r="W354" t="s">
        <v>43</v>
      </c>
      <c r="X354">
        <v>14</v>
      </c>
      <c r="Y354">
        <v>3</v>
      </c>
      <c r="Z354">
        <v>1</v>
      </c>
      <c r="AA354">
        <v>0</v>
      </c>
      <c r="AB354">
        <v>4</v>
      </c>
      <c r="AC354">
        <v>3</v>
      </c>
      <c r="AD354" t="s">
        <v>74</v>
      </c>
      <c r="AE354">
        <v>3</v>
      </c>
      <c r="AF354" t="str" cm="1">
        <f t="array" ref="AF354">_xlfn.IFS(AE354&gt;=10,"Veteran (10y+)",AE354&gt;=3,"Established (3-10y)",AE354&lt;3,"New Hire (&lt;3y)")</f>
        <v>Established (3-10y)</v>
      </c>
      <c r="AG354">
        <v>2</v>
      </c>
      <c r="AH354">
        <v>1</v>
      </c>
      <c r="AI354">
        <v>2</v>
      </c>
    </row>
    <row r="355" spans="1:35">
      <c r="A355">
        <v>30</v>
      </c>
      <c r="B355" t="str">
        <f t="shared" si="5"/>
        <v>Middle Aged</v>
      </c>
      <c r="C355">
        <v>1</v>
      </c>
      <c r="D355" t="s">
        <v>44</v>
      </c>
      <c r="E355">
        <v>448</v>
      </c>
      <c r="F355" t="s">
        <v>37</v>
      </c>
      <c r="G355">
        <v>12</v>
      </c>
      <c r="H355" t="str" cm="1">
        <f t="array" ref="H355">_xlfn.IFS(G355&gt;15,"Long Commute",G355&gt;5,"Moderate",G355&lt;=5,"Near Office")</f>
        <v>Moderate</v>
      </c>
      <c r="I355" t="s">
        <v>83</v>
      </c>
      <c r="J355" t="s">
        <v>38</v>
      </c>
      <c r="K355">
        <v>2</v>
      </c>
      <c r="L355" t="s">
        <v>46</v>
      </c>
      <c r="M355">
        <v>74</v>
      </c>
      <c r="N355">
        <v>2</v>
      </c>
      <c r="O355">
        <v>1</v>
      </c>
      <c r="P355" t="s">
        <v>57</v>
      </c>
      <c r="Q355" t="s">
        <v>82</v>
      </c>
      <c r="R355" t="s">
        <v>48</v>
      </c>
      <c r="S355">
        <v>2033</v>
      </c>
      <c r="T355" t="str" cm="1">
        <f t="array" ref="T355">_xlfn.IFS(S355&gt;=10000,"High (&gt;10k)",S355&gt;=5000,"Medium (5k-10k)",S355&lt;5000,"Low (&lt;5k)")</f>
        <v>Low (&lt;5k)</v>
      </c>
      <c r="U355">
        <v>14470</v>
      </c>
      <c r="V355">
        <v>1</v>
      </c>
      <c r="W355" t="s">
        <v>43</v>
      </c>
      <c r="X355">
        <v>18</v>
      </c>
      <c r="Y355">
        <v>3</v>
      </c>
      <c r="Z355">
        <v>3</v>
      </c>
      <c r="AA355">
        <v>1</v>
      </c>
      <c r="AB355">
        <v>1</v>
      </c>
      <c r="AC355">
        <v>2</v>
      </c>
      <c r="AD355" t="s">
        <v>79</v>
      </c>
      <c r="AE355">
        <v>1</v>
      </c>
      <c r="AF355" t="str" cm="1">
        <f t="array" ref="AF355">_xlfn.IFS(AE355&gt;=10,"Veteran (10y+)",AE355&gt;=3,"Established (3-10y)",AE355&lt;3,"New Hire (&lt;3y)")</f>
        <v>New Hire (&lt;3y)</v>
      </c>
      <c r="AG355">
        <v>0</v>
      </c>
      <c r="AH355">
        <v>0</v>
      </c>
      <c r="AI355">
        <v>0</v>
      </c>
    </row>
    <row r="356" spans="1:35">
      <c r="A356">
        <v>30</v>
      </c>
      <c r="B356" t="str">
        <f t="shared" si="5"/>
        <v>Middle Aged</v>
      </c>
      <c r="C356">
        <v>0</v>
      </c>
      <c r="D356" t="s">
        <v>44</v>
      </c>
      <c r="E356">
        <v>160</v>
      </c>
      <c r="F356" t="s">
        <v>45</v>
      </c>
      <c r="G356">
        <v>3</v>
      </c>
      <c r="H356" t="str" cm="1">
        <f t="array" ref="H356">_xlfn.IFS(G356&gt;15,"Long Commute",G356&gt;5,"Moderate",G356&lt;=5,"Near Office")</f>
        <v>Near Office</v>
      </c>
      <c r="I356" t="s">
        <v>72</v>
      </c>
      <c r="J356" t="s">
        <v>51</v>
      </c>
      <c r="K356">
        <v>3</v>
      </c>
      <c r="L356" t="s">
        <v>39</v>
      </c>
      <c r="M356">
        <v>71</v>
      </c>
      <c r="N356">
        <v>3</v>
      </c>
      <c r="O356">
        <v>1</v>
      </c>
      <c r="P356" t="s">
        <v>47</v>
      </c>
      <c r="Q356" t="s">
        <v>73</v>
      </c>
      <c r="R356" t="s">
        <v>52</v>
      </c>
      <c r="S356">
        <v>2083</v>
      </c>
      <c r="T356" t="str" cm="1">
        <f t="array" ref="T356">_xlfn.IFS(S356&gt;=10000,"High (&gt;10k)",S356&gt;=5000,"Medium (5k-10k)",S356&lt;5000,"Low (&lt;5k)")</f>
        <v>Low (&lt;5k)</v>
      </c>
      <c r="U356">
        <v>22653</v>
      </c>
      <c r="V356">
        <v>1</v>
      </c>
      <c r="W356" t="s">
        <v>43</v>
      </c>
      <c r="X356">
        <v>20</v>
      </c>
      <c r="Y356">
        <v>4</v>
      </c>
      <c r="Z356">
        <v>3</v>
      </c>
      <c r="AA356">
        <v>1</v>
      </c>
      <c r="AB356">
        <v>1</v>
      </c>
      <c r="AC356">
        <v>2</v>
      </c>
      <c r="AD356" t="s">
        <v>74</v>
      </c>
      <c r="AE356">
        <v>1</v>
      </c>
      <c r="AF356" t="str" cm="1">
        <f t="array" ref="AF356">_xlfn.IFS(AE356&gt;=10,"Veteran (10y+)",AE356&gt;=3,"Established (3-10y)",AE356&lt;3,"New Hire (&lt;3y)")</f>
        <v>New Hire (&lt;3y)</v>
      </c>
      <c r="AG356">
        <v>0</v>
      </c>
      <c r="AH356">
        <v>0</v>
      </c>
      <c r="AI356">
        <v>0</v>
      </c>
    </row>
    <row r="357" spans="1:35">
      <c r="A357">
        <v>30</v>
      </c>
      <c r="B357" t="str">
        <f t="shared" si="5"/>
        <v>Middle Aged</v>
      </c>
      <c r="C357">
        <v>0</v>
      </c>
      <c r="D357" t="s">
        <v>36</v>
      </c>
      <c r="E357">
        <v>501</v>
      </c>
      <c r="F357" t="s">
        <v>37</v>
      </c>
      <c r="G357">
        <v>27</v>
      </c>
      <c r="H357" t="str" cm="1">
        <f t="array" ref="H357">_xlfn.IFS(G357&gt;15,"Long Commute",G357&gt;5,"Moderate",G357&lt;=5,"Near Office")</f>
        <v>Long Commute</v>
      </c>
      <c r="I357" t="s">
        <v>84</v>
      </c>
      <c r="J357" t="s">
        <v>59</v>
      </c>
      <c r="K357">
        <v>3</v>
      </c>
      <c r="L357" t="s">
        <v>46</v>
      </c>
      <c r="M357">
        <v>99</v>
      </c>
      <c r="N357">
        <v>3</v>
      </c>
      <c r="O357">
        <v>2</v>
      </c>
      <c r="P357" t="s">
        <v>40</v>
      </c>
      <c r="Q357" t="s">
        <v>77</v>
      </c>
      <c r="R357" t="s">
        <v>52</v>
      </c>
      <c r="S357">
        <v>5304</v>
      </c>
      <c r="T357" t="str" cm="1">
        <f t="array" ref="T357">_xlfn.IFS(S357&gt;=10000,"High (&gt;10k)",S357&gt;=5000,"Medium (5k-10k)",S357&lt;5000,"Low (&lt;5k)")</f>
        <v>Medium (5k-10k)</v>
      </c>
      <c r="U357">
        <v>25275</v>
      </c>
      <c r="V357">
        <v>7</v>
      </c>
      <c r="W357" t="s">
        <v>43</v>
      </c>
      <c r="X357">
        <v>23</v>
      </c>
      <c r="Y357">
        <v>4</v>
      </c>
      <c r="Z357">
        <v>4</v>
      </c>
      <c r="AA357">
        <v>1</v>
      </c>
      <c r="AB357">
        <v>10</v>
      </c>
      <c r="AC357">
        <v>2</v>
      </c>
      <c r="AD357" t="s">
        <v>81</v>
      </c>
      <c r="AE357">
        <v>8</v>
      </c>
      <c r="AF357" t="str" cm="1">
        <f t="array" ref="AF357">_xlfn.IFS(AE357&gt;=10,"Veteran (10y+)",AE357&gt;=3,"Established (3-10y)",AE357&lt;3,"New Hire (&lt;3y)")</f>
        <v>Established (3-10y)</v>
      </c>
      <c r="AG357">
        <v>7</v>
      </c>
      <c r="AH357">
        <v>7</v>
      </c>
      <c r="AI357">
        <v>7</v>
      </c>
    </row>
    <row r="358" spans="1:35">
      <c r="A358">
        <v>30</v>
      </c>
      <c r="B358" t="str">
        <f t="shared" si="5"/>
        <v>Middle Aged</v>
      </c>
      <c r="C358">
        <v>0</v>
      </c>
      <c r="D358" t="s">
        <v>36</v>
      </c>
      <c r="E358">
        <v>921</v>
      </c>
      <c r="F358" t="s">
        <v>45</v>
      </c>
      <c r="G358">
        <v>1</v>
      </c>
      <c r="H358" t="str" cm="1">
        <f t="array" ref="H358">_xlfn.IFS(G358&gt;15,"Long Commute",G358&gt;5,"Moderate",G358&lt;=5,"Near Office")</f>
        <v>Near Office</v>
      </c>
      <c r="I358" t="s">
        <v>72</v>
      </c>
      <c r="J358" t="s">
        <v>38</v>
      </c>
      <c r="K358">
        <v>4</v>
      </c>
      <c r="L358" t="s">
        <v>46</v>
      </c>
      <c r="M358">
        <v>38</v>
      </c>
      <c r="N358">
        <v>1</v>
      </c>
      <c r="O358">
        <v>1</v>
      </c>
      <c r="P358" t="s">
        <v>50</v>
      </c>
      <c r="Q358" t="s">
        <v>73</v>
      </c>
      <c r="R358" t="s">
        <v>48</v>
      </c>
      <c r="S358">
        <v>3833</v>
      </c>
      <c r="T358" t="str" cm="1">
        <f t="array" ref="T358">_xlfn.IFS(S358&gt;=10000,"High (&gt;10k)",S358&gt;=5000,"Medium (5k-10k)",S358&lt;5000,"Low (&lt;5k)")</f>
        <v>Low (&lt;5k)</v>
      </c>
      <c r="U358">
        <v>24375</v>
      </c>
      <c r="V358">
        <v>3</v>
      </c>
      <c r="W358" t="s">
        <v>43</v>
      </c>
      <c r="X358">
        <v>21</v>
      </c>
      <c r="Y358">
        <v>4</v>
      </c>
      <c r="Z358">
        <v>3</v>
      </c>
      <c r="AA358">
        <v>2</v>
      </c>
      <c r="AB358">
        <v>7</v>
      </c>
      <c r="AC358">
        <v>2</v>
      </c>
      <c r="AD358" t="s">
        <v>74</v>
      </c>
      <c r="AE358">
        <v>2</v>
      </c>
      <c r="AF358" t="str" cm="1">
        <f t="array" ref="AF358">_xlfn.IFS(AE358&gt;=10,"Veteran (10y+)",AE358&gt;=3,"Established (3-10y)",AE358&lt;3,"New Hire (&lt;3y)")</f>
        <v>New Hire (&lt;3y)</v>
      </c>
      <c r="AG358">
        <v>2</v>
      </c>
      <c r="AH358">
        <v>0</v>
      </c>
      <c r="AI358">
        <v>2</v>
      </c>
    </row>
    <row r="359" spans="1:35">
      <c r="A359">
        <v>30</v>
      </c>
      <c r="B359" t="str">
        <f t="shared" si="5"/>
        <v>Middle Aged</v>
      </c>
      <c r="C359">
        <v>0</v>
      </c>
      <c r="D359" t="s">
        <v>36</v>
      </c>
      <c r="E359">
        <v>946</v>
      </c>
      <c r="F359" t="s">
        <v>45</v>
      </c>
      <c r="G359">
        <v>2</v>
      </c>
      <c r="H359" t="str" cm="1">
        <f t="array" ref="H359">_xlfn.IFS(G359&gt;15,"Long Commute",G359&gt;5,"Moderate",G359&lt;=5,"Near Office")</f>
        <v>Near Office</v>
      </c>
      <c r="I359" t="s">
        <v>72</v>
      </c>
      <c r="J359" t="s">
        <v>51</v>
      </c>
      <c r="K359">
        <v>3</v>
      </c>
      <c r="L359" t="s">
        <v>39</v>
      </c>
      <c r="M359">
        <v>52</v>
      </c>
      <c r="N359">
        <v>2</v>
      </c>
      <c r="O359">
        <v>2</v>
      </c>
      <c r="P359" t="s">
        <v>53</v>
      </c>
      <c r="Q359" t="s">
        <v>77</v>
      </c>
      <c r="R359" t="s">
        <v>41</v>
      </c>
      <c r="S359">
        <v>6877</v>
      </c>
      <c r="T359" t="str" cm="1">
        <f t="array" ref="T359">_xlfn.IFS(S359&gt;=10000,"High (&gt;10k)",S359&gt;=5000,"Medium (5k-10k)",S359&lt;5000,"Low (&lt;5k)")</f>
        <v>Medium (5k-10k)</v>
      </c>
      <c r="U359">
        <v>20234</v>
      </c>
      <c r="V359">
        <v>5</v>
      </c>
      <c r="W359" t="s">
        <v>35</v>
      </c>
      <c r="X359">
        <v>24</v>
      </c>
      <c r="Y359">
        <v>4</v>
      </c>
      <c r="Z359">
        <v>2</v>
      </c>
      <c r="AA359">
        <v>0</v>
      </c>
      <c r="AB359">
        <v>12</v>
      </c>
      <c r="AC359">
        <v>4</v>
      </c>
      <c r="AD359" t="s">
        <v>81</v>
      </c>
      <c r="AE359">
        <v>0</v>
      </c>
      <c r="AF359" t="str" cm="1">
        <f t="array" ref="AF359">_xlfn.IFS(AE359&gt;=10,"Veteran (10y+)",AE359&gt;=3,"Established (3-10y)",AE359&lt;3,"New Hire (&lt;3y)")</f>
        <v>New Hire (&lt;3y)</v>
      </c>
      <c r="AG359">
        <v>0</v>
      </c>
      <c r="AH359">
        <v>0</v>
      </c>
      <c r="AI359">
        <v>0</v>
      </c>
    </row>
    <row r="360" spans="1:35">
      <c r="A360">
        <v>30</v>
      </c>
      <c r="B360" t="str">
        <f t="shared" si="5"/>
        <v>Middle Aged</v>
      </c>
      <c r="C360">
        <v>0</v>
      </c>
      <c r="D360" t="s">
        <v>44</v>
      </c>
      <c r="E360">
        <v>1012</v>
      </c>
      <c r="F360" t="s">
        <v>45</v>
      </c>
      <c r="G360">
        <v>5</v>
      </c>
      <c r="H360" t="str" cm="1">
        <f t="array" ref="H360">_xlfn.IFS(G360&gt;15,"Long Commute",G360&gt;5,"Moderate",G360&lt;=5,"Near Office")</f>
        <v>Near Office</v>
      </c>
      <c r="I360" t="s">
        <v>83</v>
      </c>
      <c r="J360" t="s">
        <v>38</v>
      </c>
      <c r="K360">
        <v>2</v>
      </c>
      <c r="L360" t="s">
        <v>46</v>
      </c>
      <c r="M360">
        <v>75</v>
      </c>
      <c r="N360">
        <v>2</v>
      </c>
      <c r="O360">
        <v>1</v>
      </c>
      <c r="P360" t="s">
        <v>47</v>
      </c>
      <c r="Q360" t="s">
        <v>77</v>
      </c>
      <c r="R360" t="s">
        <v>52</v>
      </c>
      <c r="S360">
        <v>3761</v>
      </c>
      <c r="T360" t="str" cm="1">
        <f t="array" ref="T360">_xlfn.IFS(S360&gt;=10000,"High (&gt;10k)",S360&gt;=5000,"Medium (5k-10k)",S360&lt;5000,"Low (&lt;5k)")</f>
        <v>Low (&lt;5k)</v>
      </c>
      <c r="U360">
        <v>2373</v>
      </c>
      <c r="V360">
        <v>9</v>
      </c>
      <c r="W360" t="s">
        <v>43</v>
      </c>
      <c r="X360">
        <v>12</v>
      </c>
      <c r="Y360">
        <v>3</v>
      </c>
      <c r="Z360">
        <v>2</v>
      </c>
      <c r="AA360">
        <v>1</v>
      </c>
      <c r="AB360">
        <v>10</v>
      </c>
      <c r="AC360">
        <v>3</v>
      </c>
      <c r="AD360" t="s">
        <v>81</v>
      </c>
      <c r="AE360">
        <v>5</v>
      </c>
      <c r="AF360" t="str" cm="1">
        <f t="array" ref="AF360">_xlfn.IFS(AE360&gt;=10,"Veteran (10y+)",AE360&gt;=3,"Established (3-10y)",AE360&lt;3,"New Hire (&lt;3y)")</f>
        <v>Established (3-10y)</v>
      </c>
      <c r="AG360">
        <v>4</v>
      </c>
      <c r="AH360">
        <v>0</v>
      </c>
      <c r="AI360">
        <v>3</v>
      </c>
    </row>
    <row r="361" spans="1:35">
      <c r="A361">
        <v>30</v>
      </c>
      <c r="B361" t="str">
        <f t="shared" si="5"/>
        <v>Middle Aged</v>
      </c>
      <c r="C361">
        <v>0</v>
      </c>
      <c r="D361" t="s">
        <v>36</v>
      </c>
      <c r="E361">
        <v>231</v>
      </c>
      <c r="F361" t="s">
        <v>37</v>
      </c>
      <c r="G361">
        <v>8</v>
      </c>
      <c r="H361" t="str" cm="1">
        <f t="array" ref="H361">_xlfn.IFS(G361&gt;15,"Long Commute",G361&gt;5,"Moderate",G361&lt;=5,"Near Office")</f>
        <v>Moderate</v>
      </c>
      <c r="I361" t="s">
        <v>76</v>
      </c>
      <c r="J361" t="s">
        <v>49</v>
      </c>
      <c r="K361">
        <v>3</v>
      </c>
      <c r="L361" t="s">
        <v>46</v>
      </c>
      <c r="M361">
        <v>62</v>
      </c>
      <c r="N361">
        <v>3</v>
      </c>
      <c r="O361">
        <v>3</v>
      </c>
      <c r="P361" t="s">
        <v>40</v>
      </c>
      <c r="Q361" t="s">
        <v>73</v>
      </c>
      <c r="R361" t="s">
        <v>52</v>
      </c>
      <c r="S361">
        <v>7264</v>
      </c>
      <c r="T361" t="str" cm="1">
        <f t="array" ref="T361">_xlfn.IFS(S361&gt;=10000,"High (&gt;10k)",S361&gt;=5000,"Medium (5k-10k)",S361&lt;5000,"Low (&lt;5k)")</f>
        <v>Medium (5k-10k)</v>
      </c>
      <c r="U361">
        <v>9977</v>
      </c>
      <c r="V361">
        <v>5</v>
      </c>
      <c r="W361" t="s">
        <v>43</v>
      </c>
      <c r="X361">
        <v>11</v>
      </c>
      <c r="Y361">
        <v>3</v>
      </c>
      <c r="Z361">
        <v>1</v>
      </c>
      <c r="AA361">
        <v>1</v>
      </c>
      <c r="AB361">
        <v>10</v>
      </c>
      <c r="AC361">
        <v>2</v>
      </c>
      <c r="AD361" t="s">
        <v>79</v>
      </c>
      <c r="AE361">
        <v>8</v>
      </c>
      <c r="AF361" t="str" cm="1">
        <f t="array" ref="AF361">_xlfn.IFS(AE361&gt;=10,"Veteran (10y+)",AE361&gt;=3,"Established (3-10y)",AE361&lt;3,"New Hire (&lt;3y)")</f>
        <v>Established (3-10y)</v>
      </c>
      <c r="AG361">
        <v>4</v>
      </c>
      <c r="AH361">
        <v>7</v>
      </c>
      <c r="AI361">
        <v>7</v>
      </c>
    </row>
    <row r="362" spans="1:35">
      <c r="A362">
        <v>30</v>
      </c>
      <c r="B362" t="str">
        <f t="shared" si="5"/>
        <v>Middle Aged</v>
      </c>
      <c r="C362">
        <v>1</v>
      </c>
      <c r="D362" t="s">
        <v>36</v>
      </c>
      <c r="E362">
        <v>138</v>
      </c>
      <c r="F362" t="s">
        <v>45</v>
      </c>
      <c r="G362">
        <v>22</v>
      </c>
      <c r="H362" t="str" cm="1">
        <f t="array" ref="H362">_xlfn.IFS(G362&gt;15,"Long Commute",G362&gt;5,"Moderate",G362&lt;=5,"Near Office")</f>
        <v>Long Commute</v>
      </c>
      <c r="I362" t="s">
        <v>72</v>
      </c>
      <c r="J362" t="s">
        <v>38</v>
      </c>
      <c r="K362">
        <v>1</v>
      </c>
      <c r="L362" t="s">
        <v>39</v>
      </c>
      <c r="M362">
        <v>48</v>
      </c>
      <c r="N362">
        <v>3</v>
      </c>
      <c r="O362">
        <v>1</v>
      </c>
      <c r="P362" t="s">
        <v>47</v>
      </c>
      <c r="Q362" t="s">
        <v>73</v>
      </c>
      <c r="R362" t="s">
        <v>48</v>
      </c>
      <c r="S362">
        <v>2132</v>
      </c>
      <c r="T362" t="str" cm="1">
        <f t="array" ref="T362">_xlfn.IFS(S362&gt;=10000,"High (&gt;10k)",S362&gt;=5000,"Medium (5k-10k)",S362&lt;5000,"Low (&lt;5k)")</f>
        <v>Low (&lt;5k)</v>
      </c>
      <c r="U362">
        <v>11539</v>
      </c>
      <c r="V362">
        <v>4</v>
      </c>
      <c r="W362" t="s">
        <v>35</v>
      </c>
      <c r="X362">
        <v>11</v>
      </c>
      <c r="Y362">
        <v>3</v>
      </c>
      <c r="Z362">
        <v>2</v>
      </c>
      <c r="AA362">
        <v>0</v>
      </c>
      <c r="AB362">
        <v>7</v>
      </c>
      <c r="AC362">
        <v>2</v>
      </c>
      <c r="AD362" t="s">
        <v>74</v>
      </c>
      <c r="AE362">
        <v>5</v>
      </c>
      <c r="AF362" t="str" cm="1">
        <f t="array" ref="AF362">_xlfn.IFS(AE362&gt;=10,"Veteran (10y+)",AE362&gt;=3,"Established (3-10y)",AE362&lt;3,"New Hire (&lt;3y)")</f>
        <v>Established (3-10y)</v>
      </c>
      <c r="AG362">
        <v>2</v>
      </c>
      <c r="AH362">
        <v>0</v>
      </c>
      <c r="AI362">
        <v>1</v>
      </c>
    </row>
    <row r="363" spans="1:35">
      <c r="A363">
        <v>30</v>
      </c>
      <c r="B363" t="str">
        <f t="shared" si="5"/>
        <v>Middle Aged</v>
      </c>
      <c r="C363">
        <v>0</v>
      </c>
      <c r="D363" t="s">
        <v>36</v>
      </c>
      <c r="E363">
        <v>153</v>
      </c>
      <c r="F363" t="s">
        <v>45</v>
      </c>
      <c r="G363">
        <v>8</v>
      </c>
      <c r="H363" t="str" cm="1">
        <f t="array" ref="H363">_xlfn.IFS(G363&gt;15,"Long Commute",G363&gt;5,"Moderate",G363&lt;=5,"Near Office")</f>
        <v>Moderate</v>
      </c>
      <c r="I363" t="s">
        <v>76</v>
      </c>
      <c r="J363" t="s">
        <v>38</v>
      </c>
      <c r="K363">
        <v>2</v>
      </c>
      <c r="L363" t="s">
        <v>39</v>
      </c>
      <c r="M363">
        <v>73</v>
      </c>
      <c r="N363">
        <v>4</v>
      </c>
      <c r="O363">
        <v>3</v>
      </c>
      <c r="P363" t="s">
        <v>58</v>
      </c>
      <c r="Q363" t="s">
        <v>82</v>
      </c>
      <c r="R363" t="s">
        <v>48</v>
      </c>
      <c r="S363">
        <v>11416</v>
      </c>
      <c r="T363" t="str" cm="1">
        <f t="array" ref="T363">_xlfn.IFS(S363&gt;=10000,"High (&gt;10k)",S363&gt;=5000,"Medium (5k-10k)",S363&lt;5000,"Low (&lt;5k)")</f>
        <v>High (&gt;10k)</v>
      </c>
      <c r="U363">
        <v>17802</v>
      </c>
      <c r="V363">
        <v>0</v>
      </c>
      <c r="W363" t="s">
        <v>35</v>
      </c>
      <c r="X363">
        <v>12</v>
      </c>
      <c r="Y363">
        <v>3</v>
      </c>
      <c r="Z363">
        <v>3</v>
      </c>
      <c r="AA363">
        <v>3</v>
      </c>
      <c r="AB363">
        <v>9</v>
      </c>
      <c r="AC363">
        <v>4</v>
      </c>
      <c r="AD363" t="s">
        <v>81</v>
      </c>
      <c r="AE363">
        <v>8</v>
      </c>
      <c r="AF363" t="str" cm="1">
        <f t="array" ref="AF363">_xlfn.IFS(AE363&gt;=10,"Veteran (10y+)",AE363&gt;=3,"Established (3-10y)",AE363&lt;3,"New Hire (&lt;3y)")</f>
        <v>Established (3-10y)</v>
      </c>
      <c r="AG363">
        <v>7</v>
      </c>
      <c r="AH363">
        <v>1</v>
      </c>
      <c r="AI363">
        <v>7</v>
      </c>
    </row>
    <row r="364" spans="1:35">
      <c r="A364">
        <v>30</v>
      </c>
      <c r="B364" t="str">
        <f t="shared" si="5"/>
        <v>Middle Aged</v>
      </c>
      <c r="C364">
        <v>1</v>
      </c>
      <c r="D364" t="s">
        <v>44</v>
      </c>
      <c r="E364">
        <v>109</v>
      </c>
      <c r="F364" t="s">
        <v>45</v>
      </c>
      <c r="G364">
        <v>5</v>
      </c>
      <c r="H364" t="str" cm="1">
        <f t="array" ref="H364">_xlfn.IFS(G364&gt;15,"Long Commute",G364&gt;5,"Moderate",G364&lt;=5,"Near Office")</f>
        <v>Near Office</v>
      </c>
      <c r="I364" t="s">
        <v>72</v>
      </c>
      <c r="J364" t="s">
        <v>51</v>
      </c>
      <c r="K364">
        <v>2</v>
      </c>
      <c r="L364" t="s">
        <v>39</v>
      </c>
      <c r="M364">
        <v>60</v>
      </c>
      <c r="N364">
        <v>3</v>
      </c>
      <c r="O364">
        <v>1</v>
      </c>
      <c r="P364" t="s">
        <v>50</v>
      </c>
      <c r="Q364" t="s">
        <v>75</v>
      </c>
      <c r="R364" t="s">
        <v>41</v>
      </c>
      <c r="S364">
        <v>2422</v>
      </c>
      <c r="T364" t="str" cm="1">
        <f t="array" ref="T364">_xlfn.IFS(S364&gt;=10000,"High (&gt;10k)",S364&gt;=5000,"Medium (5k-10k)",S364&lt;5000,"Low (&lt;5k)")</f>
        <v>Low (&lt;5k)</v>
      </c>
      <c r="U364">
        <v>25725</v>
      </c>
      <c r="V364">
        <v>0</v>
      </c>
      <c r="W364" t="s">
        <v>43</v>
      </c>
      <c r="X364">
        <v>17</v>
      </c>
      <c r="Y364">
        <v>3</v>
      </c>
      <c r="Z364">
        <v>1</v>
      </c>
      <c r="AA364">
        <v>0</v>
      </c>
      <c r="AB364">
        <v>4</v>
      </c>
      <c r="AC364">
        <v>3</v>
      </c>
      <c r="AD364" t="s">
        <v>74</v>
      </c>
      <c r="AE364">
        <v>3</v>
      </c>
      <c r="AF364" t="str" cm="1">
        <f t="array" ref="AF364">_xlfn.IFS(AE364&gt;=10,"Veteran (10y+)",AE364&gt;=3,"Established (3-10y)",AE364&lt;3,"New Hire (&lt;3y)")</f>
        <v>Established (3-10y)</v>
      </c>
      <c r="AG364">
        <v>2</v>
      </c>
      <c r="AH364">
        <v>1</v>
      </c>
      <c r="AI364">
        <v>2</v>
      </c>
    </row>
    <row r="365" spans="1:35">
      <c r="A365">
        <v>30</v>
      </c>
      <c r="B365" t="str">
        <f t="shared" si="5"/>
        <v>Middle Aged</v>
      </c>
      <c r="C365">
        <v>0</v>
      </c>
      <c r="D365" t="s">
        <v>36</v>
      </c>
      <c r="E365">
        <v>1176</v>
      </c>
      <c r="F365" t="s">
        <v>45</v>
      </c>
      <c r="G365">
        <v>20</v>
      </c>
      <c r="H365" t="str" cm="1">
        <f t="array" ref="H365">_xlfn.IFS(G365&gt;15,"Long Commute",G365&gt;5,"Moderate",G365&lt;=5,"Near Office")</f>
        <v>Long Commute</v>
      </c>
      <c r="I365" t="s">
        <v>72</v>
      </c>
      <c r="J365" t="s">
        <v>49</v>
      </c>
      <c r="K365">
        <v>3</v>
      </c>
      <c r="L365" t="s">
        <v>46</v>
      </c>
      <c r="M365">
        <v>85</v>
      </c>
      <c r="N365">
        <v>3</v>
      </c>
      <c r="O365">
        <v>2</v>
      </c>
      <c r="P365" t="s">
        <v>53</v>
      </c>
      <c r="Q365" t="s">
        <v>82</v>
      </c>
      <c r="R365" t="s">
        <v>48</v>
      </c>
      <c r="S365">
        <v>9957</v>
      </c>
      <c r="T365" t="str" cm="1">
        <f t="array" ref="T365">_xlfn.IFS(S365&gt;=10000,"High (&gt;10k)",S365&gt;=5000,"Medium (5k-10k)",S365&lt;5000,"Low (&lt;5k)")</f>
        <v>Medium (5k-10k)</v>
      </c>
      <c r="U365">
        <v>9096</v>
      </c>
      <c r="V365">
        <v>0</v>
      </c>
      <c r="W365" t="s">
        <v>43</v>
      </c>
      <c r="X365">
        <v>15</v>
      </c>
      <c r="Y365">
        <v>3</v>
      </c>
      <c r="Z365">
        <v>3</v>
      </c>
      <c r="AA365">
        <v>1</v>
      </c>
      <c r="AB365">
        <v>7</v>
      </c>
      <c r="AC365">
        <v>1</v>
      </c>
      <c r="AD365" t="s">
        <v>81</v>
      </c>
      <c r="AE365">
        <v>6</v>
      </c>
      <c r="AF365" t="str" cm="1">
        <f t="array" ref="AF365">_xlfn.IFS(AE365&gt;=10,"Veteran (10y+)",AE365&gt;=3,"Established (3-10y)",AE365&lt;3,"New Hire (&lt;3y)")</f>
        <v>Established (3-10y)</v>
      </c>
      <c r="AG365">
        <v>2</v>
      </c>
      <c r="AH365">
        <v>0</v>
      </c>
      <c r="AI365">
        <v>2</v>
      </c>
    </row>
    <row r="366" spans="1:35">
      <c r="A366">
        <v>30</v>
      </c>
      <c r="B366" t="str">
        <f t="shared" si="5"/>
        <v>Middle Aged</v>
      </c>
      <c r="C366">
        <v>0</v>
      </c>
      <c r="D366" t="s">
        <v>36</v>
      </c>
      <c r="E366">
        <v>852</v>
      </c>
      <c r="F366" t="s">
        <v>37</v>
      </c>
      <c r="G366">
        <v>10</v>
      </c>
      <c r="H366" t="str" cm="1">
        <f t="array" ref="H366">_xlfn.IFS(G366&gt;15,"Long Commute",G366&gt;5,"Moderate",G366&lt;=5,"Near Office")</f>
        <v>Moderate</v>
      </c>
      <c r="I366" t="s">
        <v>72</v>
      </c>
      <c r="J366" t="s">
        <v>59</v>
      </c>
      <c r="K366">
        <v>3</v>
      </c>
      <c r="L366" t="s">
        <v>46</v>
      </c>
      <c r="M366">
        <v>72</v>
      </c>
      <c r="N366">
        <v>2</v>
      </c>
      <c r="O366">
        <v>2</v>
      </c>
      <c r="P366" t="s">
        <v>40</v>
      </c>
      <c r="Q366" t="s">
        <v>73</v>
      </c>
      <c r="R366" t="s">
        <v>48</v>
      </c>
      <c r="S366">
        <v>6578</v>
      </c>
      <c r="T366" t="str" cm="1">
        <f t="array" ref="T366">_xlfn.IFS(S366&gt;=10000,"High (&gt;10k)",S366&gt;=5000,"Medium (5k-10k)",S366&lt;5000,"Low (&lt;5k)")</f>
        <v>Medium (5k-10k)</v>
      </c>
      <c r="U366">
        <v>2706</v>
      </c>
      <c r="V366">
        <v>1</v>
      </c>
      <c r="W366" t="s">
        <v>43</v>
      </c>
      <c r="X366">
        <v>18</v>
      </c>
      <c r="Y366">
        <v>3</v>
      </c>
      <c r="Z366">
        <v>1</v>
      </c>
      <c r="AA366">
        <v>1</v>
      </c>
      <c r="AB366">
        <v>10</v>
      </c>
      <c r="AC366">
        <v>3</v>
      </c>
      <c r="AD366" t="s">
        <v>74</v>
      </c>
      <c r="AE366">
        <v>10</v>
      </c>
      <c r="AF366" t="str" cm="1">
        <f t="array" ref="AF366">_xlfn.IFS(AE366&gt;=10,"Veteran (10y+)",AE366&gt;=3,"Established (3-10y)",AE366&lt;3,"New Hire (&lt;3y)")</f>
        <v>Veteran (10y+)</v>
      </c>
      <c r="AG366">
        <v>3</v>
      </c>
      <c r="AH366">
        <v>1</v>
      </c>
      <c r="AI366">
        <v>4</v>
      </c>
    </row>
    <row r="367" spans="1:35">
      <c r="A367">
        <v>30</v>
      </c>
      <c r="B367" t="str">
        <f t="shared" si="5"/>
        <v>Middle Aged</v>
      </c>
      <c r="C367">
        <v>0</v>
      </c>
      <c r="D367" t="s">
        <v>36</v>
      </c>
      <c r="E367">
        <v>1329</v>
      </c>
      <c r="F367" t="s">
        <v>37</v>
      </c>
      <c r="G367">
        <v>29</v>
      </c>
      <c r="H367" t="str" cm="1">
        <f t="array" ref="H367">_xlfn.IFS(G367&gt;15,"Long Commute",G367&gt;5,"Moderate",G367&lt;=5,"Near Office")</f>
        <v>Long Commute</v>
      </c>
      <c r="I367" t="s">
        <v>83</v>
      </c>
      <c r="J367" t="s">
        <v>38</v>
      </c>
      <c r="K367">
        <v>3</v>
      </c>
      <c r="L367" t="s">
        <v>46</v>
      </c>
      <c r="M367">
        <v>61</v>
      </c>
      <c r="N367">
        <v>3</v>
      </c>
      <c r="O367">
        <v>2</v>
      </c>
      <c r="P367" t="s">
        <v>40</v>
      </c>
      <c r="Q367" t="s">
        <v>82</v>
      </c>
      <c r="R367" t="s">
        <v>52</v>
      </c>
      <c r="S367">
        <v>4115</v>
      </c>
      <c r="T367" t="str" cm="1">
        <f t="array" ref="T367">_xlfn.IFS(S367&gt;=10000,"High (&gt;10k)",S367&gt;=5000,"Medium (5k-10k)",S367&lt;5000,"Low (&lt;5k)")</f>
        <v>Low (&lt;5k)</v>
      </c>
      <c r="U367">
        <v>13192</v>
      </c>
      <c r="V367">
        <v>8</v>
      </c>
      <c r="W367" t="s">
        <v>43</v>
      </c>
      <c r="X367">
        <v>19</v>
      </c>
      <c r="Y367">
        <v>3</v>
      </c>
      <c r="Z367">
        <v>3</v>
      </c>
      <c r="AA367">
        <v>3</v>
      </c>
      <c r="AB367">
        <v>8</v>
      </c>
      <c r="AC367">
        <v>3</v>
      </c>
      <c r="AD367" t="s">
        <v>74</v>
      </c>
      <c r="AE367">
        <v>4</v>
      </c>
      <c r="AF367" t="str" cm="1">
        <f t="array" ref="AF367">_xlfn.IFS(AE367&gt;=10,"Veteran (10y+)",AE367&gt;=3,"Established (3-10y)",AE367&lt;3,"New Hire (&lt;3y)")</f>
        <v>Established (3-10y)</v>
      </c>
      <c r="AG367">
        <v>3</v>
      </c>
      <c r="AH367">
        <v>0</v>
      </c>
      <c r="AI367">
        <v>3</v>
      </c>
    </row>
    <row r="368" spans="1:35">
      <c r="A368">
        <v>30</v>
      </c>
      <c r="B368" t="str">
        <f t="shared" si="5"/>
        <v>Middle Aged</v>
      </c>
      <c r="C368">
        <v>0</v>
      </c>
      <c r="D368" t="s">
        <v>36</v>
      </c>
      <c r="E368">
        <v>853</v>
      </c>
      <c r="F368" t="s">
        <v>45</v>
      </c>
      <c r="G368">
        <v>7</v>
      </c>
      <c r="H368" t="str" cm="1">
        <f t="array" ref="H368">_xlfn.IFS(G368&gt;15,"Long Commute",G368&gt;5,"Moderate",G368&lt;=5,"Near Office")</f>
        <v>Moderate</v>
      </c>
      <c r="I368" t="s">
        <v>83</v>
      </c>
      <c r="J368" t="s">
        <v>38</v>
      </c>
      <c r="K368">
        <v>3</v>
      </c>
      <c r="L368" t="s">
        <v>46</v>
      </c>
      <c r="M368">
        <v>49</v>
      </c>
      <c r="N368">
        <v>3</v>
      </c>
      <c r="O368">
        <v>2</v>
      </c>
      <c r="P368" t="s">
        <v>50</v>
      </c>
      <c r="Q368" t="s">
        <v>73</v>
      </c>
      <c r="R368" t="s">
        <v>52</v>
      </c>
      <c r="S368">
        <v>3491</v>
      </c>
      <c r="T368" t="str" cm="1">
        <f t="array" ref="T368">_xlfn.IFS(S368&gt;=10000,"High (&gt;10k)",S368&gt;=5000,"Medium (5k-10k)",S368&lt;5000,"Low (&lt;5k)")</f>
        <v>Low (&lt;5k)</v>
      </c>
      <c r="U368">
        <v>11309</v>
      </c>
      <c r="V368">
        <v>1</v>
      </c>
      <c r="W368" t="s">
        <v>43</v>
      </c>
      <c r="X368">
        <v>13</v>
      </c>
      <c r="Y368">
        <v>3</v>
      </c>
      <c r="Z368">
        <v>1</v>
      </c>
      <c r="AA368">
        <v>3</v>
      </c>
      <c r="AB368">
        <v>10</v>
      </c>
      <c r="AC368">
        <v>4</v>
      </c>
      <c r="AD368" t="s">
        <v>81</v>
      </c>
      <c r="AE368">
        <v>10</v>
      </c>
      <c r="AF368" t="str" cm="1">
        <f t="array" ref="AF368">_xlfn.IFS(AE368&gt;=10,"Veteran (10y+)",AE368&gt;=3,"Established (3-10y)",AE368&lt;3,"New Hire (&lt;3y)")</f>
        <v>Veteran (10y+)</v>
      </c>
      <c r="AG368">
        <v>7</v>
      </c>
      <c r="AH368">
        <v>8</v>
      </c>
      <c r="AI368">
        <v>9</v>
      </c>
    </row>
    <row r="369" spans="1:35">
      <c r="A369">
        <v>30</v>
      </c>
      <c r="B369" t="str">
        <f t="shared" si="5"/>
        <v>Middle Aged</v>
      </c>
      <c r="C369">
        <v>0</v>
      </c>
      <c r="D369" t="s">
        <v>36</v>
      </c>
      <c r="E369">
        <v>1465</v>
      </c>
      <c r="F369" t="s">
        <v>45</v>
      </c>
      <c r="G369">
        <v>1</v>
      </c>
      <c r="H369" t="str" cm="1">
        <f t="array" ref="H369">_xlfn.IFS(G369&gt;15,"Long Commute",G369&gt;5,"Moderate",G369&lt;=5,"Near Office")</f>
        <v>Near Office</v>
      </c>
      <c r="I369" t="s">
        <v>72</v>
      </c>
      <c r="J369" t="s">
        <v>51</v>
      </c>
      <c r="K369">
        <v>4</v>
      </c>
      <c r="L369" t="s">
        <v>46</v>
      </c>
      <c r="M369">
        <v>63</v>
      </c>
      <c r="N369">
        <v>3</v>
      </c>
      <c r="O369">
        <v>1</v>
      </c>
      <c r="P369" t="s">
        <v>47</v>
      </c>
      <c r="Q369" t="s">
        <v>75</v>
      </c>
      <c r="R369" t="s">
        <v>48</v>
      </c>
      <c r="S369">
        <v>3579</v>
      </c>
      <c r="T369" t="str" cm="1">
        <f t="array" ref="T369">_xlfn.IFS(S369&gt;=10000,"High (&gt;10k)",S369&gt;=5000,"Medium (5k-10k)",S369&lt;5000,"Low (&lt;5k)")</f>
        <v>Low (&lt;5k)</v>
      </c>
      <c r="U369">
        <v>9369</v>
      </c>
      <c r="V369">
        <v>0</v>
      </c>
      <c r="W369" t="s">
        <v>35</v>
      </c>
      <c r="X369">
        <v>21</v>
      </c>
      <c r="Y369">
        <v>4</v>
      </c>
      <c r="Z369">
        <v>1</v>
      </c>
      <c r="AA369">
        <v>1</v>
      </c>
      <c r="AB369">
        <v>12</v>
      </c>
      <c r="AC369">
        <v>2</v>
      </c>
      <c r="AD369" t="s">
        <v>74</v>
      </c>
      <c r="AE369">
        <v>11</v>
      </c>
      <c r="AF369" t="str" cm="1">
        <f t="array" ref="AF369">_xlfn.IFS(AE369&gt;=10,"Veteran (10y+)",AE369&gt;=3,"Established (3-10y)",AE369&lt;3,"New Hire (&lt;3y)")</f>
        <v>Veteran (10y+)</v>
      </c>
      <c r="AG369">
        <v>9</v>
      </c>
      <c r="AH369">
        <v>5</v>
      </c>
      <c r="AI369">
        <v>7</v>
      </c>
    </row>
    <row r="370" spans="1:35">
      <c r="A370">
        <v>30</v>
      </c>
      <c r="B370" t="str">
        <f t="shared" si="5"/>
        <v>Middle Aged</v>
      </c>
      <c r="C370">
        <v>0</v>
      </c>
      <c r="D370" t="s">
        <v>55</v>
      </c>
      <c r="E370">
        <v>879</v>
      </c>
      <c r="F370" t="s">
        <v>45</v>
      </c>
      <c r="G370">
        <v>9</v>
      </c>
      <c r="H370" t="str" cm="1">
        <f t="array" ref="H370">_xlfn.IFS(G370&gt;15,"Long Commute",G370&gt;5,"Moderate",G370&lt;=5,"Near Office")</f>
        <v>Moderate</v>
      </c>
      <c r="I370" t="s">
        <v>76</v>
      </c>
      <c r="J370" t="s">
        <v>51</v>
      </c>
      <c r="K370">
        <v>3</v>
      </c>
      <c r="L370" t="s">
        <v>39</v>
      </c>
      <c r="M370">
        <v>72</v>
      </c>
      <c r="N370">
        <v>3</v>
      </c>
      <c r="O370">
        <v>2</v>
      </c>
      <c r="P370" t="s">
        <v>53</v>
      </c>
      <c r="Q370" t="s">
        <v>73</v>
      </c>
      <c r="R370" t="s">
        <v>41</v>
      </c>
      <c r="S370">
        <v>4695</v>
      </c>
      <c r="T370" t="str" cm="1">
        <f t="array" ref="T370">_xlfn.IFS(S370&gt;=10000,"High (&gt;10k)",S370&gt;=5000,"Medium (5k-10k)",S370&lt;5000,"Low (&lt;5k)")</f>
        <v>Low (&lt;5k)</v>
      </c>
      <c r="U370">
        <v>12858</v>
      </c>
      <c r="V370">
        <v>7</v>
      </c>
      <c r="W370" t="s">
        <v>35</v>
      </c>
      <c r="X370">
        <v>18</v>
      </c>
      <c r="Y370">
        <v>3</v>
      </c>
      <c r="Z370">
        <v>3</v>
      </c>
      <c r="AA370">
        <v>0</v>
      </c>
      <c r="AB370">
        <v>10</v>
      </c>
      <c r="AC370">
        <v>3</v>
      </c>
      <c r="AD370" t="s">
        <v>74</v>
      </c>
      <c r="AE370">
        <v>8</v>
      </c>
      <c r="AF370" t="str" cm="1">
        <f t="array" ref="AF370">_xlfn.IFS(AE370&gt;=10,"Veteran (10y+)",AE370&gt;=3,"Established (3-10y)",AE370&lt;3,"New Hire (&lt;3y)")</f>
        <v>Established (3-10y)</v>
      </c>
      <c r="AG370">
        <v>4</v>
      </c>
      <c r="AH370">
        <v>1</v>
      </c>
      <c r="AI370">
        <v>7</v>
      </c>
    </row>
    <row r="371" spans="1:35">
      <c r="A371">
        <v>30</v>
      </c>
      <c r="B371" t="str">
        <f t="shared" si="5"/>
        <v>Middle Aged</v>
      </c>
      <c r="C371">
        <v>0</v>
      </c>
      <c r="D371" t="s">
        <v>36</v>
      </c>
      <c r="E371">
        <v>1138</v>
      </c>
      <c r="F371" t="s">
        <v>45</v>
      </c>
      <c r="G371">
        <v>6</v>
      </c>
      <c r="H371" t="str" cm="1">
        <f t="array" ref="H371">_xlfn.IFS(G371&gt;15,"Long Commute",G371&gt;5,"Moderate",G371&lt;=5,"Near Office")</f>
        <v>Moderate</v>
      </c>
      <c r="I371" t="s">
        <v>72</v>
      </c>
      <c r="J371" t="s">
        <v>60</v>
      </c>
      <c r="K371">
        <v>1</v>
      </c>
      <c r="L371" t="s">
        <v>39</v>
      </c>
      <c r="M371">
        <v>48</v>
      </c>
      <c r="N371">
        <v>2</v>
      </c>
      <c r="O371">
        <v>2</v>
      </c>
      <c r="P371" t="s">
        <v>50</v>
      </c>
      <c r="Q371" t="s">
        <v>77</v>
      </c>
      <c r="R371" t="s">
        <v>48</v>
      </c>
      <c r="S371">
        <v>4627</v>
      </c>
      <c r="T371" t="str" cm="1">
        <f t="array" ref="T371">_xlfn.IFS(S371&gt;=10000,"High (&gt;10k)",S371&gt;=5000,"Medium (5k-10k)",S371&lt;5000,"Low (&lt;5k)")</f>
        <v>Low (&lt;5k)</v>
      </c>
      <c r="U371">
        <v>23631</v>
      </c>
      <c r="V371">
        <v>0</v>
      </c>
      <c r="W371" t="s">
        <v>43</v>
      </c>
      <c r="X371">
        <v>12</v>
      </c>
      <c r="Y371">
        <v>3</v>
      </c>
      <c r="Z371">
        <v>1</v>
      </c>
      <c r="AA371">
        <v>1</v>
      </c>
      <c r="AB371">
        <v>10</v>
      </c>
      <c r="AC371">
        <v>6</v>
      </c>
      <c r="AD371" t="s">
        <v>74</v>
      </c>
      <c r="AE371">
        <v>9</v>
      </c>
      <c r="AF371" t="str" cm="1">
        <f t="array" ref="AF371">_xlfn.IFS(AE371&gt;=10,"Veteran (10y+)",AE371&gt;=3,"Established (3-10y)",AE371&lt;3,"New Hire (&lt;3y)")</f>
        <v>Established (3-10y)</v>
      </c>
      <c r="AG371">
        <v>2</v>
      </c>
      <c r="AH371">
        <v>6</v>
      </c>
      <c r="AI371">
        <v>7</v>
      </c>
    </row>
    <row r="372" spans="1:35">
      <c r="A372">
        <v>30</v>
      </c>
      <c r="B372" t="str">
        <f t="shared" si="5"/>
        <v>Middle Aged</v>
      </c>
      <c r="C372">
        <v>0</v>
      </c>
      <c r="D372" t="s">
        <v>36</v>
      </c>
      <c r="E372">
        <v>634</v>
      </c>
      <c r="F372" t="s">
        <v>45</v>
      </c>
      <c r="G372">
        <v>17</v>
      </c>
      <c r="H372" t="str" cm="1">
        <f t="array" ref="H372">_xlfn.IFS(G372&gt;15,"Long Commute",G372&gt;5,"Moderate",G372&lt;=5,"Near Office")</f>
        <v>Long Commute</v>
      </c>
      <c r="I372" t="s">
        <v>83</v>
      </c>
      <c r="J372" t="s">
        <v>51</v>
      </c>
      <c r="K372">
        <v>2</v>
      </c>
      <c r="L372" t="s">
        <v>39</v>
      </c>
      <c r="M372">
        <v>95</v>
      </c>
      <c r="N372">
        <v>3</v>
      </c>
      <c r="O372">
        <v>3</v>
      </c>
      <c r="P372" t="s">
        <v>56</v>
      </c>
      <c r="Q372" t="s">
        <v>82</v>
      </c>
      <c r="R372" t="s">
        <v>48</v>
      </c>
      <c r="S372">
        <v>11916</v>
      </c>
      <c r="T372" t="str" cm="1">
        <f t="array" ref="T372">_xlfn.IFS(S372&gt;=10000,"High (&gt;10k)",S372&gt;=5000,"Medium (5k-10k)",S372&lt;5000,"Low (&lt;5k)")</f>
        <v>High (&gt;10k)</v>
      </c>
      <c r="U372">
        <v>25927</v>
      </c>
      <c r="V372">
        <v>1</v>
      </c>
      <c r="W372" t="s">
        <v>35</v>
      </c>
      <c r="X372">
        <v>23</v>
      </c>
      <c r="Y372">
        <v>4</v>
      </c>
      <c r="Z372">
        <v>4</v>
      </c>
      <c r="AA372">
        <v>2</v>
      </c>
      <c r="AB372">
        <v>9</v>
      </c>
      <c r="AC372">
        <v>2</v>
      </c>
      <c r="AD372" t="s">
        <v>74</v>
      </c>
      <c r="AE372">
        <v>9</v>
      </c>
      <c r="AF372" t="str" cm="1">
        <f t="array" ref="AF372">_xlfn.IFS(AE372&gt;=10,"Veteran (10y+)",AE372&gt;=3,"Established (3-10y)",AE372&lt;3,"New Hire (&lt;3y)")</f>
        <v>Established (3-10y)</v>
      </c>
      <c r="AG372">
        <v>1</v>
      </c>
      <c r="AH372">
        <v>0</v>
      </c>
      <c r="AI372">
        <v>8</v>
      </c>
    </row>
    <row r="373" spans="1:35">
      <c r="A373">
        <v>30</v>
      </c>
      <c r="B373" t="str">
        <f t="shared" si="5"/>
        <v>Middle Aged</v>
      </c>
      <c r="C373">
        <v>0</v>
      </c>
      <c r="D373" t="s">
        <v>36</v>
      </c>
      <c r="E373">
        <v>855</v>
      </c>
      <c r="F373" t="s">
        <v>37</v>
      </c>
      <c r="G373">
        <v>7</v>
      </c>
      <c r="H373" t="str" cm="1">
        <f t="array" ref="H373">_xlfn.IFS(G373&gt;15,"Long Commute",G373&gt;5,"Moderate",G373&lt;=5,"Near Office")</f>
        <v>Moderate</v>
      </c>
      <c r="I373" t="s">
        <v>83</v>
      </c>
      <c r="J373" t="s">
        <v>59</v>
      </c>
      <c r="K373">
        <v>4</v>
      </c>
      <c r="L373" t="s">
        <v>39</v>
      </c>
      <c r="M373">
        <v>73</v>
      </c>
      <c r="N373">
        <v>3</v>
      </c>
      <c r="O373">
        <v>2</v>
      </c>
      <c r="P373" t="s">
        <v>40</v>
      </c>
      <c r="Q373" t="s">
        <v>82</v>
      </c>
      <c r="R373" t="s">
        <v>52</v>
      </c>
      <c r="S373">
        <v>4779</v>
      </c>
      <c r="T373" t="str" cm="1">
        <f t="array" ref="T373">_xlfn.IFS(S373&gt;=10000,"High (&gt;10k)",S373&gt;=5000,"Medium (5k-10k)",S373&lt;5000,"Low (&lt;5k)")</f>
        <v>Low (&lt;5k)</v>
      </c>
      <c r="U373">
        <v>12761</v>
      </c>
      <c r="V373">
        <v>7</v>
      </c>
      <c r="W373" t="s">
        <v>43</v>
      </c>
      <c r="X373">
        <v>14</v>
      </c>
      <c r="Y373">
        <v>3</v>
      </c>
      <c r="Z373">
        <v>2</v>
      </c>
      <c r="AA373">
        <v>2</v>
      </c>
      <c r="AB373">
        <v>8</v>
      </c>
      <c r="AC373">
        <v>3</v>
      </c>
      <c r="AD373" t="s">
        <v>74</v>
      </c>
      <c r="AE373">
        <v>3</v>
      </c>
      <c r="AF373" t="str" cm="1">
        <f t="array" ref="AF373">_xlfn.IFS(AE373&gt;=10,"Veteran (10y+)",AE373&gt;=3,"Established (3-10y)",AE373&lt;3,"New Hire (&lt;3y)")</f>
        <v>Established (3-10y)</v>
      </c>
      <c r="AG373">
        <v>2</v>
      </c>
      <c r="AH373">
        <v>0</v>
      </c>
      <c r="AI373">
        <v>2</v>
      </c>
    </row>
    <row r="374" spans="1:35">
      <c r="A374">
        <v>30</v>
      </c>
      <c r="B374" t="str">
        <f t="shared" si="5"/>
        <v>Middle Aged</v>
      </c>
      <c r="C374">
        <v>0</v>
      </c>
      <c r="D374" t="s">
        <v>36</v>
      </c>
      <c r="E374">
        <v>1358</v>
      </c>
      <c r="F374" t="s">
        <v>37</v>
      </c>
      <c r="G374">
        <v>16</v>
      </c>
      <c r="H374" t="str" cm="1">
        <f t="array" ref="H374">_xlfn.IFS(G374&gt;15,"Long Commute",G374&gt;5,"Moderate",G374&lt;=5,"Near Office")</f>
        <v>Long Commute</v>
      </c>
      <c r="I374" t="s">
        <v>78</v>
      </c>
      <c r="J374" t="s">
        <v>38</v>
      </c>
      <c r="K374">
        <v>4</v>
      </c>
      <c r="L374" t="s">
        <v>46</v>
      </c>
      <c r="M374">
        <v>96</v>
      </c>
      <c r="N374">
        <v>3</v>
      </c>
      <c r="O374">
        <v>2</v>
      </c>
      <c r="P374" t="s">
        <v>40</v>
      </c>
      <c r="Q374" t="s">
        <v>73</v>
      </c>
      <c r="R374" t="s">
        <v>48</v>
      </c>
      <c r="S374">
        <v>5301</v>
      </c>
      <c r="T374" t="str" cm="1">
        <f t="array" ref="T374">_xlfn.IFS(S374&gt;=10000,"High (&gt;10k)",S374&gt;=5000,"Medium (5k-10k)",S374&lt;5000,"Low (&lt;5k)")</f>
        <v>Medium (5k-10k)</v>
      </c>
      <c r="U374">
        <v>2939</v>
      </c>
      <c r="V374">
        <v>8</v>
      </c>
      <c r="W374" t="s">
        <v>43</v>
      </c>
      <c r="X374">
        <v>15</v>
      </c>
      <c r="Y374">
        <v>3</v>
      </c>
      <c r="Z374">
        <v>3</v>
      </c>
      <c r="AA374">
        <v>2</v>
      </c>
      <c r="AB374">
        <v>4</v>
      </c>
      <c r="AC374">
        <v>2</v>
      </c>
      <c r="AD374" t="s">
        <v>81</v>
      </c>
      <c r="AE374">
        <v>2</v>
      </c>
      <c r="AF374" t="str" cm="1">
        <f t="array" ref="AF374">_xlfn.IFS(AE374&gt;=10,"Veteran (10y+)",AE374&gt;=3,"Established (3-10y)",AE374&lt;3,"New Hire (&lt;3y)")</f>
        <v>New Hire (&lt;3y)</v>
      </c>
      <c r="AG374">
        <v>1</v>
      </c>
      <c r="AH374">
        <v>2</v>
      </c>
      <c r="AI374">
        <v>2</v>
      </c>
    </row>
    <row r="375" spans="1:35">
      <c r="A375">
        <v>30</v>
      </c>
      <c r="B375" t="str">
        <f t="shared" si="5"/>
        <v>Middle Aged</v>
      </c>
      <c r="C375">
        <v>0</v>
      </c>
      <c r="D375" t="s">
        <v>55</v>
      </c>
      <c r="E375">
        <v>990</v>
      </c>
      <c r="F375" t="s">
        <v>45</v>
      </c>
      <c r="G375">
        <v>7</v>
      </c>
      <c r="H375" t="str" cm="1">
        <f t="array" ref="H375">_xlfn.IFS(G375&gt;15,"Long Commute",G375&gt;5,"Moderate",G375&lt;=5,"Near Office")</f>
        <v>Moderate</v>
      </c>
      <c r="I375" t="s">
        <v>72</v>
      </c>
      <c r="J375" t="s">
        <v>60</v>
      </c>
      <c r="K375">
        <v>3</v>
      </c>
      <c r="L375" t="s">
        <v>46</v>
      </c>
      <c r="M375">
        <v>64</v>
      </c>
      <c r="N375">
        <v>3</v>
      </c>
      <c r="O375">
        <v>1</v>
      </c>
      <c r="P375" t="s">
        <v>47</v>
      </c>
      <c r="Q375" t="s">
        <v>73</v>
      </c>
      <c r="R375" t="s">
        <v>52</v>
      </c>
      <c r="S375">
        <v>1274</v>
      </c>
      <c r="T375" t="str" cm="1">
        <f t="array" ref="T375">_xlfn.IFS(S375&gt;=10000,"High (&gt;10k)",S375&gt;=5000,"Medium (5k-10k)",S375&lt;5000,"Low (&lt;5k)")</f>
        <v>Low (&lt;5k)</v>
      </c>
      <c r="U375">
        <v>7152</v>
      </c>
      <c r="V375">
        <v>1</v>
      </c>
      <c r="W375" t="s">
        <v>43</v>
      </c>
      <c r="X375">
        <v>13</v>
      </c>
      <c r="Y375">
        <v>3</v>
      </c>
      <c r="Z375">
        <v>2</v>
      </c>
      <c r="AA375">
        <v>2</v>
      </c>
      <c r="AB375">
        <v>1</v>
      </c>
      <c r="AC375">
        <v>2</v>
      </c>
      <c r="AD375" t="s">
        <v>81</v>
      </c>
      <c r="AE375">
        <v>1</v>
      </c>
      <c r="AF375" t="str" cm="1">
        <f t="array" ref="AF375">_xlfn.IFS(AE375&gt;=10,"Veteran (10y+)",AE375&gt;=3,"Established (3-10y)",AE375&lt;3,"New Hire (&lt;3y)")</f>
        <v>New Hire (&lt;3y)</v>
      </c>
      <c r="AG375">
        <v>0</v>
      </c>
      <c r="AH375">
        <v>0</v>
      </c>
      <c r="AI375">
        <v>0</v>
      </c>
    </row>
    <row r="376" spans="1:35">
      <c r="A376">
        <v>30</v>
      </c>
      <c r="B376" t="str">
        <f t="shared" si="5"/>
        <v>Middle Aged</v>
      </c>
      <c r="C376">
        <v>0</v>
      </c>
      <c r="D376" t="s">
        <v>36</v>
      </c>
      <c r="E376">
        <v>330</v>
      </c>
      <c r="F376" t="s">
        <v>61</v>
      </c>
      <c r="G376">
        <v>1</v>
      </c>
      <c r="H376" t="str" cm="1">
        <f t="array" ref="H376">_xlfn.IFS(G376&gt;15,"Long Commute",G376&gt;5,"Moderate",G376&lt;=5,"Near Office")</f>
        <v>Near Office</v>
      </c>
      <c r="I376" t="s">
        <v>72</v>
      </c>
      <c r="J376" t="s">
        <v>38</v>
      </c>
      <c r="K376">
        <v>3</v>
      </c>
      <c r="L376" t="s">
        <v>46</v>
      </c>
      <c r="M376">
        <v>46</v>
      </c>
      <c r="N376">
        <v>3</v>
      </c>
      <c r="O376">
        <v>1</v>
      </c>
      <c r="P376" t="s">
        <v>61</v>
      </c>
      <c r="Q376" t="s">
        <v>73</v>
      </c>
      <c r="R376" t="s">
        <v>52</v>
      </c>
      <c r="S376">
        <v>2064</v>
      </c>
      <c r="T376" t="str" cm="1">
        <f t="array" ref="T376">_xlfn.IFS(S376&gt;=10000,"High (&gt;10k)",S376&gt;=5000,"Medium (5k-10k)",S376&lt;5000,"Low (&lt;5k)")</f>
        <v>Low (&lt;5k)</v>
      </c>
      <c r="U376">
        <v>15428</v>
      </c>
      <c r="V376">
        <v>0</v>
      </c>
      <c r="W376" t="s">
        <v>43</v>
      </c>
      <c r="X376">
        <v>21</v>
      </c>
      <c r="Y376">
        <v>4</v>
      </c>
      <c r="Z376">
        <v>1</v>
      </c>
      <c r="AA376">
        <v>1</v>
      </c>
      <c r="AB376">
        <v>6</v>
      </c>
      <c r="AC376">
        <v>3</v>
      </c>
      <c r="AD376" t="s">
        <v>79</v>
      </c>
      <c r="AE376">
        <v>5</v>
      </c>
      <c r="AF376" t="str" cm="1">
        <f t="array" ref="AF376">_xlfn.IFS(AE376&gt;=10,"Veteran (10y+)",AE376&gt;=3,"Established (3-10y)",AE376&lt;3,"New Hire (&lt;3y)")</f>
        <v>Established (3-10y)</v>
      </c>
      <c r="AG376">
        <v>3</v>
      </c>
      <c r="AH376">
        <v>1</v>
      </c>
      <c r="AI376">
        <v>3</v>
      </c>
    </row>
    <row r="377" spans="1:35">
      <c r="A377">
        <v>30</v>
      </c>
      <c r="B377" t="str">
        <f t="shared" si="5"/>
        <v>Middle Aged</v>
      </c>
      <c r="C377">
        <v>1</v>
      </c>
      <c r="D377" t="s">
        <v>36</v>
      </c>
      <c r="E377">
        <v>740</v>
      </c>
      <c r="F377" t="s">
        <v>37</v>
      </c>
      <c r="G377">
        <v>1</v>
      </c>
      <c r="H377" t="str" cm="1">
        <f t="array" ref="H377">_xlfn.IFS(G377&gt;15,"Long Commute",G377&gt;5,"Moderate",G377&lt;=5,"Near Office")</f>
        <v>Near Office</v>
      </c>
      <c r="I377" t="s">
        <v>72</v>
      </c>
      <c r="J377" t="s">
        <v>38</v>
      </c>
      <c r="K377">
        <v>2</v>
      </c>
      <c r="L377" t="s">
        <v>46</v>
      </c>
      <c r="M377">
        <v>64</v>
      </c>
      <c r="N377">
        <v>2</v>
      </c>
      <c r="O377">
        <v>2</v>
      </c>
      <c r="P377" t="s">
        <v>40</v>
      </c>
      <c r="Q377" t="s">
        <v>82</v>
      </c>
      <c r="R377" t="s">
        <v>48</v>
      </c>
      <c r="S377">
        <v>9714</v>
      </c>
      <c r="T377" t="str" cm="1">
        <f t="array" ref="T377">_xlfn.IFS(S377&gt;=10000,"High (&gt;10k)",S377&gt;=5000,"Medium (5k-10k)",S377&lt;5000,"Low (&lt;5k)")</f>
        <v>Medium (5k-10k)</v>
      </c>
      <c r="U377">
        <v>5323</v>
      </c>
      <c r="V377">
        <v>1</v>
      </c>
      <c r="W377" t="s">
        <v>43</v>
      </c>
      <c r="X377">
        <v>11</v>
      </c>
      <c r="Y377">
        <v>3</v>
      </c>
      <c r="Z377">
        <v>4</v>
      </c>
      <c r="AA377">
        <v>1</v>
      </c>
      <c r="AB377">
        <v>10</v>
      </c>
      <c r="AC377">
        <v>4</v>
      </c>
      <c r="AD377" t="s">
        <v>74</v>
      </c>
      <c r="AE377">
        <v>10</v>
      </c>
      <c r="AF377" t="str" cm="1">
        <f t="array" ref="AF377">_xlfn.IFS(AE377&gt;=10,"Veteran (10y+)",AE377&gt;=3,"Established (3-10y)",AE377&lt;3,"New Hire (&lt;3y)")</f>
        <v>Veteran (10y+)</v>
      </c>
      <c r="AG377">
        <v>8</v>
      </c>
      <c r="AH377">
        <v>6</v>
      </c>
      <c r="AI377">
        <v>7</v>
      </c>
    </row>
    <row r="378" spans="1:35">
      <c r="A378">
        <v>30</v>
      </c>
      <c r="B378" t="str">
        <f t="shared" si="5"/>
        <v>Middle Aged</v>
      </c>
      <c r="C378">
        <v>0</v>
      </c>
      <c r="D378" t="s">
        <v>36</v>
      </c>
      <c r="E378">
        <v>1288</v>
      </c>
      <c r="F378" t="s">
        <v>37</v>
      </c>
      <c r="G378">
        <v>29</v>
      </c>
      <c r="H378" t="str" cm="1">
        <f t="array" ref="H378">_xlfn.IFS(G378&gt;15,"Long Commute",G378&gt;5,"Moderate",G378&lt;=5,"Near Office")</f>
        <v>Long Commute</v>
      </c>
      <c r="I378" t="s">
        <v>83</v>
      </c>
      <c r="J378" t="s">
        <v>60</v>
      </c>
      <c r="K378">
        <v>3</v>
      </c>
      <c r="L378" t="s">
        <v>46</v>
      </c>
      <c r="M378">
        <v>33</v>
      </c>
      <c r="N378">
        <v>3</v>
      </c>
      <c r="O378">
        <v>3</v>
      </c>
      <c r="P378" t="s">
        <v>40</v>
      </c>
      <c r="Q378" t="s">
        <v>75</v>
      </c>
      <c r="R378" t="s">
        <v>48</v>
      </c>
      <c r="S378">
        <v>9250</v>
      </c>
      <c r="T378" t="str" cm="1">
        <f t="array" ref="T378">_xlfn.IFS(S378&gt;=10000,"High (&gt;10k)",S378&gt;=5000,"Medium (5k-10k)",S378&lt;5000,"Low (&lt;5k)")</f>
        <v>Medium (5k-10k)</v>
      </c>
      <c r="U378">
        <v>17799</v>
      </c>
      <c r="V378">
        <v>3</v>
      </c>
      <c r="W378" t="s">
        <v>43</v>
      </c>
      <c r="X378">
        <v>12</v>
      </c>
      <c r="Y378">
        <v>3</v>
      </c>
      <c r="Z378">
        <v>2</v>
      </c>
      <c r="AA378">
        <v>1</v>
      </c>
      <c r="AB378">
        <v>9</v>
      </c>
      <c r="AC378">
        <v>3</v>
      </c>
      <c r="AD378" t="s">
        <v>74</v>
      </c>
      <c r="AE378">
        <v>4</v>
      </c>
      <c r="AF378" t="str" cm="1">
        <f t="array" ref="AF378">_xlfn.IFS(AE378&gt;=10,"Veteran (10y+)",AE378&gt;=3,"Established (3-10y)",AE378&lt;3,"New Hire (&lt;3y)")</f>
        <v>Established (3-10y)</v>
      </c>
      <c r="AG378">
        <v>2</v>
      </c>
      <c r="AH378">
        <v>1</v>
      </c>
      <c r="AI378">
        <v>3</v>
      </c>
    </row>
    <row r="379" spans="1:35">
      <c r="A379">
        <v>30</v>
      </c>
      <c r="B379" t="str">
        <f t="shared" si="5"/>
        <v>Middle Aged</v>
      </c>
      <c r="C379">
        <v>0</v>
      </c>
      <c r="D379" t="s">
        <v>36</v>
      </c>
      <c r="E379">
        <v>241</v>
      </c>
      <c r="F379" t="s">
        <v>45</v>
      </c>
      <c r="G379">
        <v>7</v>
      </c>
      <c r="H379" t="str" cm="1">
        <f t="array" ref="H379">_xlfn.IFS(G379&gt;15,"Long Commute",G379&gt;5,"Moderate",G379&lt;=5,"Near Office")</f>
        <v>Moderate</v>
      </c>
      <c r="I379" t="s">
        <v>72</v>
      </c>
      <c r="J379" t="s">
        <v>51</v>
      </c>
      <c r="K379">
        <v>2</v>
      </c>
      <c r="L379" t="s">
        <v>46</v>
      </c>
      <c r="M379">
        <v>48</v>
      </c>
      <c r="N379">
        <v>2</v>
      </c>
      <c r="O379">
        <v>1</v>
      </c>
      <c r="P379" t="s">
        <v>47</v>
      </c>
      <c r="Q379" t="s">
        <v>75</v>
      </c>
      <c r="R379" t="s">
        <v>48</v>
      </c>
      <c r="S379">
        <v>2141</v>
      </c>
      <c r="T379" t="str" cm="1">
        <f t="array" ref="T379">_xlfn.IFS(S379&gt;=10000,"High (&gt;10k)",S379&gt;=5000,"Medium (5k-10k)",S379&lt;5000,"Low (&lt;5k)")</f>
        <v>Low (&lt;5k)</v>
      </c>
      <c r="U379">
        <v>5348</v>
      </c>
      <c r="V379">
        <v>1</v>
      </c>
      <c r="W379" t="s">
        <v>43</v>
      </c>
      <c r="X379">
        <v>12</v>
      </c>
      <c r="Y379">
        <v>3</v>
      </c>
      <c r="Z379">
        <v>2</v>
      </c>
      <c r="AA379">
        <v>1</v>
      </c>
      <c r="AB379">
        <v>6</v>
      </c>
      <c r="AC379">
        <v>3</v>
      </c>
      <c r="AD379" t="s">
        <v>81</v>
      </c>
      <c r="AE379">
        <v>6</v>
      </c>
      <c r="AF379" t="str" cm="1">
        <f t="array" ref="AF379">_xlfn.IFS(AE379&gt;=10,"Veteran (10y+)",AE379&gt;=3,"Established (3-10y)",AE379&lt;3,"New Hire (&lt;3y)")</f>
        <v>Established (3-10y)</v>
      </c>
      <c r="AG379">
        <v>4</v>
      </c>
      <c r="AH379">
        <v>1</v>
      </c>
      <c r="AI379">
        <v>1</v>
      </c>
    </row>
    <row r="380" spans="1:35">
      <c r="A380">
        <v>30</v>
      </c>
      <c r="B380" t="str">
        <f t="shared" si="5"/>
        <v>Middle Aged</v>
      </c>
      <c r="C380">
        <v>0</v>
      </c>
      <c r="D380" t="s">
        <v>36</v>
      </c>
      <c r="E380">
        <v>793</v>
      </c>
      <c r="F380" t="s">
        <v>45</v>
      </c>
      <c r="G380">
        <v>16</v>
      </c>
      <c r="H380" t="str" cm="1">
        <f t="array" ref="H380">_xlfn.IFS(G380&gt;15,"Long Commute",G380&gt;5,"Moderate",G380&lt;=5,"Near Office")</f>
        <v>Long Commute</v>
      </c>
      <c r="I380" t="s">
        <v>78</v>
      </c>
      <c r="J380" t="s">
        <v>38</v>
      </c>
      <c r="K380">
        <v>2</v>
      </c>
      <c r="L380" t="s">
        <v>46</v>
      </c>
      <c r="M380">
        <v>33</v>
      </c>
      <c r="N380">
        <v>3</v>
      </c>
      <c r="O380">
        <v>1</v>
      </c>
      <c r="P380" t="s">
        <v>47</v>
      </c>
      <c r="Q380" t="s">
        <v>77</v>
      </c>
      <c r="R380" t="s">
        <v>48</v>
      </c>
      <c r="S380">
        <v>2862</v>
      </c>
      <c r="T380" t="str" cm="1">
        <f t="array" ref="T380">_xlfn.IFS(S380&gt;=10000,"High (&gt;10k)",S380&gt;=5000,"Medium (5k-10k)",S380&lt;5000,"Low (&lt;5k)")</f>
        <v>Low (&lt;5k)</v>
      </c>
      <c r="U380">
        <v>3811</v>
      </c>
      <c r="V380">
        <v>1</v>
      </c>
      <c r="W380" t="s">
        <v>43</v>
      </c>
      <c r="X380">
        <v>12</v>
      </c>
      <c r="Y380">
        <v>3</v>
      </c>
      <c r="Z380">
        <v>2</v>
      </c>
      <c r="AA380">
        <v>1</v>
      </c>
      <c r="AB380">
        <v>10</v>
      </c>
      <c r="AC380">
        <v>2</v>
      </c>
      <c r="AD380" t="s">
        <v>81</v>
      </c>
      <c r="AE380">
        <v>10</v>
      </c>
      <c r="AF380" t="str" cm="1">
        <f t="array" ref="AF380">_xlfn.IFS(AE380&gt;=10,"Veteran (10y+)",AE380&gt;=3,"Established (3-10y)",AE380&lt;3,"New Hire (&lt;3y)")</f>
        <v>Veteran (10y+)</v>
      </c>
      <c r="AG380">
        <v>0</v>
      </c>
      <c r="AH380">
        <v>0</v>
      </c>
      <c r="AI380">
        <v>8</v>
      </c>
    </row>
    <row r="381" spans="1:35">
      <c r="A381">
        <v>30</v>
      </c>
      <c r="B381" t="str">
        <f t="shared" si="5"/>
        <v>Middle Aged</v>
      </c>
      <c r="C381">
        <v>0</v>
      </c>
      <c r="D381" t="s">
        <v>44</v>
      </c>
      <c r="E381">
        <v>1312</v>
      </c>
      <c r="F381" t="s">
        <v>45</v>
      </c>
      <c r="G381">
        <v>2</v>
      </c>
      <c r="H381" t="str" cm="1">
        <f t="array" ref="H381">_xlfn.IFS(G381&gt;15,"Long Commute",G381&gt;5,"Moderate",G381&lt;=5,"Near Office")</f>
        <v>Near Office</v>
      </c>
      <c r="I381" t="s">
        <v>83</v>
      </c>
      <c r="J381" t="s">
        <v>60</v>
      </c>
      <c r="K381">
        <v>4</v>
      </c>
      <c r="L381" t="s">
        <v>39</v>
      </c>
      <c r="M381">
        <v>78</v>
      </c>
      <c r="N381">
        <v>2</v>
      </c>
      <c r="O381">
        <v>1</v>
      </c>
      <c r="P381" t="s">
        <v>47</v>
      </c>
      <c r="Q381" t="s">
        <v>82</v>
      </c>
      <c r="R381" t="s">
        <v>41</v>
      </c>
      <c r="S381">
        <v>4968</v>
      </c>
      <c r="T381" t="str" cm="1">
        <f t="array" ref="T381">_xlfn.IFS(S381&gt;=10000,"High (&gt;10k)",S381&gt;=5000,"Medium (5k-10k)",S381&lt;5000,"Low (&lt;5k)")</f>
        <v>Low (&lt;5k)</v>
      </c>
      <c r="U381">
        <v>26427</v>
      </c>
      <c r="V381">
        <v>0</v>
      </c>
      <c r="W381" t="s">
        <v>43</v>
      </c>
      <c r="X381">
        <v>16</v>
      </c>
      <c r="Y381">
        <v>3</v>
      </c>
      <c r="Z381">
        <v>4</v>
      </c>
      <c r="AA381">
        <v>0</v>
      </c>
      <c r="AB381">
        <v>10</v>
      </c>
      <c r="AC381">
        <v>2</v>
      </c>
      <c r="AD381" t="s">
        <v>74</v>
      </c>
      <c r="AE381">
        <v>9</v>
      </c>
      <c r="AF381" t="str" cm="1">
        <f t="array" ref="AF381">_xlfn.IFS(AE381&gt;=10,"Veteran (10y+)",AE381&gt;=3,"Established (3-10y)",AE381&lt;3,"New Hire (&lt;3y)")</f>
        <v>Established (3-10y)</v>
      </c>
      <c r="AG381">
        <v>7</v>
      </c>
      <c r="AH381">
        <v>0</v>
      </c>
      <c r="AI381">
        <v>7</v>
      </c>
    </row>
    <row r="382" spans="1:35">
      <c r="A382">
        <v>30</v>
      </c>
      <c r="B382" t="str">
        <f t="shared" si="5"/>
        <v>Middle Aged</v>
      </c>
      <c r="C382">
        <v>1</v>
      </c>
      <c r="D382" t="s">
        <v>44</v>
      </c>
      <c r="E382">
        <v>600</v>
      </c>
      <c r="F382" t="s">
        <v>61</v>
      </c>
      <c r="G382">
        <v>8</v>
      </c>
      <c r="H382" t="str" cm="1">
        <f t="array" ref="H382">_xlfn.IFS(G382&gt;15,"Long Commute",G382&gt;5,"Moderate",G382&lt;=5,"Near Office")</f>
        <v>Moderate</v>
      </c>
      <c r="I382" t="s">
        <v>72</v>
      </c>
      <c r="J382" t="s">
        <v>61</v>
      </c>
      <c r="K382">
        <v>3</v>
      </c>
      <c r="L382" t="s">
        <v>39</v>
      </c>
      <c r="M382">
        <v>66</v>
      </c>
      <c r="N382">
        <v>2</v>
      </c>
      <c r="O382">
        <v>1</v>
      </c>
      <c r="P382" t="s">
        <v>61</v>
      </c>
      <c r="Q382" t="s">
        <v>77</v>
      </c>
      <c r="R382" t="s">
        <v>52</v>
      </c>
      <c r="S382">
        <v>2180</v>
      </c>
      <c r="T382" t="str" cm="1">
        <f t="array" ref="T382">_xlfn.IFS(S382&gt;=10000,"High (&gt;10k)",S382&gt;=5000,"Medium (5k-10k)",S382&lt;5000,"Low (&lt;5k)")</f>
        <v>Low (&lt;5k)</v>
      </c>
      <c r="U382">
        <v>9732</v>
      </c>
      <c r="V382">
        <v>6</v>
      </c>
      <c r="W382" t="s">
        <v>43</v>
      </c>
      <c r="X382">
        <v>11</v>
      </c>
      <c r="Y382">
        <v>3</v>
      </c>
      <c r="Z382">
        <v>3</v>
      </c>
      <c r="AA382">
        <v>1</v>
      </c>
      <c r="AB382">
        <v>6</v>
      </c>
      <c r="AC382">
        <v>0</v>
      </c>
      <c r="AD382" t="s">
        <v>81</v>
      </c>
      <c r="AE382">
        <v>4</v>
      </c>
      <c r="AF382" t="str" cm="1">
        <f t="array" ref="AF382">_xlfn.IFS(AE382&gt;=10,"Veteran (10y+)",AE382&gt;=3,"Established (3-10y)",AE382&lt;3,"New Hire (&lt;3y)")</f>
        <v>Established (3-10y)</v>
      </c>
      <c r="AG382">
        <v>2</v>
      </c>
      <c r="AH382">
        <v>1</v>
      </c>
      <c r="AI382">
        <v>2</v>
      </c>
    </row>
    <row r="383" spans="1:35">
      <c r="A383">
        <v>30</v>
      </c>
      <c r="B383" t="str">
        <f t="shared" si="5"/>
        <v>Middle Aged</v>
      </c>
      <c r="C383">
        <v>0</v>
      </c>
      <c r="D383" t="s">
        <v>36</v>
      </c>
      <c r="E383">
        <v>979</v>
      </c>
      <c r="F383" t="s">
        <v>37</v>
      </c>
      <c r="G383">
        <v>15</v>
      </c>
      <c r="H383" t="str" cm="1">
        <f t="array" ref="H383">_xlfn.IFS(G383&gt;15,"Long Commute",G383&gt;5,"Moderate",G383&lt;=5,"Near Office")</f>
        <v>Moderate</v>
      </c>
      <c r="I383" t="s">
        <v>76</v>
      </c>
      <c r="J383" t="s">
        <v>59</v>
      </c>
      <c r="K383">
        <v>3</v>
      </c>
      <c r="L383" t="s">
        <v>46</v>
      </c>
      <c r="M383">
        <v>94</v>
      </c>
      <c r="N383">
        <v>2</v>
      </c>
      <c r="O383">
        <v>3</v>
      </c>
      <c r="P383" t="s">
        <v>40</v>
      </c>
      <c r="Q383" t="s">
        <v>82</v>
      </c>
      <c r="R383" t="s">
        <v>52</v>
      </c>
      <c r="S383">
        <v>7140</v>
      </c>
      <c r="T383" t="str" cm="1">
        <f t="array" ref="T383">_xlfn.IFS(S383&gt;=10000,"High (&gt;10k)",S383&gt;=5000,"Medium (5k-10k)",S383&lt;5000,"Low (&lt;5k)")</f>
        <v>Medium (5k-10k)</v>
      </c>
      <c r="U383">
        <v>3088</v>
      </c>
      <c r="V383">
        <v>2</v>
      </c>
      <c r="W383" t="s">
        <v>43</v>
      </c>
      <c r="X383">
        <v>11</v>
      </c>
      <c r="Y383">
        <v>3</v>
      </c>
      <c r="Z383">
        <v>1</v>
      </c>
      <c r="AA383">
        <v>1</v>
      </c>
      <c r="AB383">
        <v>12</v>
      </c>
      <c r="AC383">
        <v>2</v>
      </c>
      <c r="AD383" t="s">
        <v>74</v>
      </c>
      <c r="AE383">
        <v>7</v>
      </c>
      <c r="AF383" t="str" cm="1">
        <f t="array" ref="AF383">_xlfn.IFS(AE383&gt;=10,"Veteran (10y+)",AE383&gt;=3,"Established (3-10y)",AE383&lt;3,"New Hire (&lt;3y)")</f>
        <v>Established (3-10y)</v>
      </c>
      <c r="AG383">
        <v>7</v>
      </c>
      <c r="AH383">
        <v>1</v>
      </c>
      <c r="AI383">
        <v>7</v>
      </c>
    </row>
    <row r="384" spans="1:35">
      <c r="A384">
        <v>30</v>
      </c>
      <c r="B384" t="str">
        <f t="shared" si="5"/>
        <v>Middle Aged</v>
      </c>
      <c r="C384">
        <v>0</v>
      </c>
      <c r="D384" t="s">
        <v>36</v>
      </c>
      <c r="E384">
        <v>305</v>
      </c>
      <c r="F384" t="s">
        <v>45</v>
      </c>
      <c r="G384">
        <v>16</v>
      </c>
      <c r="H384" t="str" cm="1">
        <f t="array" ref="H384">_xlfn.IFS(G384&gt;15,"Long Commute",G384&gt;5,"Moderate",G384&lt;=5,"Near Office")</f>
        <v>Long Commute</v>
      </c>
      <c r="I384" t="s">
        <v>72</v>
      </c>
      <c r="J384" t="s">
        <v>38</v>
      </c>
      <c r="K384">
        <v>3</v>
      </c>
      <c r="L384" t="s">
        <v>46</v>
      </c>
      <c r="M384">
        <v>58</v>
      </c>
      <c r="N384">
        <v>4</v>
      </c>
      <c r="O384">
        <v>2</v>
      </c>
      <c r="P384" t="s">
        <v>54</v>
      </c>
      <c r="Q384" t="s">
        <v>73</v>
      </c>
      <c r="R384" t="s">
        <v>48</v>
      </c>
      <c r="S384">
        <v>5294</v>
      </c>
      <c r="T384" t="str" cm="1">
        <f t="array" ref="T384">_xlfn.IFS(S384&gt;=10000,"High (&gt;10k)",S384&gt;=5000,"Medium (5k-10k)",S384&lt;5000,"Low (&lt;5k)")</f>
        <v>Medium (5k-10k)</v>
      </c>
      <c r="U384">
        <v>9128</v>
      </c>
      <c r="V384">
        <v>3</v>
      </c>
      <c r="W384" t="s">
        <v>43</v>
      </c>
      <c r="X384">
        <v>16</v>
      </c>
      <c r="Y384">
        <v>3</v>
      </c>
      <c r="Z384">
        <v>3</v>
      </c>
      <c r="AA384">
        <v>1</v>
      </c>
      <c r="AB384">
        <v>10</v>
      </c>
      <c r="AC384">
        <v>3</v>
      </c>
      <c r="AD384" t="s">
        <v>74</v>
      </c>
      <c r="AE384">
        <v>7</v>
      </c>
      <c r="AF384" t="str" cm="1">
        <f t="array" ref="AF384">_xlfn.IFS(AE384&gt;=10,"Veteran (10y+)",AE384&gt;=3,"Established (3-10y)",AE384&lt;3,"New Hire (&lt;3y)")</f>
        <v>Established (3-10y)</v>
      </c>
      <c r="AG384">
        <v>0</v>
      </c>
      <c r="AH384">
        <v>1</v>
      </c>
      <c r="AI384">
        <v>7</v>
      </c>
    </row>
    <row r="385" spans="1:35">
      <c r="A385">
        <v>30</v>
      </c>
      <c r="B385" t="str">
        <f t="shared" si="5"/>
        <v>Middle Aged</v>
      </c>
      <c r="C385">
        <v>0</v>
      </c>
      <c r="D385" t="s">
        <v>36</v>
      </c>
      <c r="E385">
        <v>1092</v>
      </c>
      <c r="F385" t="s">
        <v>45</v>
      </c>
      <c r="G385">
        <v>10</v>
      </c>
      <c r="H385" t="str" cm="1">
        <f t="array" ref="H385">_xlfn.IFS(G385&gt;15,"Long Commute",G385&gt;5,"Moderate",G385&lt;=5,"Near Office")</f>
        <v>Moderate</v>
      </c>
      <c r="I385" t="s">
        <v>72</v>
      </c>
      <c r="J385" t="s">
        <v>51</v>
      </c>
      <c r="K385">
        <v>1</v>
      </c>
      <c r="L385" t="s">
        <v>39</v>
      </c>
      <c r="M385">
        <v>64</v>
      </c>
      <c r="N385">
        <v>3</v>
      </c>
      <c r="O385">
        <v>3</v>
      </c>
      <c r="P385" t="s">
        <v>53</v>
      </c>
      <c r="Q385" t="s">
        <v>73</v>
      </c>
      <c r="R385" t="s">
        <v>41</v>
      </c>
      <c r="S385">
        <v>9667</v>
      </c>
      <c r="T385" t="str" cm="1">
        <f t="array" ref="T385">_xlfn.IFS(S385&gt;=10000,"High (&gt;10k)",S385&gt;=5000,"Medium (5k-10k)",S385&lt;5000,"Low (&lt;5k)")</f>
        <v>Medium (5k-10k)</v>
      </c>
      <c r="U385">
        <v>2739</v>
      </c>
      <c r="V385">
        <v>9</v>
      </c>
      <c r="W385" t="s">
        <v>43</v>
      </c>
      <c r="X385">
        <v>14</v>
      </c>
      <c r="Y385">
        <v>3</v>
      </c>
      <c r="Z385">
        <v>2</v>
      </c>
      <c r="AA385">
        <v>0</v>
      </c>
      <c r="AB385">
        <v>9</v>
      </c>
      <c r="AC385">
        <v>3</v>
      </c>
      <c r="AD385" t="s">
        <v>74</v>
      </c>
      <c r="AE385">
        <v>7</v>
      </c>
      <c r="AF385" t="str" cm="1">
        <f t="array" ref="AF385">_xlfn.IFS(AE385&gt;=10,"Veteran (10y+)",AE385&gt;=3,"Established (3-10y)",AE385&lt;3,"New Hire (&lt;3y)")</f>
        <v>Established (3-10y)</v>
      </c>
      <c r="AG385">
        <v>7</v>
      </c>
      <c r="AH385">
        <v>0</v>
      </c>
      <c r="AI385">
        <v>2</v>
      </c>
    </row>
    <row r="386" spans="1:35">
      <c r="A386">
        <v>30</v>
      </c>
      <c r="B386" t="str">
        <f t="shared" si="5"/>
        <v>Middle Aged</v>
      </c>
      <c r="C386">
        <v>1</v>
      </c>
      <c r="D386" t="s">
        <v>36</v>
      </c>
      <c r="E386">
        <v>945</v>
      </c>
      <c r="F386" t="s">
        <v>37</v>
      </c>
      <c r="G386">
        <v>9</v>
      </c>
      <c r="H386" t="str" cm="1">
        <f t="array" ref="H386">_xlfn.IFS(G386&gt;15,"Long Commute",G386&gt;5,"Moderate",G386&lt;=5,"Near Office")</f>
        <v>Moderate</v>
      </c>
      <c r="I386" t="s">
        <v>72</v>
      </c>
      <c r="J386" t="s">
        <v>51</v>
      </c>
      <c r="K386">
        <v>2</v>
      </c>
      <c r="L386" t="s">
        <v>46</v>
      </c>
      <c r="M386">
        <v>89</v>
      </c>
      <c r="N386">
        <v>3</v>
      </c>
      <c r="O386">
        <v>1</v>
      </c>
      <c r="P386" t="s">
        <v>57</v>
      </c>
      <c r="Q386" t="s">
        <v>77</v>
      </c>
      <c r="R386" t="s">
        <v>41</v>
      </c>
      <c r="S386">
        <v>1081</v>
      </c>
      <c r="T386" t="str" cm="1">
        <f t="array" ref="T386">_xlfn.IFS(S386&gt;=10000,"High (&gt;10k)",S386&gt;=5000,"Medium (5k-10k)",S386&lt;5000,"Low (&lt;5k)")</f>
        <v>Low (&lt;5k)</v>
      </c>
      <c r="U386">
        <v>16019</v>
      </c>
      <c r="V386">
        <v>1</v>
      </c>
      <c r="W386" t="s">
        <v>43</v>
      </c>
      <c r="X386">
        <v>13</v>
      </c>
      <c r="Y386">
        <v>3</v>
      </c>
      <c r="Z386">
        <v>3</v>
      </c>
      <c r="AA386">
        <v>0</v>
      </c>
      <c r="AB386">
        <v>1</v>
      </c>
      <c r="AC386">
        <v>3</v>
      </c>
      <c r="AD386" t="s">
        <v>81</v>
      </c>
      <c r="AE386">
        <v>1</v>
      </c>
      <c r="AF386" t="str" cm="1">
        <f t="array" ref="AF386">_xlfn.IFS(AE386&gt;=10,"Veteran (10y+)",AE386&gt;=3,"Established (3-10y)",AE386&lt;3,"New Hire (&lt;3y)")</f>
        <v>New Hire (&lt;3y)</v>
      </c>
      <c r="AG386">
        <v>0</v>
      </c>
      <c r="AH386">
        <v>0</v>
      </c>
      <c r="AI386">
        <v>0</v>
      </c>
    </row>
    <row r="387" spans="1:35">
      <c r="A387">
        <v>30</v>
      </c>
      <c r="B387" t="str">
        <f t="shared" ref="B387:B450" si="6">IF(A387&gt;=46,"Senior",IF(A387&gt;=30,"Middle Aged","Young Adults"))</f>
        <v>Middle Aged</v>
      </c>
      <c r="C387">
        <v>0</v>
      </c>
      <c r="D387" t="s">
        <v>36</v>
      </c>
      <c r="E387">
        <v>911</v>
      </c>
      <c r="F387" t="s">
        <v>45</v>
      </c>
      <c r="G387">
        <v>1</v>
      </c>
      <c r="H387" t="str" cm="1">
        <f t="array" ref="H387">_xlfn.IFS(G387&gt;15,"Long Commute",G387&gt;5,"Moderate",G387&lt;=5,"Near Office")</f>
        <v>Near Office</v>
      </c>
      <c r="I387" t="s">
        <v>76</v>
      </c>
      <c r="J387" t="s">
        <v>51</v>
      </c>
      <c r="K387">
        <v>4</v>
      </c>
      <c r="L387" t="s">
        <v>46</v>
      </c>
      <c r="M387">
        <v>76</v>
      </c>
      <c r="N387">
        <v>3</v>
      </c>
      <c r="O387">
        <v>1</v>
      </c>
      <c r="P387" t="s">
        <v>50</v>
      </c>
      <c r="Q387" t="s">
        <v>75</v>
      </c>
      <c r="R387" t="s">
        <v>48</v>
      </c>
      <c r="S387">
        <v>3748</v>
      </c>
      <c r="T387" t="str" cm="1">
        <f t="array" ref="T387">_xlfn.IFS(S387&gt;=10000,"High (&gt;10k)",S387&gt;=5000,"Medium (5k-10k)",S387&lt;5000,"Low (&lt;5k)")</f>
        <v>Low (&lt;5k)</v>
      </c>
      <c r="U387">
        <v>4077</v>
      </c>
      <c r="V387">
        <v>1</v>
      </c>
      <c r="W387" t="s">
        <v>43</v>
      </c>
      <c r="X387">
        <v>13</v>
      </c>
      <c r="Y387">
        <v>3</v>
      </c>
      <c r="Z387">
        <v>3</v>
      </c>
      <c r="AA387">
        <v>0</v>
      </c>
      <c r="AB387">
        <v>12</v>
      </c>
      <c r="AC387">
        <v>6</v>
      </c>
      <c r="AD387" t="s">
        <v>81</v>
      </c>
      <c r="AE387">
        <v>12</v>
      </c>
      <c r="AF387" t="str" cm="1">
        <f t="array" ref="AF387">_xlfn.IFS(AE387&gt;=10,"Veteran (10y+)",AE387&gt;=3,"Established (3-10y)",AE387&lt;3,"New Hire (&lt;3y)")</f>
        <v>Veteran (10y+)</v>
      </c>
      <c r="AG387">
        <v>8</v>
      </c>
      <c r="AH387">
        <v>1</v>
      </c>
      <c r="AI387">
        <v>7</v>
      </c>
    </row>
    <row r="388" spans="1:35">
      <c r="A388">
        <v>31</v>
      </c>
      <c r="B388" t="str">
        <f t="shared" si="6"/>
        <v>Middle Aged</v>
      </c>
      <c r="C388">
        <v>0</v>
      </c>
      <c r="D388" t="s">
        <v>36</v>
      </c>
      <c r="E388">
        <v>670</v>
      </c>
      <c r="F388" t="s">
        <v>45</v>
      </c>
      <c r="G388">
        <v>26</v>
      </c>
      <c r="H388" t="str" cm="1">
        <f t="array" ref="H388">_xlfn.IFS(G388&gt;15,"Long Commute",G388&gt;5,"Moderate",G388&lt;=5,"Near Office")</f>
        <v>Long Commute</v>
      </c>
      <c r="I388" t="s">
        <v>78</v>
      </c>
      <c r="J388" t="s">
        <v>38</v>
      </c>
      <c r="K388">
        <v>1</v>
      </c>
      <c r="L388" t="s">
        <v>46</v>
      </c>
      <c r="M388">
        <v>31</v>
      </c>
      <c r="N388">
        <v>3</v>
      </c>
      <c r="O388">
        <v>1</v>
      </c>
      <c r="P388" t="s">
        <v>47</v>
      </c>
      <c r="Q388" t="s">
        <v>73</v>
      </c>
      <c r="R388" t="s">
        <v>52</v>
      </c>
      <c r="S388">
        <v>2911</v>
      </c>
      <c r="T388" t="str" cm="1">
        <f t="array" ref="T388">_xlfn.IFS(S388&gt;=10000,"High (&gt;10k)",S388&gt;=5000,"Medium (5k-10k)",S388&lt;5000,"Low (&lt;5k)")</f>
        <v>Low (&lt;5k)</v>
      </c>
      <c r="U388">
        <v>15170</v>
      </c>
      <c r="V388">
        <v>1</v>
      </c>
      <c r="W388" t="s">
        <v>43</v>
      </c>
      <c r="X388">
        <v>17</v>
      </c>
      <c r="Y388">
        <v>3</v>
      </c>
      <c r="Z388">
        <v>4</v>
      </c>
      <c r="AA388">
        <v>1</v>
      </c>
      <c r="AB388">
        <v>5</v>
      </c>
      <c r="AC388">
        <v>1</v>
      </c>
      <c r="AD388" t="s">
        <v>81</v>
      </c>
      <c r="AE388">
        <v>5</v>
      </c>
      <c r="AF388" t="str" cm="1">
        <f t="array" ref="AF388">_xlfn.IFS(AE388&gt;=10,"Veteran (10y+)",AE388&gt;=3,"Established (3-10y)",AE388&lt;3,"New Hire (&lt;3y)")</f>
        <v>Established (3-10y)</v>
      </c>
      <c r="AG388">
        <v>2</v>
      </c>
      <c r="AH388">
        <v>4</v>
      </c>
      <c r="AI388">
        <v>3</v>
      </c>
    </row>
    <row r="389" spans="1:35">
      <c r="A389">
        <v>31</v>
      </c>
      <c r="B389" t="str">
        <f t="shared" si="6"/>
        <v>Middle Aged</v>
      </c>
      <c r="C389">
        <v>0</v>
      </c>
      <c r="D389" t="s">
        <v>36</v>
      </c>
      <c r="E389">
        <v>655</v>
      </c>
      <c r="F389" t="s">
        <v>45</v>
      </c>
      <c r="G389">
        <v>7</v>
      </c>
      <c r="H389" t="str" cm="1">
        <f t="array" ref="H389">_xlfn.IFS(G389&gt;15,"Long Commute",G389&gt;5,"Moderate",G389&lt;=5,"Near Office")</f>
        <v>Moderate</v>
      </c>
      <c r="I389" t="s">
        <v>83</v>
      </c>
      <c r="J389" t="s">
        <v>38</v>
      </c>
      <c r="K389">
        <v>4</v>
      </c>
      <c r="L389" t="s">
        <v>46</v>
      </c>
      <c r="M389">
        <v>48</v>
      </c>
      <c r="N389">
        <v>3</v>
      </c>
      <c r="O389">
        <v>2</v>
      </c>
      <c r="P389" t="s">
        <v>50</v>
      </c>
      <c r="Q389" t="s">
        <v>77</v>
      </c>
      <c r="R389" t="s">
        <v>52</v>
      </c>
      <c r="S389">
        <v>5915</v>
      </c>
      <c r="T389" t="str" cm="1">
        <f t="array" ref="T389">_xlfn.IFS(S389&gt;=10000,"High (&gt;10k)",S389&gt;=5000,"Medium (5k-10k)",S389&lt;5000,"Low (&lt;5k)")</f>
        <v>Medium (5k-10k)</v>
      </c>
      <c r="U389">
        <v>9528</v>
      </c>
      <c r="V389">
        <v>3</v>
      </c>
      <c r="W389" t="s">
        <v>43</v>
      </c>
      <c r="X389">
        <v>22</v>
      </c>
      <c r="Y389">
        <v>4</v>
      </c>
      <c r="Z389">
        <v>4</v>
      </c>
      <c r="AA389">
        <v>1</v>
      </c>
      <c r="AB389">
        <v>10</v>
      </c>
      <c r="AC389">
        <v>3</v>
      </c>
      <c r="AD389" t="s">
        <v>81</v>
      </c>
      <c r="AE389">
        <v>7</v>
      </c>
      <c r="AF389" t="str" cm="1">
        <f t="array" ref="AF389">_xlfn.IFS(AE389&gt;=10,"Veteran (10y+)",AE389&gt;=3,"Established (3-10y)",AE389&lt;3,"New Hire (&lt;3y)")</f>
        <v>Established (3-10y)</v>
      </c>
      <c r="AG389">
        <v>7</v>
      </c>
      <c r="AH389">
        <v>1</v>
      </c>
      <c r="AI389">
        <v>7</v>
      </c>
    </row>
    <row r="390" spans="1:35">
      <c r="A390">
        <v>31</v>
      </c>
      <c r="B390" t="str">
        <f t="shared" si="6"/>
        <v>Middle Aged</v>
      </c>
      <c r="C390">
        <v>0</v>
      </c>
      <c r="D390" t="s">
        <v>36</v>
      </c>
      <c r="E390">
        <v>1082</v>
      </c>
      <c r="F390" t="s">
        <v>45</v>
      </c>
      <c r="G390">
        <v>1</v>
      </c>
      <c r="H390" t="str" cm="1">
        <f t="array" ref="H390">_xlfn.IFS(G390&gt;15,"Long Commute",G390&gt;5,"Moderate",G390&lt;=5,"Near Office")</f>
        <v>Near Office</v>
      </c>
      <c r="I390" t="s">
        <v>83</v>
      </c>
      <c r="J390" t="s">
        <v>51</v>
      </c>
      <c r="K390">
        <v>3</v>
      </c>
      <c r="L390" t="s">
        <v>46</v>
      </c>
      <c r="M390">
        <v>87</v>
      </c>
      <c r="N390">
        <v>3</v>
      </c>
      <c r="O390">
        <v>1</v>
      </c>
      <c r="P390" t="s">
        <v>47</v>
      </c>
      <c r="Q390" t="s">
        <v>75</v>
      </c>
      <c r="R390" t="s">
        <v>41</v>
      </c>
      <c r="S390">
        <v>2501</v>
      </c>
      <c r="T390" t="str" cm="1">
        <f t="array" ref="T390">_xlfn.IFS(S390&gt;=10000,"High (&gt;10k)",S390&gt;=5000,"Medium (5k-10k)",S390&lt;5000,"Low (&lt;5k)")</f>
        <v>Low (&lt;5k)</v>
      </c>
      <c r="U390">
        <v>18775</v>
      </c>
      <c r="V390">
        <v>1</v>
      </c>
      <c r="W390" t="s">
        <v>43</v>
      </c>
      <c r="X390">
        <v>17</v>
      </c>
      <c r="Y390">
        <v>3</v>
      </c>
      <c r="Z390">
        <v>2</v>
      </c>
      <c r="AA390">
        <v>0</v>
      </c>
      <c r="AB390">
        <v>1</v>
      </c>
      <c r="AC390">
        <v>4</v>
      </c>
      <c r="AD390" t="s">
        <v>74</v>
      </c>
      <c r="AE390">
        <v>1</v>
      </c>
      <c r="AF390" t="str" cm="1">
        <f t="array" ref="AF390">_xlfn.IFS(AE390&gt;=10,"Veteran (10y+)",AE390&gt;=3,"Established (3-10y)",AE390&lt;3,"New Hire (&lt;3y)")</f>
        <v>New Hire (&lt;3y)</v>
      </c>
      <c r="AG390">
        <v>1</v>
      </c>
      <c r="AH390">
        <v>1</v>
      </c>
      <c r="AI390">
        <v>0</v>
      </c>
    </row>
    <row r="391" spans="1:35">
      <c r="A391">
        <v>31</v>
      </c>
      <c r="B391" t="str">
        <f t="shared" si="6"/>
        <v>Middle Aged</v>
      </c>
      <c r="C391">
        <v>0</v>
      </c>
      <c r="D391" t="s">
        <v>36</v>
      </c>
      <c r="E391">
        <v>746</v>
      </c>
      <c r="F391" t="s">
        <v>45</v>
      </c>
      <c r="G391">
        <v>8</v>
      </c>
      <c r="H391" t="str" cm="1">
        <f t="array" ref="H391">_xlfn.IFS(G391&gt;15,"Long Commute",G391&gt;5,"Moderate",G391&lt;=5,"Near Office")</f>
        <v>Moderate</v>
      </c>
      <c r="I391" t="s">
        <v>83</v>
      </c>
      <c r="J391" t="s">
        <v>38</v>
      </c>
      <c r="K391">
        <v>3</v>
      </c>
      <c r="L391" t="s">
        <v>39</v>
      </c>
      <c r="M391">
        <v>61</v>
      </c>
      <c r="N391">
        <v>3</v>
      </c>
      <c r="O391">
        <v>2</v>
      </c>
      <c r="P391" t="s">
        <v>53</v>
      </c>
      <c r="Q391" t="s">
        <v>77</v>
      </c>
      <c r="R391" t="s">
        <v>41</v>
      </c>
      <c r="S391">
        <v>4424</v>
      </c>
      <c r="T391" t="str" cm="1">
        <f t="array" ref="T391">_xlfn.IFS(S391&gt;=10000,"High (&gt;10k)",S391&gt;=5000,"Medium (5k-10k)",S391&lt;5000,"Low (&lt;5k)")</f>
        <v>Low (&lt;5k)</v>
      </c>
      <c r="U391">
        <v>20682</v>
      </c>
      <c r="V391">
        <v>1</v>
      </c>
      <c r="W391" t="s">
        <v>43</v>
      </c>
      <c r="X391">
        <v>23</v>
      </c>
      <c r="Y391">
        <v>4</v>
      </c>
      <c r="Z391">
        <v>4</v>
      </c>
      <c r="AA391">
        <v>0</v>
      </c>
      <c r="AB391">
        <v>11</v>
      </c>
      <c r="AC391">
        <v>2</v>
      </c>
      <c r="AD391" t="s">
        <v>74</v>
      </c>
      <c r="AE391">
        <v>11</v>
      </c>
      <c r="AF391" t="str" cm="1">
        <f t="array" ref="AF391">_xlfn.IFS(AE391&gt;=10,"Veteran (10y+)",AE391&gt;=3,"Established (3-10y)",AE391&lt;3,"New Hire (&lt;3y)")</f>
        <v>Veteran (10y+)</v>
      </c>
      <c r="AG391">
        <v>7</v>
      </c>
      <c r="AH391">
        <v>1</v>
      </c>
      <c r="AI391">
        <v>8</v>
      </c>
    </row>
    <row r="392" spans="1:35">
      <c r="A392">
        <v>31</v>
      </c>
      <c r="B392" t="str">
        <f t="shared" si="6"/>
        <v>Middle Aged</v>
      </c>
      <c r="C392">
        <v>1</v>
      </c>
      <c r="D392" t="s">
        <v>36</v>
      </c>
      <c r="E392">
        <v>249</v>
      </c>
      <c r="F392" t="s">
        <v>37</v>
      </c>
      <c r="G392">
        <v>6</v>
      </c>
      <c r="H392" t="str" cm="1">
        <f t="array" ref="H392">_xlfn.IFS(G392&gt;15,"Long Commute",G392&gt;5,"Moderate",G392&lt;=5,"Near Office")</f>
        <v>Moderate</v>
      </c>
      <c r="I392" t="s">
        <v>83</v>
      </c>
      <c r="J392" t="s">
        <v>38</v>
      </c>
      <c r="K392">
        <v>2</v>
      </c>
      <c r="L392" t="s">
        <v>46</v>
      </c>
      <c r="M392">
        <v>76</v>
      </c>
      <c r="N392">
        <v>1</v>
      </c>
      <c r="O392">
        <v>2</v>
      </c>
      <c r="P392" t="s">
        <v>40</v>
      </c>
      <c r="Q392" t="s">
        <v>73</v>
      </c>
      <c r="R392" t="s">
        <v>48</v>
      </c>
      <c r="S392">
        <v>6172</v>
      </c>
      <c r="T392" t="str" cm="1">
        <f t="array" ref="T392">_xlfn.IFS(S392&gt;=10000,"High (&gt;10k)",S392&gt;=5000,"Medium (5k-10k)",S392&lt;5000,"Low (&lt;5k)")</f>
        <v>Medium (5k-10k)</v>
      </c>
      <c r="U392">
        <v>20739</v>
      </c>
      <c r="V392">
        <v>4</v>
      </c>
      <c r="W392" t="s">
        <v>35</v>
      </c>
      <c r="X392">
        <v>18</v>
      </c>
      <c r="Y392">
        <v>3</v>
      </c>
      <c r="Z392">
        <v>2</v>
      </c>
      <c r="AA392">
        <v>0</v>
      </c>
      <c r="AB392">
        <v>12</v>
      </c>
      <c r="AC392">
        <v>3</v>
      </c>
      <c r="AD392" t="s">
        <v>81</v>
      </c>
      <c r="AE392">
        <v>7</v>
      </c>
      <c r="AF392" t="str" cm="1">
        <f t="array" ref="AF392">_xlfn.IFS(AE392&gt;=10,"Veteran (10y+)",AE392&gt;=3,"Established (3-10y)",AE392&lt;3,"New Hire (&lt;3y)")</f>
        <v>Established (3-10y)</v>
      </c>
      <c r="AG392">
        <v>7</v>
      </c>
      <c r="AH392">
        <v>7</v>
      </c>
      <c r="AI392">
        <v>7</v>
      </c>
    </row>
    <row r="393" spans="1:35">
      <c r="A393">
        <v>31</v>
      </c>
      <c r="B393" t="str">
        <f t="shared" si="6"/>
        <v>Middle Aged</v>
      </c>
      <c r="C393">
        <v>1</v>
      </c>
      <c r="D393" t="s">
        <v>36</v>
      </c>
      <c r="E393">
        <v>542</v>
      </c>
      <c r="F393" t="s">
        <v>37</v>
      </c>
      <c r="G393">
        <v>20</v>
      </c>
      <c r="H393" t="str" cm="1">
        <f t="array" ref="H393">_xlfn.IFS(G393&gt;15,"Long Commute",G393&gt;5,"Moderate",G393&lt;=5,"Near Office")</f>
        <v>Long Commute</v>
      </c>
      <c r="I393" t="s">
        <v>72</v>
      </c>
      <c r="J393" t="s">
        <v>38</v>
      </c>
      <c r="K393">
        <v>2</v>
      </c>
      <c r="L393" t="s">
        <v>39</v>
      </c>
      <c r="M393">
        <v>71</v>
      </c>
      <c r="N393">
        <v>1</v>
      </c>
      <c r="O393">
        <v>2</v>
      </c>
      <c r="P393" t="s">
        <v>40</v>
      </c>
      <c r="Q393" t="s">
        <v>73</v>
      </c>
      <c r="R393" t="s">
        <v>48</v>
      </c>
      <c r="S393">
        <v>4559</v>
      </c>
      <c r="T393" t="str" cm="1">
        <f t="array" ref="T393">_xlfn.IFS(S393&gt;=10000,"High (&gt;10k)",S393&gt;=5000,"Medium (5k-10k)",S393&lt;5000,"Low (&lt;5k)")</f>
        <v>Low (&lt;5k)</v>
      </c>
      <c r="U393">
        <v>24788</v>
      </c>
      <c r="V393">
        <v>3</v>
      </c>
      <c r="W393" t="s">
        <v>35</v>
      </c>
      <c r="X393">
        <v>11</v>
      </c>
      <c r="Y393">
        <v>3</v>
      </c>
      <c r="Z393">
        <v>3</v>
      </c>
      <c r="AA393">
        <v>1</v>
      </c>
      <c r="AB393">
        <v>4</v>
      </c>
      <c r="AC393">
        <v>2</v>
      </c>
      <c r="AD393" t="s">
        <v>74</v>
      </c>
      <c r="AE393">
        <v>2</v>
      </c>
      <c r="AF393" t="str" cm="1">
        <f t="array" ref="AF393">_xlfn.IFS(AE393&gt;=10,"Veteran (10y+)",AE393&gt;=3,"Established (3-10y)",AE393&lt;3,"New Hire (&lt;3y)")</f>
        <v>New Hire (&lt;3y)</v>
      </c>
      <c r="AG393">
        <v>2</v>
      </c>
      <c r="AH393">
        <v>2</v>
      </c>
      <c r="AI393">
        <v>2</v>
      </c>
    </row>
    <row r="394" spans="1:35">
      <c r="A394">
        <v>31</v>
      </c>
      <c r="B394" t="str">
        <f t="shared" si="6"/>
        <v>Middle Aged</v>
      </c>
      <c r="C394">
        <v>0</v>
      </c>
      <c r="D394" t="s">
        <v>36</v>
      </c>
      <c r="E394">
        <v>140</v>
      </c>
      <c r="F394" t="s">
        <v>45</v>
      </c>
      <c r="G394">
        <v>12</v>
      </c>
      <c r="H394" t="str" cm="1">
        <f t="array" ref="H394">_xlfn.IFS(G394&gt;15,"Long Commute",G394&gt;5,"Moderate",G394&lt;=5,"Near Office")</f>
        <v>Moderate</v>
      </c>
      <c r="I394" t="s">
        <v>78</v>
      </c>
      <c r="J394" t="s">
        <v>51</v>
      </c>
      <c r="K394">
        <v>3</v>
      </c>
      <c r="L394" t="s">
        <v>39</v>
      </c>
      <c r="M394">
        <v>95</v>
      </c>
      <c r="N394">
        <v>3</v>
      </c>
      <c r="O394">
        <v>1</v>
      </c>
      <c r="P394" t="s">
        <v>47</v>
      </c>
      <c r="Q394" t="s">
        <v>77</v>
      </c>
      <c r="R394" t="s">
        <v>48</v>
      </c>
      <c r="S394">
        <v>3929</v>
      </c>
      <c r="T394" t="str" cm="1">
        <f t="array" ref="T394">_xlfn.IFS(S394&gt;=10000,"High (&gt;10k)",S394&gt;=5000,"Medium (5k-10k)",S394&lt;5000,"Low (&lt;5k)")</f>
        <v>Low (&lt;5k)</v>
      </c>
      <c r="U394">
        <v>6984</v>
      </c>
      <c r="V394">
        <v>8</v>
      </c>
      <c r="W394" t="s">
        <v>35</v>
      </c>
      <c r="X394">
        <v>23</v>
      </c>
      <c r="Y394">
        <v>4</v>
      </c>
      <c r="Z394">
        <v>3</v>
      </c>
      <c r="AA394">
        <v>1</v>
      </c>
      <c r="AB394">
        <v>7</v>
      </c>
      <c r="AC394">
        <v>0</v>
      </c>
      <c r="AD394" t="s">
        <v>74</v>
      </c>
      <c r="AE394">
        <v>4</v>
      </c>
      <c r="AF394" t="str" cm="1">
        <f t="array" ref="AF394">_xlfn.IFS(AE394&gt;=10,"Veteran (10y+)",AE394&gt;=3,"Established (3-10y)",AE394&lt;3,"New Hire (&lt;3y)")</f>
        <v>Established (3-10y)</v>
      </c>
      <c r="AG394">
        <v>2</v>
      </c>
      <c r="AH394">
        <v>0</v>
      </c>
      <c r="AI394">
        <v>2</v>
      </c>
    </row>
    <row r="395" spans="1:35">
      <c r="A395">
        <v>31</v>
      </c>
      <c r="B395" t="str">
        <f t="shared" si="6"/>
        <v>Middle Aged</v>
      </c>
      <c r="C395">
        <v>0</v>
      </c>
      <c r="D395" t="s">
        <v>55</v>
      </c>
      <c r="E395">
        <v>979</v>
      </c>
      <c r="F395" t="s">
        <v>45</v>
      </c>
      <c r="G395">
        <v>1</v>
      </c>
      <c r="H395" t="str" cm="1">
        <f t="array" ref="H395">_xlfn.IFS(G395&gt;15,"Long Commute",G395&gt;5,"Moderate",G395&lt;=5,"Near Office")</f>
        <v>Near Office</v>
      </c>
      <c r="I395" t="s">
        <v>83</v>
      </c>
      <c r="J395" t="s">
        <v>51</v>
      </c>
      <c r="K395">
        <v>3</v>
      </c>
      <c r="L395" t="s">
        <v>46</v>
      </c>
      <c r="M395">
        <v>90</v>
      </c>
      <c r="N395">
        <v>1</v>
      </c>
      <c r="O395">
        <v>2</v>
      </c>
      <c r="P395" t="s">
        <v>53</v>
      </c>
      <c r="Q395" t="s">
        <v>73</v>
      </c>
      <c r="R395" t="s">
        <v>48</v>
      </c>
      <c r="S395">
        <v>4345</v>
      </c>
      <c r="T395" t="str" cm="1">
        <f t="array" ref="T395">_xlfn.IFS(S395&gt;=10000,"High (&gt;10k)",S395&gt;=5000,"Medium (5k-10k)",S395&lt;5000,"Low (&lt;5k)")</f>
        <v>Low (&lt;5k)</v>
      </c>
      <c r="U395">
        <v>4381</v>
      </c>
      <c r="V395">
        <v>0</v>
      </c>
      <c r="W395" t="s">
        <v>43</v>
      </c>
      <c r="X395">
        <v>12</v>
      </c>
      <c r="Y395">
        <v>3</v>
      </c>
      <c r="Z395">
        <v>4</v>
      </c>
      <c r="AA395">
        <v>1</v>
      </c>
      <c r="AB395">
        <v>6</v>
      </c>
      <c r="AC395">
        <v>2</v>
      </c>
      <c r="AD395" t="s">
        <v>74</v>
      </c>
      <c r="AE395">
        <v>5</v>
      </c>
      <c r="AF395" t="str" cm="1">
        <f t="array" ref="AF395">_xlfn.IFS(AE395&gt;=10,"Veteran (10y+)",AE395&gt;=3,"Established (3-10y)",AE395&lt;3,"New Hire (&lt;3y)")</f>
        <v>Established (3-10y)</v>
      </c>
      <c r="AG395">
        <v>4</v>
      </c>
      <c r="AH395">
        <v>1</v>
      </c>
      <c r="AI395">
        <v>4</v>
      </c>
    </row>
    <row r="396" spans="1:35">
      <c r="A396">
        <v>31</v>
      </c>
      <c r="B396" t="str">
        <f t="shared" si="6"/>
        <v>Middle Aged</v>
      </c>
      <c r="C396">
        <v>0</v>
      </c>
      <c r="D396" t="s">
        <v>44</v>
      </c>
      <c r="E396">
        <v>1327</v>
      </c>
      <c r="F396" t="s">
        <v>45</v>
      </c>
      <c r="G396">
        <v>3</v>
      </c>
      <c r="H396" t="str" cm="1">
        <f t="array" ref="H396">_xlfn.IFS(G396&gt;15,"Long Commute",G396&gt;5,"Moderate",G396&lt;=5,"Near Office")</f>
        <v>Near Office</v>
      </c>
      <c r="I396" t="s">
        <v>83</v>
      </c>
      <c r="J396" t="s">
        <v>51</v>
      </c>
      <c r="K396">
        <v>2</v>
      </c>
      <c r="L396" t="s">
        <v>46</v>
      </c>
      <c r="M396">
        <v>73</v>
      </c>
      <c r="N396">
        <v>3</v>
      </c>
      <c r="O396">
        <v>3</v>
      </c>
      <c r="P396" t="s">
        <v>58</v>
      </c>
      <c r="Q396" t="s">
        <v>73</v>
      </c>
      <c r="R396" t="s">
        <v>52</v>
      </c>
      <c r="S396">
        <v>13675</v>
      </c>
      <c r="T396" t="str" cm="1">
        <f t="array" ref="T396">_xlfn.IFS(S396&gt;=10000,"High (&gt;10k)",S396&gt;=5000,"Medium (5k-10k)",S396&lt;5000,"Low (&lt;5k)")</f>
        <v>High (&gt;10k)</v>
      </c>
      <c r="U396">
        <v>13523</v>
      </c>
      <c r="V396">
        <v>9</v>
      </c>
      <c r="W396" t="s">
        <v>43</v>
      </c>
      <c r="X396">
        <v>12</v>
      </c>
      <c r="Y396">
        <v>3</v>
      </c>
      <c r="Z396">
        <v>1</v>
      </c>
      <c r="AA396">
        <v>1</v>
      </c>
      <c r="AB396">
        <v>9</v>
      </c>
      <c r="AC396">
        <v>3</v>
      </c>
      <c r="AD396" t="s">
        <v>74</v>
      </c>
      <c r="AE396">
        <v>2</v>
      </c>
      <c r="AF396" t="str" cm="1">
        <f t="array" ref="AF396">_xlfn.IFS(AE396&gt;=10,"Veteran (10y+)",AE396&gt;=3,"Established (3-10y)",AE396&lt;3,"New Hire (&lt;3y)")</f>
        <v>New Hire (&lt;3y)</v>
      </c>
      <c r="AG396">
        <v>2</v>
      </c>
      <c r="AH396">
        <v>2</v>
      </c>
      <c r="AI396">
        <v>2</v>
      </c>
    </row>
    <row r="397" spans="1:35">
      <c r="A397">
        <v>31</v>
      </c>
      <c r="B397" t="str">
        <f t="shared" si="6"/>
        <v>Middle Aged</v>
      </c>
      <c r="C397">
        <v>1</v>
      </c>
      <c r="D397" t="s">
        <v>44</v>
      </c>
      <c r="E397">
        <v>307</v>
      </c>
      <c r="F397" t="s">
        <v>45</v>
      </c>
      <c r="G397">
        <v>29</v>
      </c>
      <c r="H397" t="str" cm="1">
        <f t="array" ref="H397">_xlfn.IFS(G397&gt;15,"Long Commute",G397&gt;5,"Moderate",G397&lt;=5,"Near Office")</f>
        <v>Long Commute</v>
      </c>
      <c r="I397" t="s">
        <v>76</v>
      </c>
      <c r="J397" t="s">
        <v>51</v>
      </c>
      <c r="K397">
        <v>3</v>
      </c>
      <c r="L397" t="s">
        <v>46</v>
      </c>
      <c r="M397">
        <v>71</v>
      </c>
      <c r="N397">
        <v>2</v>
      </c>
      <c r="O397">
        <v>1</v>
      </c>
      <c r="P397" t="s">
        <v>50</v>
      </c>
      <c r="Q397" t="s">
        <v>75</v>
      </c>
      <c r="R397" t="s">
        <v>41</v>
      </c>
      <c r="S397">
        <v>3479</v>
      </c>
      <c r="T397" t="str" cm="1">
        <f t="array" ref="T397">_xlfn.IFS(S397&gt;=10000,"High (&gt;10k)",S397&gt;=5000,"Medium (5k-10k)",S397&lt;5000,"Low (&lt;5k)")</f>
        <v>Low (&lt;5k)</v>
      </c>
      <c r="U397">
        <v>11652</v>
      </c>
      <c r="V397">
        <v>0</v>
      </c>
      <c r="W397" t="s">
        <v>43</v>
      </c>
      <c r="X397">
        <v>11</v>
      </c>
      <c r="Y397">
        <v>3</v>
      </c>
      <c r="Z397">
        <v>2</v>
      </c>
      <c r="AA397">
        <v>0</v>
      </c>
      <c r="AB397">
        <v>6</v>
      </c>
      <c r="AC397">
        <v>2</v>
      </c>
      <c r="AD397" t="s">
        <v>79</v>
      </c>
      <c r="AE397">
        <v>5</v>
      </c>
      <c r="AF397" t="str" cm="1">
        <f t="array" ref="AF397">_xlfn.IFS(AE397&gt;=10,"Veteran (10y+)",AE397&gt;=3,"Established (3-10y)",AE397&lt;3,"New Hire (&lt;3y)")</f>
        <v>Established (3-10y)</v>
      </c>
      <c r="AG397">
        <v>4</v>
      </c>
      <c r="AH397">
        <v>1</v>
      </c>
      <c r="AI397">
        <v>4</v>
      </c>
    </row>
    <row r="398" spans="1:35">
      <c r="A398">
        <v>31</v>
      </c>
      <c r="B398" t="str">
        <f t="shared" si="6"/>
        <v>Middle Aged</v>
      </c>
      <c r="C398">
        <v>0</v>
      </c>
      <c r="D398" t="s">
        <v>36</v>
      </c>
      <c r="E398">
        <v>1463</v>
      </c>
      <c r="F398" t="s">
        <v>45</v>
      </c>
      <c r="G398">
        <v>23</v>
      </c>
      <c r="H398" t="str" cm="1">
        <f t="array" ref="H398">_xlfn.IFS(G398&gt;15,"Long Commute",G398&gt;5,"Moderate",G398&lt;=5,"Near Office")</f>
        <v>Long Commute</v>
      </c>
      <c r="I398" t="s">
        <v>72</v>
      </c>
      <c r="J398" t="s">
        <v>51</v>
      </c>
      <c r="K398">
        <v>2</v>
      </c>
      <c r="L398" t="s">
        <v>46</v>
      </c>
      <c r="M398">
        <v>64</v>
      </c>
      <c r="N398">
        <v>2</v>
      </c>
      <c r="O398">
        <v>2</v>
      </c>
      <c r="P398" t="s">
        <v>54</v>
      </c>
      <c r="Q398" t="s">
        <v>77</v>
      </c>
      <c r="R398" t="s">
        <v>48</v>
      </c>
      <c r="S398">
        <v>5582</v>
      </c>
      <c r="T398" t="str" cm="1">
        <f t="array" ref="T398">_xlfn.IFS(S398&gt;=10000,"High (&gt;10k)",S398&gt;=5000,"Medium (5k-10k)",S398&lt;5000,"Low (&lt;5k)")</f>
        <v>Medium (5k-10k)</v>
      </c>
      <c r="U398">
        <v>14408</v>
      </c>
      <c r="V398">
        <v>0</v>
      </c>
      <c r="W398" t="s">
        <v>43</v>
      </c>
      <c r="X398">
        <v>21</v>
      </c>
      <c r="Y398">
        <v>4</v>
      </c>
      <c r="Z398">
        <v>2</v>
      </c>
      <c r="AA398">
        <v>1</v>
      </c>
      <c r="AB398">
        <v>10</v>
      </c>
      <c r="AC398">
        <v>2</v>
      </c>
      <c r="AD398" t="s">
        <v>74</v>
      </c>
      <c r="AE398">
        <v>9</v>
      </c>
      <c r="AF398" t="str" cm="1">
        <f t="array" ref="AF398">_xlfn.IFS(AE398&gt;=10,"Veteran (10y+)",AE398&gt;=3,"Established (3-10y)",AE398&lt;3,"New Hire (&lt;3y)")</f>
        <v>Established (3-10y)</v>
      </c>
      <c r="AG398">
        <v>0</v>
      </c>
      <c r="AH398">
        <v>7</v>
      </c>
      <c r="AI398">
        <v>8</v>
      </c>
    </row>
    <row r="399" spans="1:35">
      <c r="A399">
        <v>31</v>
      </c>
      <c r="B399" t="str">
        <f t="shared" si="6"/>
        <v>Middle Aged</v>
      </c>
      <c r="C399">
        <v>0</v>
      </c>
      <c r="D399" t="s">
        <v>44</v>
      </c>
      <c r="E399">
        <v>444</v>
      </c>
      <c r="F399" t="s">
        <v>37</v>
      </c>
      <c r="G399">
        <v>5</v>
      </c>
      <c r="H399" t="str" cm="1">
        <f t="array" ref="H399">_xlfn.IFS(G399&gt;15,"Long Commute",G399&gt;5,"Moderate",G399&lt;=5,"Near Office")</f>
        <v>Near Office</v>
      </c>
      <c r="I399" t="s">
        <v>72</v>
      </c>
      <c r="J399" t="s">
        <v>59</v>
      </c>
      <c r="K399">
        <v>4</v>
      </c>
      <c r="L399" t="s">
        <v>39</v>
      </c>
      <c r="M399">
        <v>84</v>
      </c>
      <c r="N399">
        <v>3</v>
      </c>
      <c r="O399">
        <v>1</v>
      </c>
      <c r="P399" t="s">
        <v>57</v>
      </c>
      <c r="Q399" t="s">
        <v>75</v>
      </c>
      <c r="R399" t="s">
        <v>52</v>
      </c>
      <c r="S399">
        <v>2789</v>
      </c>
      <c r="T399" t="str" cm="1">
        <f t="array" ref="T399">_xlfn.IFS(S399&gt;=10000,"High (&gt;10k)",S399&gt;=5000,"Medium (5k-10k)",S399&lt;5000,"Low (&lt;5k)")</f>
        <v>Low (&lt;5k)</v>
      </c>
      <c r="U399">
        <v>3909</v>
      </c>
      <c r="V399">
        <v>1</v>
      </c>
      <c r="W399" t="s">
        <v>43</v>
      </c>
      <c r="X399">
        <v>11</v>
      </c>
      <c r="Y399">
        <v>3</v>
      </c>
      <c r="Z399">
        <v>3</v>
      </c>
      <c r="AA399">
        <v>1</v>
      </c>
      <c r="AB399">
        <v>2</v>
      </c>
      <c r="AC399">
        <v>5</v>
      </c>
      <c r="AD399" t="s">
        <v>81</v>
      </c>
      <c r="AE399">
        <v>2</v>
      </c>
      <c r="AF399" t="str" cm="1">
        <f t="array" ref="AF399">_xlfn.IFS(AE399&gt;=10,"Veteran (10y+)",AE399&gt;=3,"Established (3-10y)",AE399&lt;3,"New Hire (&lt;3y)")</f>
        <v>New Hire (&lt;3y)</v>
      </c>
      <c r="AG399">
        <v>2</v>
      </c>
      <c r="AH399">
        <v>2</v>
      </c>
      <c r="AI399">
        <v>2</v>
      </c>
    </row>
    <row r="400" spans="1:35">
      <c r="A400">
        <v>31</v>
      </c>
      <c r="B400" t="str">
        <f t="shared" si="6"/>
        <v>Middle Aged</v>
      </c>
      <c r="C400">
        <v>0</v>
      </c>
      <c r="D400" t="s">
        <v>36</v>
      </c>
      <c r="E400">
        <v>218</v>
      </c>
      <c r="F400" t="s">
        <v>37</v>
      </c>
      <c r="G400">
        <v>7</v>
      </c>
      <c r="H400" t="str" cm="1">
        <f t="array" ref="H400">_xlfn.IFS(G400&gt;15,"Long Commute",G400&gt;5,"Moderate",G400&lt;=5,"Near Office")</f>
        <v>Moderate</v>
      </c>
      <c r="I400" t="s">
        <v>72</v>
      </c>
      <c r="J400" t="s">
        <v>60</v>
      </c>
      <c r="K400">
        <v>2</v>
      </c>
      <c r="L400" t="s">
        <v>46</v>
      </c>
      <c r="M400">
        <v>100</v>
      </c>
      <c r="N400">
        <v>4</v>
      </c>
      <c r="O400">
        <v>2</v>
      </c>
      <c r="P400" t="s">
        <v>40</v>
      </c>
      <c r="Q400" t="s">
        <v>77</v>
      </c>
      <c r="R400" t="s">
        <v>48</v>
      </c>
      <c r="S400">
        <v>6929</v>
      </c>
      <c r="T400" t="str" cm="1">
        <f t="array" ref="T400">_xlfn.IFS(S400&gt;=10000,"High (&gt;10k)",S400&gt;=5000,"Medium (5k-10k)",S400&lt;5000,"Low (&lt;5k)")</f>
        <v>Medium (5k-10k)</v>
      </c>
      <c r="U400">
        <v>12241</v>
      </c>
      <c r="V400">
        <v>4</v>
      </c>
      <c r="W400" t="s">
        <v>43</v>
      </c>
      <c r="X400">
        <v>11</v>
      </c>
      <c r="Y400">
        <v>3</v>
      </c>
      <c r="Z400">
        <v>2</v>
      </c>
      <c r="AA400">
        <v>1</v>
      </c>
      <c r="AB400">
        <v>10</v>
      </c>
      <c r="AC400">
        <v>3</v>
      </c>
      <c r="AD400" t="s">
        <v>81</v>
      </c>
      <c r="AE400">
        <v>8</v>
      </c>
      <c r="AF400" t="str" cm="1">
        <f t="array" ref="AF400">_xlfn.IFS(AE400&gt;=10,"Veteran (10y+)",AE400&gt;=3,"Established (3-10y)",AE400&lt;3,"New Hire (&lt;3y)")</f>
        <v>Established (3-10y)</v>
      </c>
      <c r="AG400">
        <v>7</v>
      </c>
      <c r="AH400">
        <v>7</v>
      </c>
      <c r="AI400">
        <v>7</v>
      </c>
    </row>
    <row r="401" spans="1:35">
      <c r="A401">
        <v>31</v>
      </c>
      <c r="B401" t="str">
        <f t="shared" si="6"/>
        <v>Middle Aged</v>
      </c>
      <c r="C401">
        <v>0</v>
      </c>
      <c r="D401" t="s">
        <v>36</v>
      </c>
      <c r="E401">
        <v>691</v>
      </c>
      <c r="F401" t="s">
        <v>45</v>
      </c>
      <c r="G401">
        <v>5</v>
      </c>
      <c r="H401" t="str" cm="1">
        <f t="array" ref="H401">_xlfn.IFS(G401&gt;15,"Long Commute",G401&gt;5,"Moderate",G401&lt;=5,"Near Office")</f>
        <v>Near Office</v>
      </c>
      <c r="I401" t="s">
        <v>83</v>
      </c>
      <c r="J401" t="s">
        <v>60</v>
      </c>
      <c r="K401">
        <v>3</v>
      </c>
      <c r="L401" t="s">
        <v>46</v>
      </c>
      <c r="M401">
        <v>86</v>
      </c>
      <c r="N401">
        <v>3</v>
      </c>
      <c r="O401">
        <v>1</v>
      </c>
      <c r="P401" t="s">
        <v>47</v>
      </c>
      <c r="Q401" t="s">
        <v>77</v>
      </c>
      <c r="R401" t="s">
        <v>48</v>
      </c>
      <c r="S401">
        <v>4821</v>
      </c>
      <c r="T401" t="str" cm="1">
        <f t="array" ref="T401">_xlfn.IFS(S401&gt;=10000,"High (&gt;10k)",S401&gt;=5000,"Medium (5k-10k)",S401&lt;5000,"Low (&lt;5k)")</f>
        <v>Low (&lt;5k)</v>
      </c>
      <c r="U401">
        <v>10077</v>
      </c>
      <c r="V401">
        <v>0</v>
      </c>
      <c r="W401" t="s">
        <v>35</v>
      </c>
      <c r="X401">
        <v>12</v>
      </c>
      <c r="Y401">
        <v>3</v>
      </c>
      <c r="Z401">
        <v>3</v>
      </c>
      <c r="AA401">
        <v>1</v>
      </c>
      <c r="AB401">
        <v>6</v>
      </c>
      <c r="AC401">
        <v>4</v>
      </c>
      <c r="AD401" t="s">
        <v>74</v>
      </c>
      <c r="AE401">
        <v>5</v>
      </c>
      <c r="AF401" t="str" cm="1">
        <f t="array" ref="AF401">_xlfn.IFS(AE401&gt;=10,"Veteran (10y+)",AE401&gt;=3,"Established (3-10y)",AE401&lt;3,"New Hire (&lt;3y)")</f>
        <v>Established (3-10y)</v>
      </c>
      <c r="AG401">
        <v>2</v>
      </c>
      <c r="AH401">
        <v>0</v>
      </c>
      <c r="AI401">
        <v>3</v>
      </c>
    </row>
    <row r="402" spans="1:35">
      <c r="A402">
        <v>31</v>
      </c>
      <c r="B402" t="str">
        <f t="shared" si="6"/>
        <v>Middle Aged</v>
      </c>
      <c r="C402">
        <v>0</v>
      </c>
      <c r="D402" t="s">
        <v>36</v>
      </c>
      <c r="E402">
        <v>106</v>
      </c>
      <c r="F402" t="s">
        <v>61</v>
      </c>
      <c r="G402">
        <v>2</v>
      </c>
      <c r="H402" t="str" cm="1">
        <f t="array" ref="H402">_xlfn.IFS(G402&gt;15,"Long Commute",G402&gt;5,"Moderate",G402&lt;=5,"Near Office")</f>
        <v>Near Office</v>
      </c>
      <c r="I402" t="s">
        <v>72</v>
      </c>
      <c r="J402" t="s">
        <v>61</v>
      </c>
      <c r="K402">
        <v>1</v>
      </c>
      <c r="L402" t="s">
        <v>46</v>
      </c>
      <c r="M402">
        <v>62</v>
      </c>
      <c r="N402">
        <v>2</v>
      </c>
      <c r="O402">
        <v>2</v>
      </c>
      <c r="P402" t="s">
        <v>61</v>
      </c>
      <c r="Q402" t="s">
        <v>82</v>
      </c>
      <c r="R402" t="s">
        <v>48</v>
      </c>
      <c r="S402">
        <v>6410</v>
      </c>
      <c r="T402" t="str" cm="1">
        <f t="array" ref="T402">_xlfn.IFS(S402&gt;=10000,"High (&gt;10k)",S402&gt;=5000,"Medium (5k-10k)",S402&lt;5000,"Low (&lt;5k)")</f>
        <v>Medium (5k-10k)</v>
      </c>
      <c r="U402">
        <v>17822</v>
      </c>
      <c r="V402">
        <v>3</v>
      </c>
      <c r="W402" t="s">
        <v>43</v>
      </c>
      <c r="X402">
        <v>12</v>
      </c>
      <c r="Y402">
        <v>3</v>
      </c>
      <c r="Z402">
        <v>4</v>
      </c>
      <c r="AA402">
        <v>0</v>
      </c>
      <c r="AB402">
        <v>9</v>
      </c>
      <c r="AC402">
        <v>1</v>
      </c>
      <c r="AD402" t="s">
        <v>74</v>
      </c>
      <c r="AE402">
        <v>2</v>
      </c>
      <c r="AF402" t="str" cm="1">
        <f t="array" ref="AF402">_xlfn.IFS(AE402&gt;=10,"Veteran (10y+)",AE402&gt;=3,"Established (3-10y)",AE402&lt;3,"New Hire (&lt;3y)")</f>
        <v>New Hire (&lt;3y)</v>
      </c>
      <c r="AG402">
        <v>2</v>
      </c>
      <c r="AH402">
        <v>1</v>
      </c>
      <c r="AI402">
        <v>0</v>
      </c>
    </row>
    <row r="403" spans="1:35">
      <c r="A403">
        <v>31</v>
      </c>
      <c r="B403" t="str">
        <f t="shared" si="6"/>
        <v>Middle Aged</v>
      </c>
      <c r="C403">
        <v>0</v>
      </c>
      <c r="D403" t="s">
        <v>36</v>
      </c>
      <c r="E403">
        <v>192</v>
      </c>
      <c r="F403" t="s">
        <v>45</v>
      </c>
      <c r="G403">
        <v>2</v>
      </c>
      <c r="H403" t="str" cm="1">
        <f t="array" ref="H403">_xlfn.IFS(G403&gt;15,"Long Commute",G403&gt;5,"Moderate",G403&lt;=5,"Near Office")</f>
        <v>Near Office</v>
      </c>
      <c r="I403" t="s">
        <v>83</v>
      </c>
      <c r="J403" t="s">
        <v>38</v>
      </c>
      <c r="K403">
        <v>3</v>
      </c>
      <c r="L403" t="s">
        <v>46</v>
      </c>
      <c r="M403">
        <v>32</v>
      </c>
      <c r="N403">
        <v>3</v>
      </c>
      <c r="O403">
        <v>1</v>
      </c>
      <c r="P403" t="s">
        <v>47</v>
      </c>
      <c r="Q403" t="s">
        <v>77</v>
      </c>
      <c r="R403" t="s">
        <v>52</v>
      </c>
      <c r="S403">
        <v>2695</v>
      </c>
      <c r="T403" t="str" cm="1">
        <f t="array" ref="T403">_xlfn.IFS(S403&gt;=10000,"High (&gt;10k)",S403&gt;=5000,"Medium (5k-10k)",S403&lt;5000,"Low (&lt;5k)")</f>
        <v>Low (&lt;5k)</v>
      </c>
      <c r="U403">
        <v>7747</v>
      </c>
      <c r="V403">
        <v>0</v>
      </c>
      <c r="W403" t="s">
        <v>35</v>
      </c>
      <c r="X403">
        <v>18</v>
      </c>
      <c r="Y403">
        <v>3</v>
      </c>
      <c r="Z403">
        <v>2</v>
      </c>
      <c r="AA403">
        <v>1</v>
      </c>
      <c r="AB403">
        <v>3</v>
      </c>
      <c r="AC403">
        <v>2</v>
      </c>
      <c r="AD403" t="s">
        <v>80</v>
      </c>
      <c r="AE403">
        <v>2</v>
      </c>
      <c r="AF403" t="str" cm="1">
        <f t="array" ref="AF403">_xlfn.IFS(AE403&gt;=10,"Veteran (10y+)",AE403&gt;=3,"Established (3-10y)",AE403&lt;3,"New Hire (&lt;3y)")</f>
        <v>New Hire (&lt;3y)</v>
      </c>
      <c r="AG403">
        <v>2</v>
      </c>
      <c r="AH403">
        <v>2</v>
      </c>
      <c r="AI403">
        <v>2</v>
      </c>
    </row>
    <row r="404" spans="1:35">
      <c r="A404">
        <v>31</v>
      </c>
      <c r="B404" t="str">
        <f t="shared" si="6"/>
        <v>Middle Aged</v>
      </c>
      <c r="C404">
        <v>0</v>
      </c>
      <c r="D404" t="s">
        <v>36</v>
      </c>
      <c r="E404">
        <v>691</v>
      </c>
      <c r="F404" t="s">
        <v>37</v>
      </c>
      <c r="G404">
        <v>7</v>
      </c>
      <c r="H404" t="str" cm="1">
        <f t="array" ref="H404">_xlfn.IFS(G404&gt;15,"Long Commute",G404&gt;5,"Moderate",G404&lt;=5,"Near Office")</f>
        <v>Moderate</v>
      </c>
      <c r="I404" t="s">
        <v>72</v>
      </c>
      <c r="J404" t="s">
        <v>59</v>
      </c>
      <c r="K404">
        <v>4</v>
      </c>
      <c r="L404" t="s">
        <v>46</v>
      </c>
      <c r="M404">
        <v>73</v>
      </c>
      <c r="N404">
        <v>3</v>
      </c>
      <c r="O404">
        <v>2</v>
      </c>
      <c r="P404" t="s">
        <v>40</v>
      </c>
      <c r="Q404" t="s">
        <v>77</v>
      </c>
      <c r="R404" t="s">
        <v>52</v>
      </c>
      <c r="S404">
        <v>7547</v>
      </c>
      <c r="T404" t="str" cm="1">
        <f t="array" ref="T404">_xlfn.IFS(S404&gt;=10000,"High (&gt;10k)",S404&gt;=5000,"Medium (5k-10k)",S404&lt;5000,"Low (&lt;5k)")</f>
        <v>Medium (5k-10k)</v>
      </c>
      <c r="U404">
        <v>7143</v>
      </c>
      <c r="V404">
        <v>4</v>
      </c>
      <c r="W404" t="s">
        <v>43</v>
      </c>
      <c r="X404">
        <v>12</v>
      </c>
      <c r="Y404">
        <v>3</v>
      </c>
      <c r="Z404">
        <v>4</v>
      </c>
      <c r="AA404">
        <v>3</v>
      </c>
      <c r="AB404">
        <v>13</v>
      </c>
      <c r="AC404">
        <v>3</v>
      </c>
      <c r="AD404" t="s">
        <v>74</v>
      </c>
      <c r="AE404">
        <v>7</v>
      </c>
      <c r="AF404" t="str" cm="1">
        <f t="array" ref="AF404">_xlfn.IFS(AE404&gt;=10,"Veteran (10y+)",AE404&gt;=3,"Established (3-10y)",AE404&lt;3,"New Hire (&lt;3y)")</f>
        <v>Established (3-10y)</v>
      </c>
      <c r="AG404">
        <v>7</v>
      </c>
      <c r="AH404">
        <v>1</v>
      </c>
      <c r="AI404">
        <v>7</v>
      </c>
    </row>
    <row r="405" spans="1:35">
      <c r="A405">
        <v>31</v>
      </c>
      <c r="B405" t="str">
        <f t="shared" si="6"/>
        <v>Middle Aged</v>
      </c>
      <c r="C405">
        <v>0</v>
      </c>
      <c r="D405" t="s">
        <v>44</v>
      </c>
      <c r="E405">
        <v>798</v>
      </c>
      <c r="F405" t="s">
        <v>45</v>
      </c>
      <c r="G405">
        <v>7</v>
      </c>
      <c r="H405" t="str" cm="1">
        <f t="array" ref="H405">_xlfn.IFS(G405&gt;15,"Long Commute",G405&gt;5,"Moderate",G405&lt;=5,"Near Office")</f>
        <v>Moderate</v>
      </c>
      <c r="I405" t="s">
        <v>76</v>
      </c>
      <c r="J405" t="s">
        <v>38</v>
      </c>
      <c r="K405">
        <v>3</v>
      </c>
      <c r="L405" t="s">
        <v>39</v>
      </c>
      <c r="M405">
        <v>48</v>
      </c>
      <c r="N405">
        <v>2</v>
      </c>
      <c r="O405">
        <v>3</v>
      </c>
      <c r="P405" t="s">
        <v>53</v>
      </c>
      <c r="Q405" t="s">
        <v>73</v>
      </c>
      <c r="R405" t="s">
        <v>48</v>
      </c>
      <c r="S405">
        <v>8943</v>
      </c>
      <c r="T405" t="str" cm="1">
        <f t="array" ref="T405">_xlfn.IFS(S405&gt;=10000,"High (&gt;10k)",S405&gt;=5000,"Medium (5k-10k)",S405&lt;5000,"Low (&lt;5k)")</f>
        <v>Medium (5k-10k)</v>
      </c>
      <c r="U405">
        <v>14034</v>
      </c>
      <c r="V405">
        <v>1</v>
      </c>
      <c r="W405" t="s">
        <v>43</v>
      </c>
      <c r="X405">
        <v>24</v>
      </c>
      <c r="Y405">
        <v>4</v>
      </c>
      <c r="Z405">
        <v>1</v>
      </c>
      <c r="AA405">
        <v>1</v>
      </c>
      <c r="AB405">
        <v>10</v>
      </c>
      <c r="AC405">
        <v>2</v>
      </c>
      <c r="AD405" t="s">
        <v>74</v>
      </c>
      <c r="AE405">
        <v>10</v>
      </c>
      <c r="AF405" t="str" cm="1">
        <f t="array" ref="AF405">_xlfn.IFS(AE405&gt;=10,"Veteran (10y+)",AE405&gt;=3,"Established (3-10y)",AE405&lt;3,"New Hire (&lt;3y)")</f>
        <v>Veteran (10y+)</v>
      </c>
      <c r="AG405">
        <v>9</v>
      </c>
      <c r="AH405">
        <v>8</v>
      </c>
      <c r="AI405">
        <v>9</v>
      </c>
    </row>
    <row r="406" spans="1:35">
      <c r="A406">
        <v>31</v>
      </c>
      <c r="B406" t="str">
        <f t="shared" si="6"/>
        <v>Middle Aged</v>
      </c>
      <c r="C406">
        <v>0</v>
      </c>
      <c r="D406" t="s">
        <v>36</v>
      </c>
      <c r="E406">
        <v>1232</v>
      </c>
      <c r="F406" t="s">
        <v>45</v>
      </c>
      <c r="G406">
        <v>7</v>
      </c>
      <c r="H406" t="str" cm="1">
        <f t="array" ref="H406">_xlfn.IFS(G406&gt;15,"Long Commute",G406&gt;5,"Moderate",G406&lt;=5,"Near Office")</f>
        <v>Moderate</v>
      </c>
      <c r="I406" t="s">
        <v>83</v>
      </c>
      <c r="J406" t="s">
        <v>51</v>
      </c>
      <c r="K406">
        <v>3</v>
      </c>
      <c r="L406" t="s">
        <v>39</v>
      </c>
      <c r="M406">
        <v>39</v>
      </c>
      <c r="N406">
        <v>3</v>
      </c>
      <c r="O406">
        <v>3</v>
      </c>
      <c r="P406" t="s">
        <v>53</v>
      </c>
      <c r="Q406" t="s">
        <v>77</v>
      </c>
      <c r="R406" t="s">
        <v>41</v>
      </c>
      <c r="S406">
        <v>7143</v>
      </c>
      <c r="T406" t="str" cm="1">
        <f t="array" ref="T406">_xlfn.IFS(S406&gt;=10000,"High (&gt;10k)",S406&gt;=5000,"Medium (5k-10k)",S406&lt;5000,"Low (&lt;5k)")</f>
        <v>Medium (5k-10k)</v>
      </c>
      <c r="U406">
        <v>25713</v>
      </c>
      <c r="V406">
        <v>1</v>
      </c>
      <c r="W406" t="s">
        <v>35</v>
      </c>
      <c r="X406">
        <v>14</v>
      </c>
      <c r="Y406">
        <v>3</v>
      </c>
      <c r="Z406">
        <v>3</v>
      </c>
      <c r="AA406">
        <v>0</v>
      </c>
      <c r="AB406">
        <v>11</v>
      </c>
      <c r="AC406">
        <v>2</v>
      </c>
      <c r="AD406" t="s">
        <v>81</v>
      </c>
      <c r="AE406">
        <v>11</v>
      </c>
      <c r="AF406" t="str" cm="1">
        <f t="array" ref="AF406">_xlfn.IFS(AE406&gt;=10,"Veteran (10y+)",AE406&gt;=3,"Established (3-10y)",AE406&lt;3,"New Hire (&lt;3y)")</f>
        <v>Veteran (10y+)</v>
      </c>
      <c r="AG406">
        <v>9</v>
      </c>
      <c r="AH406">
        <v>4</v>
      </c>
      <c r="AI406">
        <v>10</v>
      </c>
    </row>
    <row r="407" spans="1:35">
      <c r="A407">
        <v>31</v>
      </c>
      <c r="B407" t="str">
        <f t="shared" si="6"/>
        <v>Middle Aged</v>
      </c>
      <c r="C407">
        <v>0</v>
      </c>
      <c r="D407" t="s">
        <v>36</v>
      </c>
      <c r="E407">
        <v>408</v>
      </c>
      <c r="F407" t="s">
        <v>45</v>
      </c>
      <c r="G407">
        <v>9</v>
      </c>
      <c r="H407" t="str" cm="1">
        <f t="array" ref="H407">_xlfn.IFS(G407&gt;15,"Long Commute",G407&gt;5,"Moderate",G407&lt;=5,"Near Office")</f>
        <v>Moderate</v>
      </c>
      <c r="I407" t="s">
        <v>83</v>
      </c>
      <c r="J407" t="s">
        <v>38</v>
      </c>
      <c r="K407">
        <v>3</v>
      </c>
      <c r="L407" t="s">
        <v>46</v>
      </c>
      <c r="M407">
        <v>42</v>
      </c>
      <c r="N407">
        <v>2</v>
      </c>
      <c r="O407">
        <v>1</v>
      </c>
      <c r="P407" t="s">
        <v>47</v>
      </c>
      <c r="Q407" t="s">
        <v>75</v>
      </c>
      <c r="R407" t="s">
        <v>41</v>
      </c>
      <c r="S407">
        <v>2657</v>
      </c>
      <c r="T407" t="str" cm="1">
        <f t="array" ref="T407">_xlfn.IFS(S407&gt;=10000,"High (&gt;10k)",S407&gt;=5000,"Medium (5k-10k)",S407&lt;5000,"Low (&lt;5k)")</f>
        <v>Low (&lt;5k)</v>
      </c>
      <c r="U407">
        <v>7551</v>
      </c>
      <c r="V407">
        <v>0</v>
      </c>
      <c r="W407" t="s">
        <v>35</v>
      </c>
      <c r="X407">
        <v>16</v>
      </c>
      <c r="Y407">
        <v>3</v>
      </c>
      <c r="Z407">
        <v>4</v>
      </c>
      <c r="AA407">
        <v>0</v>
      </c>
      <c r="AB407">
        <v>3</v>
      </c>
      <c r="AC407">
        <v>5</v>
      </c>
      <c r="AD407" t="s">
        <v>74</v>
      </c>
      <c r="AE407">
        <v>2</v>
      </c>
      <c r="AF407" t="str" cm="1">
        <f t="array" ref="AF407">_xlfn.IFS(AE407&gt;=10,"Veteran (10y+)",AE407&gt;=3,"Established (3-10y)",AE407&lt;3,"New Hire (&lt;3y)")</f>
        <v>New Hire (&lt;3y)</v>
      </c>
      <c r="AG407">
        <v>2</v>
      </c>
      <c r="AH407">
        <v>2</v>
      </c>
      <c r="AI407">
        <v>2</v>
      </c>
    </row>
    <row r="408" spans="1:35">
      <c r="A408">
        <v>31</v>
      </c>
      <c r="B408" t="str">
        <f t="shared" si="6"/>
        <v>Middle Aged</v>
      </c>
      <c r="C408">
        <v>0</v>
      </c>
      <c r="D408" t="s">
        <v>36</v>
      </c>
      <c r="E408">
        <v>480</v>
      </c>
      <c r="F408" t="s">
        <v>45</v>
      </c>
      <c r="G408">
        <v>7</v>
      </c>
      <c r="H408" t="str" cm="1">
        <f t="array" ref="H408">_xlfn.IFS(G408&gt;15,"Long Commute",G408&gt;5,"Moderate",G408&lt;=5,"Near Office")</f>
        <v>Moderate</v>
      </c>
      <c r="I408" t="s">
        <v>76</v>
      </c>
      <c r="J408" t="s">
        <v>51</v>
      </c>
      <c r="K408">
        <v>2</v>
      </c>
      <c r="L408" t="s">
        <v>39</v>
      </c>
      <c r="M408">
        <v>31</v>
      </c>
      <c r="N408">
        <v>3</v>
      </c>
      <c r="O408">
        <v>2</v>
      </c>
      <c r="P408" t="s">
        <v>53</v>
      </c>
      <c r="Q408" t="s">
        <v>82</v>
      </c>
      <c r="R408" t="s">
        <v>48</v>
      </c>
      <c r="S408">
        <v>4306</v>
      </c>
      <c r="T408" t="str" cm="1">
        <f t="array" ref="T408">_xlfn.IFS(S408&gt;=10000,"High (&gt;10k)",S408&gt;=5000,"Medium (5k-10k)",S408&lt;5000,"Low (&lt;5k)")</f>
        <v>Low (&lt;5k)</v>
      </c>
      <c r="U408">
        <v>4156</v>
      </c>
      <c r="V408">
        <v>1</v>
      </c>
      <c r="W408" t="s">
        <v>43</v>
      </c>
      <c r="X408">
        <v>12</v>
      </c>
      <c r="Y408">
        <v>3</v>
      </c>
      <c r="Z408">
        <v>2</v>
      </c>
      <c r="AA408">
        <v>1</v>
      </c>
      <c r="AB408">
        <v>13</v>
      </c>
      <c r="AC408">
        <v>5</v>
      </c>
      <c r="AD408" t="s">
        <v>80</v>
      </c>
      <c r="AE408">
        <v>13</v>
      </c>
      <c r="AF408" t="str" cm="1">
        <f t="array" ref="AF408">_xlfn.IFS(AE408&gt;=10,"Veteran (10y+)",AE408&gt;=3,"Established (3-10y)",AE408&lt;3,"New Hire (&lt;3y)")</f>
        <v>Veteran (10y+)</v>
      </c>
      <c r="AG408">
        <v>10</v>
      </c>
      <c r="AH408">
        <v>3</v>
      </c>
      <c r="AI408">
        <v>12</v>
      </c>
    </row>
    <row r="409" spans="1:35">
      <c r="A409">
        <v>31</v>
      </c>
      <c r="B409" t="str">
        <f t="shared" si="6"/>
        <v>Middle Aged</v>
      </c>
      <c r="C409">
        <v>0</v>
      </c>
      <c r="D409" t="s">
        <v>36</v>
      </c>
      <c r="E409">
        <v>329</v>
      </c>
      <c r="F409" t="s">
        <v>45</v>
      </c>
      <c r="G409">
        <v>1</v>
      </c>
      <c r="H409" t="str" cm="1">
        <f t="array" ref="H409">_xlfn.IFS(G409&gt;15,"Long Commute",G409&gt;5,"Moderate",G409&lt;=5,"Near Office")</f>
        <v>Near Office</v>
      </c>
      <c r="I409" t="s">
        <v>76</v>
      </c>
      <c r="J409" t="s">
        <v>38</v>
      </c>
      <c r="K409">
        <v>4</v>
      </c>
      <c r="L409" t="s">
        <v>46</v>
      </c>
      <c r="M409">
        <v>98</v>
      </c>
      <c r="N409">
        <v>2</v>
      </c>
      <c r="O409">
        <v>1</v>
      </c>
      <c r="P409" t="s">
        <v>50</v>
      </c>
      <c r="Q409" t="s">
        <v>82</v>
      </c>
      <c r="R409" t="s">
        <v>48</v>
      </c>
      <c r="S409">
        <v>2218</v>
      </c>
      <c r="T409" t="str" cm="1">
        <f t="array" ref="T409">_xlfn.IFS(S409&gt;=10000,"High (&gt;10k)",S409&gt;=5000,"Medium (5k-10k)",S409&lt;5000,"Low (&lt;5k)")</f>
        <v>Low (&lt;5k)</v>
      </c>
      <c r="U409">
        <v>16193</v>
      </c>
      <c r="V409">
        <v>1</v>
      </c>
      <c r="W409" t="s">
        <v>43</v>
      </c>
      <c r="X409">
        <v>12</v>
      </c>
      <c r="Y409">
        <v>3</v>
      </c>
      <c r="Z409">
        <v>3</v>
      </c>
      <c r="AA409">
        <v>1</v>
      </c>
      <c r="AB409">
        <v>4</v>
      </c>
      <c r="AC409">
        <v>3</v>
      </c>
      <c r="AD409" t="s">
        <v>74</v>
      </c>
      <c r="AE409">
        <v>4</v>
      </c>
      <c r="AF409" t="str" cm="1">
        <f t="array" ref="AF409">_xlfn.IFS(AE409&gt;=10,"Veteran (10y+)",AE409&gt;=3,"Established (3-10y)",AE409&lt;3,"New Hire (&lt;3y)")</f>
        <v>Established (3-10y)</v>
      </c>
      <c r="AG409">
        <v>2</v>
      </c>
      <c r="AH409">
        <v>3</v>
      </c>
      <c r="AI409">
        <v>2</v>
      </c>
    </row>
    <row r="410" spans="1:35">
      <c r="A410">
        <v>31</v>
      </c>
      <c r="B410" t="str">
        <f t="shared" si="6"/>
        <v>Middle Aged</v>
      </c>
      <c r="C410">
        <v>0</v>
      </c>
      <c r="D410" t="s">
        <v>36</v>
      </c>
      <c r="E410">
        <v>1274</v>
      </c>
      <c r="F410" t="s">
        <v>45</v>
      </c>
      <c r="G410">
        <v>9</v>
      </c>
      <c r="H410" t="str" cm="1">
        <f t="array" ref="H410">_xlfn.IFS(G410&gt;15,"Long Commute",G410&gt;5,"Moderate",G410&lt;=5,"Near Office")</f>
        <v>Moderate</v>
      </c>
      <c r="I410" t="s">
        <v>78</v>
      </c>
      <c r="J410" t="s">
        <v>38</v>
      </c>
      <c r="K410">
        <v>3</v>
      </c>
      <c r="L410" t="s">
        <v>46</v>
      </c>
      <c r="M410">
        <v>33</v>
      </c>
      <c r="N410">
        <v>3</v>
      </c>
      <c r="O410">
        <v>3</v>
      </c>
      <c r="P410" t="s">
        <v>53</v>
      </c>
      <c r="Q410" t="s">
        <v>75</v>
      </c>
      <c r="R410" t="s">
        <v>52</v>
      </c>
      <c r="S410">
        <v>10648</v>
      </c>
      <c r="T410" t="str" cm="1">
        <f t="array" ref="T410">_xlfn.IFS(S410&gt;=10000,"High (&gt;10k)",S410&gt;=5000,"Medium (5k-10k)",S410&lt;5000,"Low (&lt;5k)")</f>
        <v>High (&gt;10k)</v>
      </c>
      <c r="U410">
        <v>14394</v>
      </c>
      <c r="V410">
        <v>1</v>
      </c>
      <c r="W410" t="s">
        <v>43</v>
      </c>
      <c r="X410">
        <v>25</v>
      </c>
      <c r="Y410">
        <v>4</v>
      </c>
      <c r="Z410">
        <v>4</v>
      </c>
      <c r="AA410">
        <v>1</v>
      </c>
      <c r="AB410">
        <v>13</v>
      </c>
      <c r="AC410">
        <v>6</v>
      </c>
      <c r="AD410" t="s">
        <v>79</v>
      </c>
      <c r="AE410">
        <v>13</v>
      </c>
      <c r="AF410" t="str" cm="1">
        <f t="array" ref="AF410">_xlfn.IFS(AE410&gt;=10,"Veteran (10y+)",AE410&gt;=3,"Established (3-10y)",AE410&lt;3,"New Hire (&lt;3y)")</f>
        <v>Veteran (10y+)</v>
      </c>
      <c r="AG410">
        <v>8</v>
      </c>
      <c r="AH410">
        <v>0</v>
      </c>
      <c r="AI410">
        <v>8</v>
      </c>
    </row>
    <row r="411" spans="1:35">
      <c r="A411">
        <v>31</v>
      </c>
      <c r="B411" t="str">
        <f t="shared" si="6"/>
        <v>Middle Aged</v>
      </c>
      <c r="C411">
        <v>1</v>
      </c>
      <c r="D411" t="s">
        <v>44</v>
      </c>
      <c r="E411">
        <v>534</v>
      </c>
      <c r="F411" t="s">
        <v>45</v>
      </c>
      <c r="G411">
        <v>20</v>
      </c>
      <c r="H411" t="str" cm="1">
        <f t="array" ref="H411">_xlfn.IFS(G411&gt;15,"Long Commute",G411&gt;5,"Moderate",G411&lt;=5,"Near Office")</f>
        <v>Long Commute</v>
      </c>
      <c r="I411" t="s">
        <v>72</v>
      </c>
      <c r="J411" t="s">
        <v>38</v>
      </c>
      <c r="K411">
        <v>1</v>
      </c>
      <c r="L411" t="s">
        <v>46</v>
      </c>
      <c r="M411">
        <v>66</v>
      </c>
      <c r="N411">
        <v>3</v>
      </c>
      <c r="O411">
        <v>3</v>
      </c>
      <c r="P411" t="s">
        <v>54</v>
      </c>
      <c r="Q411" t="s">
        <v>73</v>
      </c>
      <c r="R411" t="s">
        <v>48</v>
      </c>
      <c r="S411">
        <v>9824</v>
      </c>
      <c r="T411" t="str" cm="1">
        <f t="array" ref="T411">_xlfn.IFS(S411&gt;=10000,"High (&gt;10k)",S411&gt;=5000,"Medium (5k-10k)",S411&lt;5000,"Low (&lt;5k)")</f>
        <v>Medium (5k-10k)</v>
      </c>
      <c r="U411">
        <v>22908</v>
      </c>
      <c r="V411">
        <v>3</v>
      </c>
      <c r="W411" t="s">
        <v>43</v>
      </c>
      <c r="X411">
        <v>12</v>
      </c>
      <c r="Y411">
        <v>3</v>
      </c>
      <c r="Z411">
        <v>1</v>
      </c>
      <c r="AA411">
        <v>0</v>
      </c>
      <c r="AB411">
        <v>12</v>
      </c>
      <c r="AC411">
        <v>2</v>
      </c>
      <c r="AD411" t="s">
        <v>74</v>
      </c>
      <c r="AE411">
        <v>1</v>
      </c>
      <c r="AF411" t="str" cm="1">
        <f t="array" ref="AF411">_xlfn.IFS(AE411&gt;=10,"Veteran (10y+)",AE411&gt;=3,"Established (3-10y)",AE411&lt;3,"New Hire (&lt;3y)")</f>
        <v>New Hire (&lt;3y)</v>
      </c>
      <c r="AG411">
        <v>0</v>
      </c>
      <c r="AH411">
        <v>0</v>
      </c>
      <c r="AI411">
        <v>0</v>
      </c>
    </row>
    <row r="412" spans="1:35">
      <c r="A412">
        <v>31</v>
      </c>
      <c r="B412" t="str">
        <f t="shared" si="6"/>
        <v>Middle Aged</v>
      </c>
      <c r="C412">
        <v>0</v>
      </c>
      <c r="D412" t="s">
        <v>36</v>
      </c>
      <c r="E412">
        <v>828</v>
      </c>
      <c r="F412" t="s">
        <v>37</v>
      </c>
      <c r="G412">
        <v>2</v>
      </c>
      <c r="H412" t="str" cm="1">
        <f t="array" ref="H412">_xlfn.IFS(G412&gt;15,"Long Commute",G412&gt;5,"Moderate",G412&lt;=5,"Near Office")</f>
        <v>Near Office</v>
      </c>
      <c r="I412" t="s">
        <v>78</v>
      </c>
      <c r="J412" t="s">
        <v>38</v>
      </c>
      <c r="K412">
        <v>2</v>
      </c>
      <c r="L412" t="s">
        <v>46</v>
      </c>
      <c r="M412">
        <v>77</v>
      </c>
      <c r="N412">
        <v>3</v>
      </c>
      <c r="O412">
        <v>2</v>
      </c>
      <c r="P412" t="s">
        <v>40</v>
      </c>
      <c r="Q412" t="s">
        <v>77</v>
      </c>
      <c r="R412" t="s">
        <v>41</v>
      </c>
      <c r="S412">
        <v>6582</v>
      </c>
      <c r="T412" t="str" cm="1">
        <f t="array" ref="T412">_xlfn.IFS(S412&gt;=10000,"High (&gt;10k)",S412&gt;=5000,"Medium (5k-10k)",S412&lt;5000,"Low (&lt;5k)")</f>
        <v>Medium (5k-10k)</v>
      </c>
      <c r="U412">
        <v>8346</v>
      </c>
      <c r="V412">
        <v>4</v>
      </c>
      <c r="W412" t="s">
        <v>35</v>
      </c>
      <c r="X412">
        <v>13</v>
      </c>
      <c r="Y412">
        <v>3</v>
      </c>
      <c r="Z412">
        <v>3</v>
      </c>
      <c r="AA412">
        <v>0</v>
      </c>
      <c r="AB412">
        <v>10</v>
      </c>
      <c r="AC412">
        <v>2</v>
      </c>
      <c r="AD412" t="s">
        <v>79</v>
      </c>
      <c r="AE412">
        <v>6</v>
      </c>
      <c r="AF412" t="str" cm="1">
        <f t="array" ref="AF412">_xlfn.IFS(AE412&gt;=10,"Veteran (10y+)",AE412&gt;=3,"Established (3-10y)",AE412&lt;3,"New Hire (&lt;3y)")</f>
        <v>Established (3-10y)</v>
      </c>
      <c r="AG412">
        <v>5</v>
      </c>
      <c r="AH412">
        <v>0</v>
      </c>
      <c r="AI412">
        <v>5</v>
      </c>
    </row>
    <row r="413" spans="1:35">
      <c r="A413">
        <v>31</v>
      </c>
      <c r="B413" t="str">
        <f t="shared" si="6"/>
        <v>Middle Aged</v>
      </c>
      <c r="C413">
        <v>0</v>
      </c>
      <c r="D413" t="s">
        <v>36</v>
      </c>
      <c r="E413">
        <v>688</v>
      </c>
      <c r="F413" t="s">
        <v>37</v>
      </c>
      <c r="G413">
        <v>7</v>
      </c>
      <c r="H413" t="str" cm="1">
        <f t="array" ref="H413">_xlfn.IFS(G413&gt;15,"Long Commute",G413&gt;5,"Moderate",G413&lt;=5,"Near Office")</f>
        <v>Moderate</v>
      </c>
      <c r="I413" t="s">
        <v>72</v>
      </c>
      <c r="J413" t="s">
        <v>38</v>
      </c>
      <c r="K413">
        <v>3</v>
      </c>
      <c r="L413" t="s">
        <v>46</v>
      </c>
      <c r="M413">
        <v>44</v>
      </c>
      <c r="N413">
        <v>2</v>
      </c>
      <c r="O413">
        <v>3</v>
      </c>
      <c r="P413" t="s">
        <v>56</v>
      </c>
      <c r="Q413" t="s">
        <v>77</v>
      </c>
      <c r="R413" t="s">
        <v>52</v>
      </c>
      <c r="S413">
        <v>11557</v>
      </c>
      <c r="T413" t="str" cm="1">
        <f t="array" ref="T413">_xlfn.IFS(S413&gt;=10000,"High (&gt;10k)",S413&gt;=5000,"Medium (5k-10k)",S413&lt;5000,"Low (&lt;5k)")</f>
        <v>High (&gt;10k)</v>
      </c>
      <c r="U413">
        <v>25291</v>
      </c>
      <c r="V413">
        <v>9</v>
      </c>
      <c r="W413" t="s">
        <v>43</v>
      </c>
      <c r="X413">
        <v>21</v>
      </c>
      <c r="Y413">
        <v>4</v>
      </c>
      <c r="Z413">
        <v>3</v>
      </c>
      <c r="AA413">
        <v>1</v>
      </c>
      <c r="AB413">
        <v>10</v>
      </c>
      <c r="AC413">
        <v>3</v>
      </c>
      <c r="AD413" t="s">
        <v>81</v>
      </c>
      <c r="AE413">
        <v>5</v>
      </c>
      <c r="AF413" t="str" cm="1">
        <f t="array" ref="AF413">_xlfn.IFS(AE413&gt;=10,"Veteran (10y+)",AE413&gt;=3,"Established (3-10y)",AE413&lt;3,"New Hire (&lt;3y)")</f>
        <v>Established (3-10y)</v>
      </c>
      <c r="AG413">
        <v>4</v>
      </c>
      <c r="AH413">
        <v>0</v>
      </c>
      <c r="AI413">
        <v>1</v>
      </c>
    </row>
    <row r="414" spans="1:35">
      <c r="A414">
        <v>31</v>
      </c>
      <c r="B414" t="str">
        <f t="shared" si="6"/>
        <v>Middle Aged</v>
      </c>
      <c r="C414">
        <v>1</v>
      </c>
      <c r="D414" t="s">
        <v>36</v>
      </c>
      <c r="E414">
        <v>1365</v>
      </c>
      <c r="F414" t="s">
        <v>37</v>
      </c>
      <c r="G414">
        <v>13</v>
      </c>
      <c r="H414" t="str" cm="1">
        <f t="array" ref="H414">_xlfn.IFS(G414&gt;15,"Long Commute",G414&gt;5,"Moderate",G414&lt;=5,"Near Office")</f>
        <v>Moderate</v>
      </c>
      <c r="I414" t="s">
        <v>83</v>
      </c>
      <c r="J414" t="s">
        <v>51</v>
      </c>
      <c r="K414">
        <v>2</v>
      </c>
      <c r="L414" t="s">
        <v>46</v>
      </c>
      <c r="M414">
        <v>46</v>
      </c>
      <c r="N414">
        <v>3</v>
      </c>
      <c r="O414">
        <v>2</v>
      </c>
      <c r="P414" t="s">
        <v>40</v>
      </c>
      <c r="Q414" t="s">
        <v>82</v>
      </c>
      <c r="R414" t="s">
        <v>52</v>
      </c>
      <c r="S414">
        <v>4233</v>
      </c>
      <c r="T414" t="str" cm="1">
        <f t="array" ref="T414">_xlfn.IFS(S414&gt;=10000,"High (&gt;10k)",S414&gt;=5000,"Medium (5k-10k)",S414&lt;5000,"Low (&lt;5k)")</f>
        <v>Low (&lt;5k)</v>
      </c>
      <c r="U414">
        <v>11512</v>
      </c>
      <c r="V414">
        <v>2</v>
      </c>
      <c r="W414" t="s">
        <v>43</v>
      </c>
      <c r="X414">
        <v>17</v>
      </c>
      <c r="Y414">
        <v>3</v>
      </c>
      <c r="Z414">
        <v>3</v>
      </c>
      <c r="AA414">
        <v>0</v>
      </c>
      <c r="AB414">
        <v>9</v>
      </c>
      <c r="AC414">
        <v>2</v>
      </c>
      <c r="AD414" t="s">
        <v>80</v>
      </c>
      <c r="AE414">
        <v>3</v>
      </c>
      <c r="AF414" t="str" cm="1">
        <f t="array" ref="AF414">_xlfn.IFS(AE414&gt;=10,"Veteran (10y+)",AE414&gt;=3,"Established (3-10y)",AE414&lt;3,"New Hire (&lt;3y)")</f>
        <v>Established (3-10y)</v>
      </c>
      <c r="AG414">
        <v>1</v>
      </c>
      <c r="AH414">
        <v>1</v>
      </c>
      <c r="AI414">
        <v>2</v>
      </c>
    </row>
    <row r="415" spans="1:35">
      <c r="A415">
        <v>31</v>
      </c>
      <c r="B415" t="str">
        <f t="shared" si="6"/>
        <v>Middle Aged</v>
      </c>
      <c r="C415">
        <v>0</v>
      </c>
      <c r="D415" t="s">
        <v>36</v>
      </c>
      <c r="E415">
        <v>525</v>
      </c>
      <c r="F415" t="s">
        <v>37</v>
      </c>
      <c r="G415">
        <v>6</v>
      </c>
      <c r="H415" t="str" cm="1">
        <f t="array" ref="H415">_xlfn.IFS(G415&gt;15,"Long Commute",G415&gt;5,"Moderate",G415&lt;=5,"Near Office")</f>
        <v>Moderate</v>
      </c>
      <c r="I415" t="s">
        <v>83</v>
      </c>
      <c r="J415" t="s">
        <v>51</v>
      </c>
      <c r="K415">
        <v>1</v>
      </c>
      <c r="L415" t="s">
        <v>46</v>
      </c>
      <c r="M415">
        <v>66</v>
      </c>
      <c r="N415">
        <v>4</v>
      </c>
      <c r="O415">
        <v>2</v>
      </c>
      <c r="P415" t="s">
        <v>40</v>
      </c>
      <c r="Q415" t="s">
        <v>77</v>
      </c>
      <c r="R415" t="s">
        <v>52</v>
      </c>
      <c r="S415">
        <v>5460</v>
      </c>
      <c r="T415" t="str" cm="1">
        <f t="array" ref="T415">_xlfn.IFS(S415&gt;=10000,"High (&gt;10k)",S415&gt;=5000,"Medium (5k-10k)",S415&lt;5000,"Low (&lt;5k)")</f>
        <v>Medium (5k-10k)</v>
      </c>
      <c r="U415">
        <v>6219</v>
      </c>
      <c r="V415">
        <v>4</v>
      </c>
      <c r="W415" t="s">
        <v>43</v>
      </c>
      <c r="X415">
        <v>22</v>
      </c>
      <c r="Y415">
        <v>4</v>
      </c>
      <c r="Z415">
        <v>4</v>
      </c>
      <c r="AA415">
        <v>2</v>
      </c>
      <c r="AB415">
        <v>13</v>
      </c>
      <c r="AC415">
        <v>4</v>
      </c>
      <c r="AD415" t="s">
        <v>79</v>
      </c>
      <c r="AE415">
        <v>7</v>
      </c>
      <c r="AF415" t="str" cm="1">
        <f t="array" ref="AF415">_xlfn.IFS(AE415&gt;=10,"Veteran (10y+)",AE415&gt;=3,"Established (3-10y)",AE415&lt;3,"New Hire (&lt;3y)")</f>
        <v>Established (3-10y)</v>
      </c>
      <c r="AG415">
        <v>7</v>
      </c>
      <c r="AH415">
        <v>5</v>
      </c>
      <c r="AI415">
        <v>7</v>
      </c>
    </row>
    <row r="416" spans="1:35">
      <c r="A416">
        <v>31</v>
      </c>
      <c r="B416" t="str">
        <f t="shared" si="6"/>
        <v>Middle Aged</v>
      </c>
      <c r="C416">
        <v>0</v>
      </c>
      <c r="D416" t="s">
        <v>36</v>
      </c>
      <c r="E416">
        <v>1222</v>
      </c>
      <c r="F416" t="s">
        <v>45</v>
      </c>
      <c r="G416">
        <v>11</v>
      </c>
      <c r="H416" t="str" cm="1">
        <f t="array" ref="H416">_xlfn.IFS(G416&gt;15,"Long Commute",G416&gt;5,"Moderate",G416&lt;=5,"Near Office")</f>
        <v>Moderate</v>
      </c>
      <c r="I416" t="s">
        <v>83</v>
      </c>
      <c r="J416" t="s">
        <v>38</v>
      </c>
      <c r="K416">
        <v>4</v>
      </c>
      <c r="L416" t="s">
        <v>46</v>
      </c>
      <c r="M416">
        <v>48</v>
      </c>
      <c r="N416">
        <v>3</v>
      </c>
      <c r="O416">
        <v>1</v>
      </c>
      <c r="P416" t="s">
        <v>47</v>
      </c>
      <c r="Q416" t="s">
        <v>77</v>
      </c>
      <c r="R416" t="s">
        <v>48</v>
      </c>
      <c r="S416">
        <v>2356</v>
      </c>
      <c r="T416" t="str" cm="1">
        <f t="array" ref="T416">_xlfn.IFS(S416&gt;=10000,"High (&gt;10k)",S416&gt;=5000,"Medium (5k-10k)",S416&lt;5000,"Low (&lt;5k)")</f>
        <v>Low (&lt;5k)</v>
      </c>
      <c r="U416">
        <v>14871</v>
      </c>
      <c r="V416">
        <v>3</v>
      </c>
      <c r="W416" t="s">
        <v>35</v>
      </c>
      <c r="X416">
        <v>19</v>
      </c>
      <c r="Y416">
        <v>3</v>
      </c>
      <c r="Z416">
        <v>2</v>
      </c>
      <c r="AA416">
        <v>1</v>
      </c>
      <c r="AB416">
        <v>8</v>
      </c>
      <c r="AC416">
        <v>2</v>
      </c>
      <c r="AD416" t="s">
        <v>74</v>
      </c>
      <c r="AE416">
        <v>6</v>
      </c>
      <c r="AF416" t="str" cm="1">
        <f t="array" ref="AF416">_xlfn.IFS(AE416&gt;=10,"Veteran (10y+)",AE416&gt;=3,"Established (3-10y)",AE416&lt;3,"New Hire (&lt;3y)")</f>
        <v>Established (3-10y)</v>
      </c>
      <c r="AG416">
        <v>4</v>
      </c>
      <c r="AH416">
        <v>0</v>
      </c>
      <c r="AI416">
        <v>2</v>
      </c>
    </row>
    <row r="417" spans="1:35">
      <c r="A417">
        <v>31</v>
      </c>
      <c r="B417" t="str">
        <f t="shared" si="6"/>
        <v>Middle Aged</v>
      </c>
      <c r="C417">
        <v>0</v>
      </c>
      <c r="D417" t="s">
        <v>36</v>
      </c>
      <c r="E417">
        <v>154</v>
      </c>
      <c r="F417" t="s">
        <v>37</v>
      </c>
      <c r="G417">
        <v>7</v>
      </c>
      <c r="H417" t="str" cm="1">
        <f t="array" ref="H417">_xlfn.IFS(G417&gt;15,"Long Commute",G417&gt;5,"Moderate",G417&lt;=5,"Near Office")</f>
        <v>Moderate</v>
      </c>
      <c r="I417" t="s">
        <v>83</v>
      </c>
      <c r="J417" t="s">
        <v>38</v>
      </c>
      <c r="K417">
        <v>2</v>
      </c>
      <c r="L417" t="s">
        <v>46</v>
      </c>
      <c r="M417">
        <v>41</v>
      </c>
      <c r="N417">
        <v>2</v>
      </c>
      <c r="O417">
        <v>1</v>
      </c>
      <c r="P417" t="s">
        <v>57</v>
      </c>
      <c r="Q417" t="s">
        <v>73</v>
      </c>
      <c r="R417" t="s">
        <v>48</v>
      </c>
      <c r="S417">
        <v>2329</v>
      </c>
      <c r="T417" t="str" cm="1">
        <f t="array" ref="T417">_xlfn.IFS(S417&gt;=10000,"High (&gt;10k)",S417&gt;=5000,"Medium (5k-10k)",S417&lt;5000,"Low (&lt;5k)")</f>
        <v>Low (&lt;5k)</v>
      </c>
      <c r="U417">
        <v>11737</v>
      </c>
      <c r="V417">
        <v>3</v>
      </c>
      <c r="W417" t="s">
        <v>43</v>
      </c>
      <c r="X417">
        <v>15</v>
      </c>
      <c r="Y417">
        <v>3</v>
      </c>
      <c r="Z417">
        <v>2</v>
      </c>
      <c r="AA417">
        <v>0</v>
      </c>
      <c r="AB417">
        <v>13</v>
      </c>
      <c r="AC417">
        <v>2</v>
      </c>
      <c r="AD417" t="s">
        <v>79</v>
      </c>
      <c r="AE417">
        <v>7</v>
      </c>
      <c r="AF417" t="str" cm="1">
        <f t="array" ref="AF417">_xlfn.IFS(AE417&gt;=10,"Veteran (10y+)",AE417&gt;=3,"Established (3-10y)",AE417&lt;3,"New Hire (&lt;3y)")</f>
        <v>Established (3-10y)</v>
      </c>
      <c r="AG417">
        <v>7</v>
      </c>
      <c r="AH417">
        <v>5</v>
      </c>
      <c r="AI417">
        <v>2</v>
      </c>
    </row>
    <row r="418" spans="1:35">
      <c r="A418">
        <v>31</v>
      </c>
      <c r="B418" t="str">
        <f t="shared" si="6"/>
        <v>Middle Aged</v>
      </c>
      <c r="C418">
        <v>0</v>
      </c>
      <c r="D418" t="s">
        <v>55</v>
      </c>
      <c r="E418">
        <v>1188</v>
      </c>
      <c r="F418" t="s">
        <v>37</v>
      </c>
      <c r="G418">
        <v>20</v>
      </c>
      <c r="H418" t="str" cm="1">
        <f t="array" ref="H418">_xlfn.IFS(G418&gt;15,"Long Commute",G418&gt;5,"Moderate",G418&lt;=5,"Near Office")</f>
        <v>Long Commute</v>
      </c>
      <c r="I418" t="s">
        <v>76</v>
      </c>
      <c r="J418" t="s">
        <v>59</v>
      </c>
      <c r="K418">
        <v>4</v>
      </c>
      <c r="L418" t="s">
        <v>39</v>
      </c>
      <c r="M418">
        <v>45</v>
      </c>
      <c r="N418">
        <v>3</v>
      </c>
      <c r="O418">
        <v>2</v>
      </c>
      <c r="P418" t="s">
        <v>40</v>
      </c>
      <c r="Q418" t="s">
        <v>73</v>
      </c>
      <c r="R418" t="s">
        <v>48</v>
      </c>
      <c r="S418">
        <v>6932</v>
      </c>
      <c r="T418" t="str" cm="1">
        <f t="array" ref="T418">_xlfn.IFS(S418&gt;=10000,"High (&gt;10k)",S418&gt;=5000,"Medium (5k-10k)",S418&lt;5000,"Low (&lt;5k)")</f>
        <v>Medium (5k-10k)</v>
      </c>
      <c r="U418">
        <v>24406</v>
      </c>
      <c r="V418">
        <v>1</v>
      </c>
      <c r="W418" t="s">
        <v>43</v>
      </c>
      <c r="X418">
        <v>13</v>
      </c>
      <c r="Y418">
        <v>3</v>
      </c>
      <c r="Z418">
        <v>4</v>
      </c>
      <c r="AA418">
        <v>1</v>
      </c>
      <c r="AB418">
        <v>9</v>
      </c>
      <c r="AC418">
        <v>2</v>
      </c>
      <c r="AD418" t="s">
        <v>81</v>
      </c>
      <c r="AE418">
        <v>9</v>
      </c>
      <c r="AF418" t="str" cm="1">
        <f t="array" ref="AF418">_xlfn.IFS(AE418&gt;=10,"Veteran (10y+)",AE418&gt;=3,"Established (3-10y)",AE418&lt;3,"New Hire (&lt;3y)")</f>
        <v>Established (3-10y)</v>
      </c>
      <c r="AG418">
        <v>8</v>
      </c>
      <c r="AH418">
        <v>0</v>
      </c>
      <c r="AI418">
        <v>0</v>
      </c>
    </row>
    <row r="419" spans="1:35">
      <c r="A419">
        <v>31</v>
      </c>
      <c r="B419" t="str">
        <f t="shared" si="6"/>
        <v>Middle Aged</v>
      </c>
      <c r="C419">
        <v>0</v>
      </c>
      <c r="D419" t="s">
        <v>36</v>
      </c>
      <c r="E419">
        <v>616</v>
      </c>
      <c r="F419" t="s">
        <v>45</v>
      </c>
      <c r="G419">
        <v>12</v>
      </c>
      <c r="H419" t="str" cm="1">
        <f t="array" ref="H419">_xlfn.IFS(G419&gt;15,"Long Commute",G419&gt;5,"Moderate",G419&lt;=5,"Near Office")</f>
        <v>Moderate</v>
      </c>
      <c r="I419" t="s">
        <v>72</v>
      </c>
      <c r="J419" t="s">
        <v>51</v>
      </c>
      <c r="K419">
        <v>4</v>
      </c>
      <c r="L419" t="s">
        <v>39</v>
      </c>
      <c r="M419">
        <v>41</v>
      </c>
      <c r="N419">
        <v>3</v>
      </c>
      <c r="O419">
        <v>2</v>
      </c>
      <c r="P419" t="s">
        <v>54</v>
      </c>
      <c r="Q419" t="s">
        <v>77</v>
      </c>
      <c r="R419" t="s">
        <v>48</v>
      </c>
      <c r="S419">
        <v>5855</v>
      </c>
      <c r="T419" t="str" cm="1">
        <f t="array" ref="T419">_xlfn.IFS(S419&gt;=10000,"High (&gt;10k)",S419&gt;=5000,"Medium (5k-10k)",S419&lt;5000,"Low (&lt;5k)")</f>
        <v>Medium (5k-10k)</v>
      </c>
      <c r="U419">
        <v>17369</v>
      </c>
      <c r="V419">
        <v>0</v>
      </c>
      <c r="W419" t="s">
        <v>35</v>
      </c>
      <c r="X419">
        <v>11</v>
      </c>
      <c r="Y419">
        <v>3</v>
      </c>
      <c r="Z419">
        <v>3</v>
      </c>
      <c r="AA419">
        <v>2</v>
      </c>
      <c r="AB419">
        <v>10</v>
      </c>
      <c r="AC419">
        <v>2</v>
      </c>
      <c r="AD419" t="s">
        <v>80</v>
      </c>
      <c r="AE419">
        <v>9</v>
      </c>
      <c r="AF419" t="str" cm="1">
        <f t="array" ref="AF419">_xlfn.IFS(AE419&gt;=10,"Veteran (10y+)",AE419&gt;=3,"Established (3-10y)",AE419&lt;3,"New Hire (&lt;3y)")</f>
        <v>Established (3-10y)</v>
      </c>
      <c r="AG419">
        <v>7</v>
      </c>
      <c r="AH419">
        <v>8</v>
      </c>
      <c r="AI419">
        <v>5</v>
      </c>
    </row>
    <row r="420" spans="1:35">
      <c r="A420">
        <v>31</v>
      </c>
      <c r="B420" t="str">
        <f t="shared" si="6"/>
        <v>Middle Aged</v>
      </c>
      <c r="C420">
        <v>1</v>
      </c>
      <c r="D420" t="s">
        <v>55</v>
      </c>
      <c r="E420">
        <v>335</v>
      </c>
      <c r="F420" t="s">
        <v>45</v>
      </c>
      <c r="G420">
        <v>9</v>
      </c>
      <c r="H420" t="str" cm="1">
        <f t="array" ref="H420">_xlfn.IFS(G420&gt;15,"Long Commute",G420&gt;5,"Moderate",G420&lt;=5,"Near Office")</f>
        <v>Moderate</v>
      </c>
      <c r="I420" t="s">
        <v>76</v>
      </c>
      <c r="J420" t="s">
        <v>51</v>
      </c>
      <c r="K420">
        <v>3</v>
      </c>
      <c r="L420" t="s">
        <v>46</v>
      </c>
      <c r="M420">
        <v>46</v>
      </c>
      <c r="N420">
        <v>2</v>
      </c>
      <c r="O420">
        <v>1</v>
      </c>
      <c r="P420" t="s">
        <v>47</v>
      </c>
      <c r="Q420" t="s">
        <v>82</v>
      </c>
      <c r="R420" t="s">
        <v>41</v>
      </c>
      <c r="S420">
        <v>2321</v>
      </c>
      <c r="T420" t="str" cm="1">
        <f t="array" ref="T420">_xlfn.IFS(S420&gt;=10000,"High (&gt;10k)",S420&gt;=5000,"Medium (5k-10k)",S420&lt;5000,"Low (&lt;5k)")</f>
        <v>Low (&lt;5k)</v>
      </c>
      <c r="U420">
        <v>10322</v>
      </c>
      <c r="V420">
        <v>0</v>
      </c>
      <c r="W420" t="s">
        <v>35</v>
      </c>
      <c r="X420">
        <v>22</v>
      </c>
      <c r="Y420">
        <v>4</v>
      </c>
      <c r="Z420">
        <v>1</v>
      </c>
      <c r="AA420">
        <v>0</v>
      </c>
      <c r="AB420">
        <v>4</v>
      </c>
      <c r="AC420">
        <v>0</v>
      </c>
      <c r="AD420" t="s">
        <v>74</v>
      </c>
      <c r="AE420">
        <v>3</v>
      </c>
      <c r="AF420" t="str" cm="1">
        <f t="array" ref="AF420">_xlfn.IFS(AE420&gt;=10,"Veteran (10y+)",AE420&gt;=3,"Established (3-10y)",AE420&lt;3,"New Hire (&lt;3y)")</f>
        <v>Established (3-10y)</v>
      </c>
      <c r="AG420">
        <v>2</v>
      </c>
      <c r="AH420">
        <v>1</v>
      </c>
      <c r="AI420">
        <v>2</v>
      </c>
    </row>
    <row r="421" spans="1:35">
      <c r="A421">
        <v>31</v>
      </c>
      <c r="B421" t="str">
        <f t="shared" si="6"/>
        <v>Middle Aged</v>
      </c>
      <c r="C421">
        <v>0</v>
      </c>
      <c r="D421" t="s">
        <v>44</v>
      </c>
      <c r="E421">
        <v>853</v>
      </c>
      <c r="F421" t="s">
        <v>45</v>
      </c>
      <c r="G421">
        <v>1</v>
      </c>
      <c r="H421" t="str" cm="1">
        <f t="array" ref="H421">_xlfn.IFS(G421&gt;15,"Long Commute",G421&gt;5,"Moderate",G421&lt;=5,"Near Office")</f>
        <v>Near Office</v>
      </c>
      <c r="I421" t="s">
        <v>78</v>
      </c>
      <c r="J421" t="s">
        <v>38</v>
      </c>
      <c r="K421">
        <v>3</v>
      </c>
      <c r="L421" t="s">
        <v>39</v>
      </c>
      <c r="M421">
        <v>96</v>
      </c>
      <c r="N421">
        <v>3</v>
      </c>
      <c r="O421">
        <v>2</v>
      </c>
      <c r="P421" t="s">
        <v>53</v>
      </c>
      <c r="Q421" t="s">
        <v>82</v>
      </c>
      <c r="R421" t="s">
        <v>48</v>
      </c>
      <c r="S421">
        <v>4148</v>
      </c>
      <c r="T421" t="str" cm="1">
        <f t="array" ref="T421">_xlfn.IFS(S421&gt;=10000,"High (&gt;10k)",S421&gt;=5000,"Medium (5k-10k)",S421&lt;5000,"Low (&lt;5k)")</f>
        <v>Low (&lt;5k)</v>
      </c>
      <c r="U421">
        <v>11275</v>
      </c>
      <c r="V421">
        <v>1</v>
      </c>
      <c r="W421" t="s">
        <v>43</v>
      </c>
      <c r="X421">
        <v>12</v>
      </c>
      <c r="Y421">
        <v>3</v>
      </c>
      <c r="Z421">
        <v>3</v>
      </c>
      <c r="AA421">
        <v>1</v>
      </c>
      <c r="AB421">
        <v>4</v>
      </c>
      <c r="AC421">
        <v>1</v>
      </c>
      <c r="AD421" t="s">
        <v>74</v>
      </c>
      <c r="AE421">
        <v>4</v>
      </c>
      <c r="AF421" t="str" cm="1">
        <f t="array" ref="AF421">_xlfn.IFS(AE421&gt;=10,"Veteran (10y+)",AE421&gt;=3,"Established (3-10y)",AE421&lt;3,"New Hire (&lt;3y)")</f>
        <v>Established (3-10y)</v>
      </c>
      <c r="AG421">
        <v>3</v>
      </c>
      <c r="AH421">
        <v>0</v>
      </c>
      <c r="AI421">
        <v>3</v>
      </c>
    </row>
    <row r="422" spans="1:35">
      <c r="A422">
        <v>31</v>
      </c>
      <c r="B422" t="str">
        <f t="shared" si="6"/>
        <v>Middle Aged</v>
      </c>
      <c r="C422">
        <v>0</v>
      </c>
      <c r="D422" t="s">
        <v>44</v>
      </c>
      <c r="E422">
        <v>793</v>
      </c>
      <c r="F422" t="s">
        <v>37</v>
      </c>
      <c r="G422">
        <v>20</v>
      </c>
      <c r="H422" t="str" cm="1">
        <f t="array" ref="H422">_xlfn.IFS(G422&gt;15,"Long Commute",G422&gt;5,"Moderate",G422&lt;=5,"Near Office")</f>
        <v>Long Commute</v>
      </c>
      <c r="I422" t="s">
        <v>72</v>
      </c>
      <c r="J422" t="s">
        <v>38</v>
      </c>
      <c r="K422">
        <v>3</v>
      </c>
      <c r="L422" t="s">
        <v>46</v>
      </c>
      <c r="M422">
        <v>67</v>
      </c>
      <c r="N422">
        <v>4</v>
      </c>
      <c r="O422">
        <v>1</v>
      </c>
      <c r="P422" t="s">
        <v>57</v>
      </c>
      <c r="Q422" t="s">
        <v>77</v>
      </c>
      <c r="R422" t="s">
        <v>48</v>
      </c>
      <c r="S422">
        <v>2791</v>
      </c>
      <c r="T422" t="str" cm="1">
        <f t="array" ref="T422">_xlfn.IFS(S422&gt;=10000,"High (&gt;10k)",S422&gt;=5000,"Medium (5k-10k)",S422&lt;5000,"Low (&lt;5k)")</f>
        <v>Low (&lt;5k)</v>
      </c>
      <c r="U422">
        <v>21981</v>
      </c>
      <c r="V422">
        <v>0</v>
      </c>
      <c r="W422" t="s">
        <v>43</v>
      </c>
      <c r="X422">
        <v>12</v>
      </c>
      <c r="Y422">
        <v>3</v>
      </c>
      <c r="Z422">
        <v>1</v>
      </c>
      <c r="AA422">
        <v>1</v>
      </c>
      <c r="AB422">
        <v>3</v>
      </c>
      <c r="AC422">
        <v>4</v>
      </c>
      <c r="AD422" t="s">
        <v>74</v>
      </c>
      <c r="AE422">
        <v>2</v>
      </c>
      <c r="AF422" t="str" cm="1">
        <f t="array" ref="AF422">_xlfn.IFS(AE422&gt;=10,"Veteran (10y+)",AE422&gt;=3,"Established (3-10y)",AE422&lt;3,"New Hire (&lt;3y)")</f>
        <v>New Hire (&lt;3y)</v>
      </c>
      <c r="AG422">
        <v>2</v>
      </c>
      <c r="AH422">
        <v>2</v>
      </c>
      <c r="AI422">
        <v>2</v>
      </c>
    </row>
    <row r="423" spans="1:35">
      <c r="A423">
        <v>31</v>
      </c>
      <c r="B423" t="str">
        <f t="shared" si="6"/>
        <v>Middle Aged</v>
      </c>
      <c r="C423">
        <v>1</v>
      </c>
      <c r="D423" t="s">
        <v>44</v>
      </c>
      <c r="E423">
        <v>874</v>
      </c>
      <c r="F423" t="s">
        <v>45</v>
      </c>
      <c r="G423">
        <v>15</v>
      </c>
      <c r="H423" t="str" cm="1">
        <f t="array" ref="H423">_xlfn.IFS(G423&gt;15,"Long Commute",G423&gt;5,"Moderate",G423&lt;=5,"Near Office")</f>
        <v>Moderate</v>
      </c>
      <c r="I423" t="s">
        <v>72</v>
      </c>
      <c r="J423" t="s">
        <v>51</v>
      </c>
      <c r="K423">
        <v>3</v>
      </c>
      <c r="L423" t="s">
        <v>46</v>
      </c>
      <c r="M423">
        <v>72</v>
      </c>
      <c r="N423">
        <v>3</v>
      </c>
      <c r="O423">
        <v>1</v>
      </c>
      <c r="P423" t="s">
        <v>50</v>
      </c>
      <c r="Q423" t="s">
        <v>73</v>
      </c>
      <c r="R423" t="s">
        <v>48</v>
      </c>
      <c r="S423">
        <v>2610</v>
      </c>
      <c r="T423" t="str" cm="1">
        <f t="array" ref="T423">_xlfn.IFS(S423&gt;=10000,"High (&gt;10k)",S423&gt;=5000,"Medium (5k-10k)",S423&lt;5000,"Low (&lt;5k)")</f>
        <v>Low (&lt;5k)</v>
      </c>
      <c r="U423">
        <v>6233</v>
      </c>
      <c r="V423">
        <v>1</v>
      </c>
      <c r="W423" t="s">
        <v>43</v>
      </c>
      <c r="X423">
        <v>12</v>
      </c>
      <c r="Y423">
        <v>3</v>
      </c>
      <c r="Z423">
        <v>3</v>
      </c>
      <c r="AA423">
        <v>1</v>
      </c>
      <c r="AB423">
        <v>2</v>
      </c>
      <c r="AC423">
        <v>5</v>
      </c>
      <c r="AD423" t="s">
        <v>81</v>
      </c>
      <c r="AE423">
        <v>2</v>
      </c>
      <c r="AF423" t="str" cm="1">
        <f t="array" ref="AF423">_xlfn.IFS(AE423&gt;=10,"Veteran (10y+)",AE423&gt;=3,"Established (3-10y)",AE423&lt;3,"New Hire (&lt;3y)")</f>
        <v>New Hire (&lt;3y)</v>
      </c>
      <c r="AG423">
        <v>2</v>
      </c>
      <c r="AH423">
        <v>2</v>
      </c>
      <c r="AI423">
        <v>2</v>
      </c>
    </row>
    <row r="424" spans="1:35">
      <c r="A424">
        <v>31</v>
      </c>
      <c r="B424" t="str">
        <f t="shared" si="6"/>
        <v>Middle Aged</v>
      </c>
      <c r="C424">
        <v>0</v>
      </c>
      <c r="D424" t="s">
        <v>36</v>
      </c>
      <c r="E424">
        <v>1332</v>
      </c>
      <c r="F424" t="s">
        <v>45</v>
      </c>
      <c r="G424">
        <v>11</v>
      </c>
      <c r="H424" t="str" cm="1">
        <f t="array" ref="H424">_xlfn.IFS(G424&gt;15,"Long Commute",G424&gt;5,"Moderate",G424&lt;=5,"Near Office")</f>
        <v>Moderate</v>
      </c>
      <c r="I424" t="s">
        <v>76</v>
      </c>
      <c r="J424" t="s">
        <v>51</v>
      </c>
      <c r="K424">
        <v>3</v>
      </c>
      <c r="L424" t="s">
        <v>46</v>
      </c>
      <c r="M424">
        <v>80</v>
      </c>
      <c r="N424">
        <v>3</v>
      </c>
      <c r="O424">
        <v>2</v>
      </c>
      <c r="P424" t="s">
        <v>54</v>
      </c>
      <c r="Q424" t="s">
        <v>82</v>
      </c>
      <c r="R424" t="s">
        <v>48</v>
      </c>
      <c r="S424">
        <v>6833</v>
      </c>
      <c r="T424" t="str" cm="1">
        <f t="array" ref="T424">_xlfn.IFS(S424&gt;=10000,"High (&gt;10k)",S424&gt;=5000,"Medium (5k-10k)",S424&lt;5000,"Low (&lt;5k)")</f>
        <v>Medium (5k-10k)</v>
      </c>
      <c r="U424">
        <v>17089</v>
      </c>
      <c r="V424">
        <v>1</v>
      </c>
      <c r="W424" t="s">
        <v>35</v>
      </c>
      <c r="X424">
        <v>12</v>
      </c>
      <c r="Y424">
        <v>3</v>
      </c>
      <c r="Z424">
        <v>4</v>
      </c>
      <c r="AA424">
        <v>0</v>
      </c>
      <c r="AB424">
        <v>6</v>
      </c>
      <c r="AC424">
        <v>2</v>
      </c>
      <c r="AD424" t="s">
        <v>81</v>
      </c>
      <c r="AE424">
        <v>6</v>
      </c>
      <c r="AF424" t="str" cm="1">
        <f t="array" ref="AF424">_xlfn.IFS(AE424&gt;=10,"Veteran (10y+)",AE424&gt;=3,"Established (3-10y)",AE424&lt;3,"New Hire (&lt;3y)")</f>
        <v>Established (3-10y)</v>
      </c>
      <c r="AG424">
        <v>5</v>
      </c>
      <c r="AH424">
        <v>0</v>
      </c>
      <c r="AI424">
        <v>1</v>
      </c>
    </row>
    <row r="425" spans="1:35">
      <c r="A425">
        <v>31</v>
      </c>
      <c r="B425" t="str">
        <f t="shared" si="6"/>
        <v>Middle Aged</v>
      </c>
      <c r="C425">
        <v>0</v>
      </c>
      <c r="D425" t="s">
        <v>36</v>
      </c>
      <c r="E425">
        <v>1062</v>
      </c>
      <c r="F425" t="s">
        <v>45</v>
      </c>
      <c r="G425">
        <v>24</v>
      </c>
      <c r="H425" t="str" cm="1">
        <f t="array" ref="H425">_xlfn.IFS(G425&gt;15,"Long Commute",G425&gt;5,"Moderate",G425&lt;=5,"Near Office")</f>
        <v>Long Commute</v>
      </c>
      <c r="I425" t="s">
        <v>72</v>
      </c>
      <c r="J425" t="s">
        <v>51</v>
      </c>
      <c r="K425">
        <v>3</v>
      </c>
      <c r="L425" t="s">
        <v>39</v>
      </c>
      <c r="M425">
        <v>96</v>
      </c>
      <c r="N425">
        <v>2</v>
      </c>
      <c r="O425">
        <v>2</v>
      </c>
      <c r="P425" t="s">
        <v>54</v>
      </c>
      <c r="Q425" t="s">
        <v>82</v>
      </c>
      <c r="R425" t="s">
        <v>41</v>
      </c>
      <c r="S425">
        <v>6812</v>
      </c>
      <c r="T425" t="str" cm="1">
        <f t="array" ref="T425">_xlfn.IFS(S425&gt;=10000,"High (&gt;10k)",S425&gt;=5000,"Medium (5k-10k)",S425&lt;5000,"Low (&lt;5k)")</f>
        <v>Medium (5k-10k)</v>
      </c>
      <c r="U425">
        <v>17198</v>
      </c>
      <c r="V425">
        <v>1</v>
      </c>
      <c r="W425" t="s">
        <v>43</v>
      </c>
      <c r="X425">
        <v>19</v>
      </c>
      <c r="Y425">
        <v>3</v>
      </c>
      <c r="Z425">
        <v>2</v>
      </c>
      <c r="AA425">
        <v>0</v>
      </c>
      <c r="AB425">
        <v>10</v>
      </c>
      <c r="AC425">
        <v>2</v>
      </c>
      <c r="AD425" t="s">
        <v>74</v>
      </c>
      <c r="AE425">
        <v>10</v>
      </c>
      <c r="AF425" t="str" cm="1">
        <f t="array" ref="AF425">_xlfn.IFS(AE425&gt;=10,"Veteran (10y+)",AE425&gt;=3,"Established (3-10y)",AE425&lt;3,"New Hire (&lt;3y)")</f>
        <v>Veteran (10y+)</v>
      </c>
      <c r="AG425">
        <v>9</v>
      </c>
      <c r="AH425">
        <v>1</v>
      </c>
      <c r="AI425">
        <v>8</v>
      </c>
    </row>
    <row r="426" spans="1:35">
      <c r="A426">
        <v>31</v>
      </c>
      <c r="B426" t="str">
        <f t="shared" si="6"/>
        <v>Middle Aged</v>
      </c>
      <c r="C426">
        <v>0</v>
      </c>
      <c r="D426" t="s">
        <v>55</v>
      </c>
      <c r="E426">
        <v>587</v>
      </c>
      <c r="F426" t="s">
        <v>37</v>
      </c>
      <c r="G426">
        <v>2</v>
      </c>
      <c r="H426" t="str" cm="1">
        <f t="array" ref="H426">_xlfn.IFS(G426&gt;15,"Long Commute",G426&gt;5,"Moderate",G426&lt;=5,"Near Office")</f>
        <v>Near Office</v>
      </c>
      <c r="I426" t="s">
        <v>83</v>
      </c>
      <c r="J426" t="s">
        <v>38</v>
      </c>
      <c r="K426">
        <v>4</v>
      </c>
      <c r="L426" t="s">
        <v>39</v>
      </c>
      <c r="M426">
        <v>57</v>
      </c>
      <c r="N426">
        <v>3</v>
      </c>
      <c r="O426">
        <v>3</v>
      </c>
      <c r="P426" t="s">
        <v>40</v>
      </c>
      <c r="Q426" t="s">
        <v>73</v>
      </c>
      <c r="R426" t="s">
        <v>52</v>
      </c>
      <c r="S426">
        <v>9852</v>
      </c>
      <c r="T426" t="str" cm="1">
        <f t="array" ref="T426">_xlfn.IFS(S426&gt;=10000,"High (&gt;10k)",S426&gt;=5000,"Medium (5k-10k)",S426&lt;5000,"Low (&lt;5k)")</f>
        <v>Medium (5k-10k)</v>
      </c>
      <c r="U426">
        <v>8935</v>
      </c>
      <c r="V426">
        <v>1</v>
      </c>
      <c r="W426" t="s">
        <v>35</v>
      </c>
      <c r="X426">
        <v>19</v>
      </c>
      <c r="Y426">
        <v>3</v>
      </c>
      <c r="Z426">
        <v>1</v>
      </c>
      <c r="AA426">
        <v>1</v>
      </c>
      <c r="AB426">
        <v>10</v>
      </c>
      <c r="AC426">
        <v>5</v>
      </c>
      <c r="AD426" t="s">
        <v>81</v>
      </c>
      <c r="AE426">
        <v>10</v>
      </c>
      <c r="AF426" t="str" cm="1">
        <f t="array" ref="AF426">_xlfn.IFS(AE426&gt;=10,"Veteran (10y+)",AE426&gt;=3,"Established (3-10y)",AE426&lt;3,"New Hire (&lt;3y)")</f>
        <v>Veteran (10y+)</v>
      </c>
      <c r="AG426">
        <v>8</v>
      </c>
      <c r="AH426">
        <v>9</v>
      </c>
      <c r="AI426">
        <v>6</v>
      </c>
    </row>
    <row r="427" spans="1:35">
      <c r="A427">
        <v>31</v>
      </c>
      <c r="B427" t="str">
        <f t="shared" si="6"/>
        <v>Middle Aged</v>
      </c>
      <c r="C427">
        <v>1</v>
      </c>
      <c r="D427" t="s">
        <v>44</v>
      </c>
      <c r="E427">
        <v>1060</v>
      </c>
      <c r="F427" t="s">
        <v>37</v>
      </c>
      <c r="G427">
        <v>1</v>
      </c>
      <c r="H427" t="str" cm="1">
        <f t="array" ref="H427">_xlfn.IFS(G427&gt;15,"Long Commute",G427&gt;5,"Moderate",G427&lt;=5,"Near Office")</f>
        <v>Near Office</v>
      </c>
      <c r="I427" t="s">
        <v>72</v>
      </c>
      <c r="J427" t="s">
        <v>38</v>
      </c>
      <c r="K427">
        <v>4</v>
      </c>
      <c r="L427" t="s">
        <v>39</v>
      </c>
      <c r="M427">
        <v>54</v>
      </c>
      <c r="N427">
        <v>3</v>
      </c>
      <c r="O427">
        <v>1</v>
      </c>
      <c r="P427" t="s">
        <v>57</v>
      </c>
      <c r="Q427" t="s">
        <v>75</v>
      </c>
      <c r="R427" t="s">
        <v>41</v>
      </c>
      <c r="S427">
        <v>2302</v>
      </c>
      <c r="T427" t="str" cm="1">
        <f t="array" ref="T427">_xlfn.IFS(S427&gt;=10000,"High (&gt;10k)",S427&gt;=5000,"Medium (5k-10k)",S427&lt;5000,"Low (&lt;5k)")</f>
        <v>Low (&lt;5k)</v>
      </c>
      <c r="U427">
        <v>8319</v>
      </c>
      <c r="V427">
        <v>1</v>
      </c>
      <c r="W427" t="s">
        <v>35</v>
      </c>
      <c r="X427">
        <v>11</v>
      </c>
      <c r="Y427">
        <v>3</v>
      </c>
      <c r="Z427">
        <v>1</v>
      </c>
      <c r="AA427">
        <v>0</v>
      </c>
      <c r="AB427">
        <v>3</v>
      </c>
      <c r="AC427">
        <v>2</v>
      </c>
      <c r="AD427" t="s">
        <v>79</v>
      </c>
      <c r="AE427">
        <v>3</v>
      </c>
      <c r="AF427" t="str" cm="1">
        <f t="array" ref="AF427">_xlfn.IFS(AE427&gt;=10,"Veteran (10y+)",AE427&gt;=3,"Established (3-10y)",AE427&lt;3,"New Hire (&lt;3y)")</f>
        <v>Established (3-10y)</v>
      </c>
      <c r="AG427">
        <v>2</v>
      </c>
      <c r="AH427">
        <v>2</v>
      </c>
      <c r="AI427">
        <v>2</v>
      </c>
    </row>
    <row r="428" spans="1:35">
      <c r="A428">
        <v>31</v>
      </c>
      <c r="B428" t="str">
        <f t="shared" si="6"/>
        <v>Middle Aged</v>
      </c>
      <c r="C428">
        <v>1</v>
      </c>
      <c r="D428" t="s">
        <v>44</v>
      </c>
      <c r="E428">
        <v>703</v>
      </c>
      <c r="F428" t="s">
        <v>37</v>
      </c>
      <c r="G428">
        <v>2</v>
      </c>
      <c r="H428" t="str" cm="1">
        <f t="array" ref="H428">_xlfn.IFS(G428&gt;15,"Long Commute",G428&gt;5,"Moderate",G428&lt;=5,"Near Office")</f>
        <v>Near Office</v>
      </c>
      <c r="I428" t="s">
        <v>72</v>
      </c>
      <c r="J428" t="s">
        <v>38</v>
      </c>
      <c r="K428">
        <v>3</v>
      </c>
      <c r="L428" t="s">
        <v>39</v>
      </c>
      <c r="M428">
        <v>90</v>
      </c>
      <c r="N428">
        <v>2</v>
      </c>
      <c r="O428">
        <v>1</v>
      </c>
      <c r="P428" t="s">
        <v>57</v>
      </c>
      <c r="Q428" t="s">
        <v>77</v>
      </c>
      <c r="R428" t="s">
        <v>41</v>
      </c>
      <c r="S428">
        <v>2785</v>
      </c>
      <c r="T428" t="str" cm="1">
        <f t="array" ref="T428">_xlfn.IFS(S428&gt;=10000,"High (&gt;10k)",S428&gt;=5000,"Medium (5k-10k)",S428&lt;5000,"Low (&lt;5k)")</f>
        <v>Low (&lt;5k)</v>
      </c>
      <c r="U428">
        <v>11882</v>
      </c>
      <c r="V428">
        <v>7</v>
      </c>
      <c r="W428" t="s">
        <v>43</v>
      </c>
      <c r="X428">
        <v>14</v>
      </c>
      <c r="Y428">
        <v>3</v>
      </c>
      <c r="Z428">
        <v>3</v>
      </c>
      <c r="AA428">
        <v>0</v>
      </c>
      <c r="AB428">
        <v>3</v>
      </c>
      <c r="AC428">
        <v>3</v>
      </c>
      <c r="AD428" t="s">
        <v>79</v>
      </c>
      <c r="AE428">
        <v>1</v>
      </c>
      <c r="AF428" t="str" cm="1">
        <f t="array" ref="AF428">_xlfn.IFS(AE428&gt;=10,"Veteran (10y+)",AE428&gt;=3,"Established (3-10y)",AE428&lt;3,"New Hire (&lt;3y)")</f>
        <v>New Hire (&lt;3y)</v>
      </c>
      <c r="AG428">
        <v>0</v>
      </c>
      <c r="AH428">
        <v>0</v>
      </c>
      <c r="AI428">
        <v>0</v>
      </c>
    </row>
    <row r="429" spans="1:35">
      <c r="A429">
        <v>31</v>
      </c>
      <c r="B429" t="str">
        <f t="shared" si="6"/>
        <v>Middle Aged</v>
      </c>
      <c r="C429">
        <v>1</v>
      </c>
      <c r="D429" t="s">
        <v>36</v>
      </c>
      <c r="E429">
        <v>330</v>
      </c>
      <c r="F429" t="s">
        <v>45</v>
      </c>
      <c r="G429">
        <v>22</v>
      </c>
      <c r="H429" t="str" cm="1">
        <f t="array" ref="H429">_xlfn.IFS(G429&gt;15,"Long Commute",G429&gt;5,"Moderate",G429&lt;=5,"Near Office")</f>
        <v>Long Commute</v>
      </c>
      <c r="I429" t="s">
        <v>83</v>
      </c>
      <c r="J429" t="s">
        <v>51</v>
      </c>
      <c r="K429">
        <v>4</v>
      </c>
      <c r="L429" t="s">
        <v>46</v>
      </c>
      <c r="M429">
        <v>98</v>
      </c>
      <c r="N429">
        <v>3</v>
      </c>
      <c r="O429">
        <v>2</v>
      </c>
      <c r="P429" t="s">
        <v>53</v>
      </c>
      <c r="Q429" t="s">
        <v>73</v>
      </c>
      <c r="R429" t="s">
        <v>48</v>
      </c>
      <c r="S429">
        <v>6179</v>
      </c>
      <c r="T429" t="str" cm="1">
        <f t="array" ref="T429">_xlfn.IFS(S429&gt;=10000,"High (&gt;10k)",S429&gt;=5000,"Medium (5k-10k)",S429&lt;5000,"Low (&lt;5k)")</f>
        <v>Medium (5k-10k)</v>
      </c>
      <c r="U429">
        <v>21057</v>
      </c>
      <c r="V429">
        <v>1</v>
      </c>
      <c r="W429" t="s">
        <v>35</v>
      </c>
      <c r="X429">
        <v>15</v>
      </c>
      <c r="Y429">
        <v>3</v>
      </c>
      <c r="Z429">
        <v>4</v>
      </c>
      <c r="AA429">
        <v>2</v>
      </c>
      <c r="AB429">
        <v>10</v>
      </c>
      <c r="AC429">
        <v>3</v>
      </c>
      <c r="AD429" t="s">
        <v>81</v>
      </c>
      <c r="AE429">
        <v>10</v>
      </c>
      <c r="AF429" t="str" cm="1">
        <f t="array" ref="AF429">_xlfn.IFS(AE429&gt;=10,"Veteran (10y+)",AE429&gt;=3,"Established (3-10y)",AE429&lt;3,"New Hire (&lt;3y)")</f>
        <v>Veteran (10y+)</v>
      </c>
      <c r="AG429">
        <v>2</v>
      </c>
      <c r="AH429">
        <v>6</v>
      </c>
      <c r="AI429">
        <v>7</v>
      </c>
    </row>
    <row r="430" spans="1:35">
      <c r="A430">
        <v>31</v>
      </c>
      <c r="B430" t="str">
        <f t="shared" si="6"/>
        <v>Middle Aged</v>
      </c>
      <c r="C430">
        <v>1</v>
      </c>
      <c r="D430" t="s">
        <v>44</v>
      </c>
      <c r="E430">
        <v>667</v>
      </c>
      <c r="F430" t="s">
        <v>37</v>
      </c>
      <c r="G430">
        <v>1</v>
      </c>
      <c r="H430" t="str" cm="1">
        <f t="array" ref="H430">_xlfn.IFS(G430&gt;15,"Long Commute",G430&gt;5,"Moderate",G430&lt;=5,"Near Office")</f>
        <v>Near Office</v>
      </c>
      <c r="I430" t="s">
        <v>83</v>
      </c>
      <c r="J430" t="s">
        <v>38</v>
      </c>
      <c r="K430">
        <v>2</v>
      </c>
      <c r="L430" t="s">
        <v>39</v>
      </c>
      <c r="M430">
        <v>50</v>
      </c>
      <c r="N430">
        <v>1</v>
      </c>
      <c r="O430">
        <v>1</v>
      </c>
      <c r="P430" t="s">
        <v>57</v>
      </c>
      <c r="Q430" t="s">
        <v>73</v>
      </c>
      <c r="R430" t="s">
        <v>41</v>
      </c>
      <c r="S430">
        <v>1359</v>
      </c>
      <c r="T430" t="str" cm="1">
        <f t="array" ref="T430">_xlfn.IFS(S430&gt;=10000,"High (&gt;10k)",S430&gt;=5000,"Medium (5k-10k)",S430&lt;5000,"Low (&lt;5k)")</f>
        <v>Low (&lt;5k)</v>
      </c>
      <c r="U430">
        <v>16154</v>
      </c>
      <c r="V430">
        <v>1</v>
      </c>
      <c r="W430" t="s">
        <v>43</v>
      </c>
      <c r="X430">
        <v>12</v>
      </c>
      <c r="Y430">
        <v>3</v>
      </c>
      <c r="Z430">
        <v>2</v>
      </c>
      <c r="AA430">
        <v>0</v>
      </c>
      <c r="AB430">
        <v>1</v>
      </c>
      <c r="AC430">
        <v>3</v>
      </c>
      <c r="AD430" t="s">
        <v>74</v>
      </c>
      <c r="AE430">
        <v>1</v>
      </c>
      <c r="AF430" t="str" cm="1">
        <f t="array" ref="AF430">_xlfn.IFS(AE430&gt;=10,"Veteran (10y+)",AE430&gt;=3,"Established (3-10y)",AE430&lt;3,"New Hire (&lt;3y)")</f>
        <v>New Hire (&lt;3y)</v>
      </c>
      <c r="AG430">
        <v>0</v>
      </c>
      <c r="AH430">
        <v>0</v>
      </c>
      <c r="AI430">
        <v>0</v>
      </c>
    </row>
    <row r="431" spans="1:35">
      <c r="A431">
        <v>31</v>
      </c>
      <c r="B431" t="str">
        <f t="shared" si="6"/>
        <v>Middle Aged</v>
      </c>
      <c r="C431">
        <v>0</v>
      </c>
      <c r="D431" t="s">
        <v>36</v>
      </c>
      <c r="E431">
        <v>182</v>
      </c>
      <c r="F431" t="s">
        <v>45</v>
      </c>
      <c r="G431">
        <v>8</v>
      </c>
      <c r="H431" t="str" cm="1">
        <f t="array" ref="H431">_xlfn.IFS(G431&gt;15,"Long Commute",G431&gt;5,"Moderate",G431&lt;=5,"Near Office")</f>
        <v>Moderate</v>
      </c>
      <c r="I431" t="s">
        <v>84</v>
      </c>
      <c r="J431" t="s">
        <v>38</v>
      </c>
      <c r="K431">
        <v>1</v>
      </c>
      <c r="L431" t="s">
        <v>39</v>
      </c>
      <c r="M431">
        <v>93</v>
      </c>
      <c r="N431">
        <v>3</v>
      </c>
      <c r="O431">
        <v>4</v>
      </c>
      <c r="P431" t="s">
        <v>58</v>
      </c>
      <c r="Q431" t="s">
        <v>75</v>
      </c>
      <c r="R431" t="s">
        <v>41</v>
      </c>
      <c r="S431">
        <v>16422</v>
      </c>
      <c r="T431" t="str" cm="1">
        <f t="array" ref="T431">_xlfn.IFS(S431&gt;=10000,"High (&gt;10k)",S431&gt;=5000,"Medium (5k-10k)",S431&lt;5000,"Low (&lt;5k)")</f>
        <v>High (&gt;10k)</v>
      </c>
      <c r="U431">
        <v>8847</v>
      </c>
      <c r="V431">
        <v>3</v>
      </c>
      <c r="W431" t="s">
        <v>43</v>
      </c>
      <c r="X431">
        <v>11</v>
      </c>
      <c r="Y431">
        <v>3</v>
      </c>
      <c r="Z431">
        <v>3</v>
      </c>
      <c r="AA431">
        <v>0</v>
      </c>
      <c r="AB431">
        <v>9</v>
      </c>
      <c r="AC431">
        <v>3</v>
      </c>
      <c r="AD431" t="s">
        <v>79</v>
      </c>
      <c r="AE431">
        <v>3</v>
      </c>
      <c r="AF431" t="str" cm="1">
        <f t="array" ref="AF431">_xlfn.IFS(AE431&gt;=10,"Veteran (10y+)",AE431&gt;=3,"Established (3-10y)",AE431&lt;3,"New Hire (&lt;3y)")</f>
        <v>Established (3-10y)</v>
      </c>
      <c r="AG431">
        <v>2</v>
      </c>
      <c r="AH431">
        <v>1</v>
      </c>
      <c r="AI431">
        <v>0</v>
      </c>
    </row>
    <row r="432" spans="1:35">
      <c r="A432">
        <v>31</v>
      </c>
      <c r="B432" t="str">
        <f t="shared" si="6"/>
        <v>Middle Aged</v>
      </c>
      <c r="C432">
        <v>1</v>
      </c>
      <c r="D432" t="s">
        <v>36</v>
      </c>
      <c r="E432">
        <v>202</v>
      </c>
      <c r="F432" t="s">
        <v>45</v>
      </c>
      <c r="G432">
        <v>8</v>
      </c>
      <c r="H432" t="str" cm="1">
        <f t="array" ref="H432">_xlfn.IFS(G432&gt;15,"Long Commute",G432&gt;5,"Moderate",G432&lt;=5,"Near Office")</f>
        <v>Moderate</v>
      </c>
      <c r="I432" t="s">
        <v>72</v>
      </c>
      <c r="J432" t="s">
        <v>38</v>
      </c>
      <c r="K432">
        <v>1</v>
      </c>
      <c r="L432" t="s">
        <v>39</v>
      </c>
      <c r="M432">
        <v>34</v>
      </c>
      <c r="N432">
        <v>2</v>
      </c>
      <c r="O432">
        <v>1</v>
      </c>
      <c r="P432" t="s">
        <v>47</v>
      </c>
      <c r="Q432" t="s">
        <v>75</v>
      </c>
      <c r="R432" t="s">
        <v>41</v>
      </c>
      <c r="S432">
        <v>1261</v>
      </c>
      <c r="T432" t="str" cm="1">
        <f t="array" ref="T432">_xlfn.IFS(S432&gt;=10000,"High (&gt;10k)",S432&gt;=5000,"Medium (5k-10k)",S432&lt;5000,"Low (&lt;5k)")</f>
        <v>Low (&lt;5k)</v>
      </c>
      <c r="U432">
        <v>22262</v>
      </c>
      <c r="V432">
        <v>1</v>
      </c>
      <c r="W432" t="s">
        <v>43</v>
      </c>
      <c r="X432">
        <v>12</v>
      </c>
      <c r="Y432">
        <v>3</v>
      </c>
      <c r="Z432">
        <v>3</v>
      </c>
      <c r="AA432">
        <v>0</v>
      </c>
      <c r="AB432">
        <v>1</v>
      </c>
      <c r="AC432">
        <v>3</v>
      </c>
      <c r="AD432" t="s">
        <v>79</v>
      </c>
      <c r="AE432">
        <v>1</v>
      </c>
      <c r="AF432" t="str" cm="1">
        <f t="array" ref="AF432">_xlfn.IFS(AE432&gt;=10,"Veteran (10y+)",AE432&gt;=3,"Established (3-10y)",AE432&lt;3,"New Hire (&lt;3y)")</f>
        <v>New Hire (&lt;3y)</v>
      </c>
      <c r="AG432">
        <v>0</v>
      </c>
      <c r="AH432">
        <v>0</v>
      </c>
      <c r="AI432">
        <v>0</v>
      </c>
    </row>
    <row r="433" spans="1:35">
      <c r="A433">
        <v>31</v>
      </c>
      <c r="B433" t="str">
        <f t="shared" si="6"/>
        <v>Middle Aged</v>
      </c>
      <c r="C433">
        <v>0</v>
      </c>
      <c r="D433" t="s">
        <v>36</v>
      </c>
      <c r="E433">
        <v>326</v>
      </c>
      <c r="F433" t="s">
        <v>37</v>
      </c>
      <c r="G433">
        <v>8</v>
      </c>
      <c r="H433" t="str" cm="1">
        <f t="array" ref="H433">_xlfn.IFS(G433&gt;15,"Long Commute",G433&gt;5,"Moderate",G433&lt;=5,"Near Office")</f>
        <v>Moderate</v>
      </c>
      <c r="I433" t="s">
        <v>76</v>
      </c>
      <c r="J433" t="s">
        <v>38</v>
      </c>
      <c r="K433">
        <v>1</v>
      </c>
      <c r="L433" t="s">
        <v>46</v>
      </c>
      <c r="M433">
        <v>31</v>
      </c>
      <c r="N433">
        <v>3</v>
      </c>
      <c r="O433">
        <v>3</v>
      </c>
      <c r="P433" t="s">
        <v>40</v>
      </c>
      <c r="Q433" t="s">
        <v>77</v>
      </c>
      <c r="R433" t="s">
        <v>52</v>
      </c>
      <c r="S433">
        <v>10793</v>
      </c>
      <c r="T433" t="str" cm="1">
        <f t="array" ref="T433">_xlfn.IFS(S433&gt;=10000,"High (&gt;10k)",S433&gt;=5000,"Medium (5k-10k)",S433&lt;5000,"Low (&lt;5k)")</f>
        <v>High (&gt;10k)</v>
      </c>
      <c r="U433">
        <v>8386</v>
      </c>
      <c r="V433">
        <v>1</v>
      </c>
      <c r="W433" t="s">
        <v>43</v>
      </c>
      <c r="X433">
        <v>18</v>
      </c>
      <c r="Y433">
        <v>3</v>
      </c>
      <c r="Z433">
        <v>1</v>
      </c>
      <c r="AA433">
        <v>1</v>
      </c>
      <c r="AB433">
        <v>13</v>
      </c>
      <c r="AC433">
        <v>5</v>
      </c>
      <c r="AD433" t="s">
        <v>74</v>
      </c>
      <c r="AE433">
        <v>13</v>
      </c>
      <c r="AF433" t="str" cm="1">
        <f t="array" ref="AF433">_xlfn.IFS(AE433&gt;=10,"Veteran (10y+)",AE433&gt;=3,"Established (3-10y)",AE433&lt;3,"New Hire (&lt;3y)")</f>
        <v>Veteran (10y+)</v>
      </c>
      <c r="AG433">
        <v>7</v>
      </c>
      <c r="AH433">
        <v>9</v>
      </c>
      <c r="AI433">
        <v>9</v>
      </c>
    </row>
    <row r="434" spans="1:35">
      <c r="A434">
        <v>31</v>
      </c>
      <c r="B434" t="str">
        <f t="shared" si="6"/>
        <v>Middle Aged</v>
      </c>
      <c r="C434">
        <v>1</v>
      </c>
      <c r="D434" t="s">
        <v>44</v>
      </c>
      <c r="E434">
        <v>1445</v>
      </c>
      <c r="F434" t="s">
        <v>45</v>
      </c>
      <c r="G434">
        <v>1</v>
      </c>
      <c r="H434" t="str" cm="1">
        <f t="array" ref="H434">_xlfn.IFS(G434&gt;15,"Long Commute",G434&gt;5,"Moderate",G434&lt;=5,"Near Office")</f>
        <v>Near Office</v>
      </c>
      <c r="I434" t="s">
        <v>84</v>
      </c>
      <c r="J434" t="s">
        <v>38</v>
      </c>
      <c r="K434">
        <v>3</v>
      </c>
      <c r="L434" t="s">
        <v>39</v>
      </c>
      <c r="M434">
        <v>100</v>
      </c>
      <c r="N434">
        <v>4</v>
      </c>
      <c r="O434">
        <v>3</v>
      </c>
      <c r="P434" t="s">
        <v>53</v>
      </c>
      <c r="Q434" t="s">
        <v>75</v>
      </c>
      <c r="R434" t="s">
        <v>41</v>
      </c>
      <c r="S434">
        <v>7446</v>
      </c>
      <c r="T434" t="str" cm="1">
        <f t="array" ref="T434">_xlfn.IFS(S434&gt;=10000,"High (&gt;10k)",S434&gt;=5000,"Medium (5k-10k)",S434&lt;5000,"Low (&lt;5k)")</f>
        <v>Medium (5k-10k)</v>
      </c>
      <c r="U434">
        <v>8931</v>
      </c>
      <c r="V434">
        <v>1</v>
      </c>
      <c r="W434" t="s">
        <v>43</v>
      </c>
      <c r="X434">
        <v>11</v>
      </c>
      <c r="Y434">
        <v>3</v>
      </c>
      <c r="Z434">
        <v>1</v>
      </c>
      <c r="AA434">
        <v>0</v>
      </c>
      <c r="AB434">
        <v>10</v>
      </c>
      <c r="AC434">
        <v>2</v>
      </c>
      <c r="AD434" t="s">
        <v>74</v>
      </c>
      <c r="AE434">
        <v>10</v>
      </c>
      <c r="AF434" t="str" cm="1">
        <f t="array" ref="AF434">_xlfn.IFS(AE434&gt;=10,"Veteran (10y+)",AE434&gt;=3,"Established (3-10y)",AE434&lt;3,"New Hire (&lt;3y)")</f>
        <v>Veteran (10y+)</v>
      </c>
      <c r="AG434">
        <v>8</v>
      </c>
      <c r="AH434">
        <v>4</v>
      </c>
      <c r="AI434">
        <v>7</v>
      </c>
    </row>
    <row r="435" spans="1:35">
      <c r="A435">
        <v>31</v>
      </c>
      <c r="B435" t="str">
        <f t="shared" si="6"/>
        <v>Middle Aged</v>
      </c>
      <c r="C435">
        <v>0</v>
      </c>
      <c r="D435" t="s">
        <v>36</v>
      </c>
      <c r="E435">
        <v>1398</v>
      </c>
      <c r="F435" t="s">
        <v>61</v>
      </c>
      <c r="G435">
        <v>8</v>
      </c>
      <c r="H435" t="str" cm="1">
        <f t="array" ref="H435">_xlfn.IFS(G435&gt;15,"Long Commute",G435&gt;5,"Moderate",G435&lt;=5,"Near Office")</f>
        <v>Moderate</v>
      </c>
      <c r="I435" t="s">
        <v>76</v>
      </c>
      <c r="J435" t="s">
        <v>51</v>
      </c>
      <c r="K435">
        <v>4</v>
      </c>
      <c r="L435" t="s">
        <v>39</v>
      </c>
      <c r="M435">
        <v>96</v>
      </c>
      <c r="N435">
        <v>4</v>
      </c>
      <c r="O435">
        <v>1</v>
      </c>
      <c r="P435" t="s">
        <v>61</v>
      </c>
      <c r="Q435" t="s">
        <v>75</v>
      </c>
      <c r="R435" t="s">
        <v>41</v>
      </c>
      <c r="S435">
        <v>2109</v>
      </c>
      <c r="T435" t="str" cm="1">
        <f t="array" ref="T435">_xlfn.IFS(S435&gt;=10000,"High (&gt;10k)",S435&gt;=5000,"Medium (5k-10k)",S435&lt;5000,"Low (&lt;5k)")</f>
        <v>Low (&lt;5k)</v>
      </c>
      <c r="U435">
        <v>24609</v>
      </c>
      <c r="V435">
        <v>9</v>
      </c>
      <c r="W435" t="s">
        <v>43</v>
      </c>
      <c r="X435">
        <v>18</v>
      </c>
      <c r="Y435">
        <v>3</v>
      </c>
      <c r="Z435">
        <v>4</v>
      </c>
      <c r="AA435">
        <v>0</v>
      </c>
      <c r="AB435">
        <v>8</v>
      </c>
      <c r="AC435">
        <v>3</v>
      </c>
      <c r="AD435" t="s">
        <v>74</v>
      </c>
      <c r="AE435">
        <v>3</v>
      </c>
      <c r="AF435" t="str" cm="1">
        <f t="array" ref="AF435">_xlfn.IFS(AE435&gt;=10,"Veteran (10y+)",AE435&gt;=3,"Established (3-10y)",AE435&lt;3,"New Hire (&lt;3y)")</f>
        <v>Established (3-10y)</v>
      </c>
      <c r="AG435">
        <v>2</v>
      </c>
      <c r="AH435">
        <v>0</v>
      </c>
      <c r="AI435">
        <v>2</v>
      </c>
    </row>
    <row r="436" spans="1:35">
      <c r="A436">
        <v>31</v>
      </c>
      <c r="B436" t="str">
        <f t="shared" si="6"/>
        <v>Middle Aged</v>
      </c>
      <c r="C436">
        <v>1</v>
      </c>
      <c r="D436" t="s">
        <v>44</v>
      </c>
      <c r="E436">
        <v>523</v>
      </c>
      <c r="F436" t="s">
        <v>45</v>
      </c>
      <c r="G436">
        <v>2</v>
      </c>
      <c r="H436" t="str" cm="1">
        <f t="array" ref="H436">_xlfn.IFS(G436&gt;15,"Long Commute",G436&gt;5,"Moderate",G436&lt;=5,"Near Office")</f>
        <v>Near Office</v>
      </c>
      <c r="I436" t="s">
        <v>72</v>
      </c>
      <c r="J436" t="s">
        <v>38</v>
      </c>
      <c r="K436">
        <v>2</v>
      </c>
      <c r="L436" t="s">
        <v>46</v>
      </c>
      <c r="M436">
        <v>94</v>
      </c>
      <c r="N436">
        <v>3</v>
      </c>
      <c r="O436">
        <v>1</v>
      </c>
      <c r="P436" t="s">
        <v>50</v>
      </c>
      <c r="Q436" t="s">
        <v>77</v>
      </c>
      <c r="R436" t="s">
        <v>48</v>
      </c>
      <c r="S436">
        <v>3722</v>
      </c>
      <c r="T436" t="str" cm="1">
        <f t="array" ref="T436">_xlfn.IFS(S436&gt;=10000,"High (&gt;10k)",S436&gt;=5000,"Medium (5k-10k)",S436&lt;5000,"Low (&lt;5k)")</f>
        <v>Low (&lt;5k)</v>
      </c>
      <c r="U436">
        <v>21081</v>
      </c>
      <c r="V436">
        <v>6</v>
      </c>
      <c r="W436" t="s">
        <v>35</v>
      </c>
      <c r="X436">
        <v>13</v>
      </c>
      <c r="Y436">
        <v>3</v>
      </c>
      <c r="Z436">
        <v>3</v>
      </c>
      <c r="AA436">
        <v>1</v>
      </c>
      <c r="AB436">
        <v>7</v>
      </c>
      <c r="AC436">
        <v>2</v>
      </c>
      <c r="AD436" t="s">
        <v>80</v>
      </c>
      <c r="AE436">
        <v>2</v>
      </c>
      <c r="AF436" t="str" cm="1">
        <f t="array" ref="AF436">_xlfn.IFS(AE436&gt;=10,"Veteran (10y+)",AE436&gt;=3,"Established (3-10y)",AE436&lt;3,"New Hire (&lt;3y)")</f>
        <v>New Hire (&lt;3y)</v>
      </c>
      <c r="AG436">
        <v>2</v>
      </c>
      <c r="AH436">
        <v>2</v>
      </c>
      <c r="AI436">
        <v>2</v>
      </c>
    </row>
    <row r="437" spans="1:35">
      <c r="A437">
        <v>31</v>
      </c>
      <c r="B437" t="str">
        <f t="shared" si="6"/>
        <v>Middle Aged</v>
      </c>
      <c r="C437">
        <v>1</v>
      </c>
      <c r="D437" t="s">
        <v>44</v>
      </c>
      <c r="E437">
        <v>561</v>
      </c>
      <c r="F437" t="s">
        <v>45</v>
      </c>
      <c r="G437">
        <v>3</v>
      </c>
      <c r="H437" t="str" cm="1">
        <f t="array" ref="H437">_xlfn.IFS(G437&gt;15,"Long Commute",G437&gt;5,"Moderate",G437&lt;=5,"Near Office")</f>
        <v>Near Office</v>
      </c>
      <c r="I437" t="s">
        <v>72</v>
      </c>
      <c r="J437" t="s">
        <v>38</v>
      </c>
      <c r="K437">
        <v>4</v>
      </c>
      <c r="L437" t="s">
        <v>39</v>
      </c>
      <c r="M437">
        <v>33</v>
      </c>
      <c r="N437">
        <v>3</v>
      </c>
      <c r="O437">
        <v>1</v>
      </c>
      <c r="P437" t="s">
        <v>47</v>
      </c>
      <c r="Q437" t="s">
        <v>73</v>
      </c>
      <c r="R437" t="s">
        <v>41</v>
      </c>
      <c r="S437">
        <v>4084</v>
      </c>
      <c r="T437" t="str" cm="1">
        <f t="array" ref="T437">_xlfn.IFS(S437&gt;=10000,"High (&gt;10k)",S437&gt;=5000,"Medium (5k-10k)",S437&lt;5000,"Low (&lt;5k)")</f>
        <v>Low (&lt;5k)</v>
      </c>
      <c r="U437">
        <v>4156</v>
      </c>
      <c r="V437">
        <v>1</v>
      </c>
      <c r="W437" t="s">
        <v>43</v>
      </c>
      <c r="X437">
        <v>12</v>
      </c>
      <c r="Y437">
        <v>3</v>
      </c>
      <c r="Z437">
        <v>1</v>
      </c>
      <c r="AA437">
        <v>0</v>
      </c>
      <c r="AB437">
        <v>7</v>
      </c>
      <c r="AC437">
        <v>2</v>
      </c>
      <c r="AD437" t="s">
        <v>80</v>
      </c>
      <c r="AE437">
        <v>7</v>
      </c>
      <c r="AF437" t="str" cm="1">
        <f t="array" ref="AF437">_xlfn.IFS(AE437&gt;=10,"Veteran (10y+)",AE437&gt;=3,"Established (3-10y)",AE437&lt;3,"New Hire (&lt;3y)")</f>
        <v>Established (3-10y)</v>
      </c>
      <c r="AG437">
        <v>2</v>
      </c>
      <c r="AH437">
        <v>7</v>
      </c>
      <c r="AI437">
        <v>7</v>
      </c>
    </row>
    <row r="438" spans="1:35">
      <c r="A438">
        <v>31</v>
      </c>
      <c r="B438" t="str">
        <f t="shared" si="6"/>
        <v>Middle Aged</v>
      </c>
      <c r="C438">
        <v>0</v>
      </c>
      <c r="D438" t="s">
        <v>44</v>
      </c>
      <c r="E438">
        <v>715</v>
      </c>
      <c r="F438" t="s">
        <v>37</v>
      </c>
      <c r="G438">
        <v>2</v>
      </c>
      <c r="H438" t="str" cm="1">
        <f t="array" ref="H438">_xlfn.IFS(G438&gt;15,"Long Commute",G438&gt;5,"Moderate",G438&lt;=5,"Near Office")</f>
        <v>Near Office</v>
      </c>
      <c r="I438" t="s">
        <v>83</v>
      </c>
      <c r="J438" t="s">
        <v>49</v>
      </c>
      <c r="K438">
        <v>4</v>
      </c>
      <c r="L438" t="s">
        <v>46</v>
      </c>
      <c r="M438">
        <v>54</v>
      </c>
      <c r="N438">
        <v>3</v>
      </c>
      <c r="O438">
        <v>2</v>
      </c>
      <c r="P438" t="s">
        <v>40</v>
      </c>
      <c r="Q438" t="s">
        <v>82</v>
      </c>
      <c r="R438" t="s">
        <v>41</v>
      </c>
      <c r="S438">
        <v>5332</v>
      </c>
      <c r="T438" t="str" cm="1">
        <f t="array" ref="T438">_xlfn.IFS(S438&gt;=10000,"High (&gt;10k)",S438&gt;=5000,"Medium (5k-10k)",S438&lt;5000,"Low (&lt;5k)")</f>
        <v>Medium (5k-10k)</v>
      </c>
      <c r="U438">
        <v>21602</v>
      </c>
      <c r="V438">
        <v>7</v>
      </c>
      <c r="W438" t="s">
        <v>43</v>
      </c>
      <c r="X438">
        <v>13</v>
      </c>
      <c r="Y438">
        <v>3</v>
      </c>
      <c r="Z438">
        <v>4</v>
      </c>
      <c r="AA438">
        <v>0</v>
      </c>
      <c r="AB438">
        <v>10</v>
      </c>
      <c r="AC438">
        <v>3</v>
      </c>
      <c r="AD438" t="s">
        <v>74</v>
      </c>
      <c r="AE438">
        <v>5</v>
      </c>
      <c r="AF438" t="str" cm="1">
        <f t="array" ref="AF438">_xlfn.IFS(AE438&gt;=10,"Veteran (10y+)",AE438&gt;=3,"Established (3-10y)",AE438&lt;3,"New Hire (&lt;3y)")</f>
        <v>Established (3-10y)</v>
      </c>
      <c r="AG438">
        <v>2</v>
      </c>
      <c r="AH438">
        <v>0</v>
      </c>
      <c r="AI438">
        <v>3</v>
      </c>
    </row>
    <row r="439" spans="1:35">
      <c r="A439">
        <v>31</v>
      </c>
      <c r="B439" t="str">
        <f t="shared" si="6"/>
        <v>Middle Aged</v>
      </c>
      <c r="C439">
        <v>0</v>
      </c>
      <c r="D439" t="s">
        <v>36</v>
      </c>
      <c r="E439">
        <v>1112</v>
      </c>
      <c r="F439" t="s">
        <v>37</v>
      </c>
      <c r="G439">
        <v>5</v>
      </c>
      <c r="H439" t="str" cm="1">
        <f t="array" ref="H439">_xlfn.IFS(G439&gt;15,"Long Commute",G439&gt;5,"Moderate",G439&lt;=5,"Near Office")</f>
        <v>Near Office</v>
      </c>
      <c r="I439" t="s">
        <v>83</v>
      </c>
      <c r="J439" t="s">
        <v>38</v>
      </c>
      <c r="K439">
        <v>1</v>
      </c>
      <c r="L439" t="s">
        <v>39</v>
      </c>
      <c r="M439">
        <v>67</v>
      </c>
      <c r="N439">
        <v>3</v>
      </c>
      <c r="O439">
        <v>2</v>
      </c>
      <c r="P439" t="s">
        <v>40</v>
      </c>
      <c r="Q439" t="s">
        <v>77</v>
      </c>
      <c r="R439" t="s">
        <v>48</v>
      </c>
      <c r="S439">
        <v>5476</v>
      </c>
      <c r="T439" t="str" cm="1">
        <f t="array" ref="T439">_xlfn.IFS(S439&gt;=10000,"High (&gt;10k)",S439&gt;=5000,"Medium (5k-10k)",S439&lt;5000,"Low (&lt;5k)")</f>
        <v>Medium (5k-10k)</v>
      </c>
      <c r="U439">
        <v>22589</v>
      </c>
      <c r="V439">
        <v>1</v>
      </c>
      <c r="W439" t="s">
        <v>43</v>
      </c>
      <c r="X439">
        <v>11</v>
      </c>
      <c r="Y439">
        <v>3</v>
      </c>
      <c r="Z439">
        <v>1</v>
      </c>
      <c r="AA439">
        <v>2</v>
      </c>
      <c r="AB439">
        <v>10</v>
      </c>
      <c r="AC439">
        <v>2</v>
      </c>
      <c r="AD439" t="s">
        <v>74</v>
      </c>
      <c r="AE439">
        <v>10</v>
      </c>
      <c r="AF439" t="str" cm="1">
        <f t="array" ref="AF439">_xlfn.IFS(AE439&gt;=10,"Veteran (10y+)",AE439&gt;=3,"Established (3-10y)",AE439&lt;3,"New Hire (&lt;3y)")</f>
        <v>Veteran (10y+)</v>
      </c>
      <c r="AG439">
        <v>0</v>
      </c>
      <c r="AH439">
        <v>0</v>
      </c>
      <c r="AI439">
        <v>2</v>
      </c>
    </row>
    <row r="440" spans="1:35">
      <c r="A440">
        <v>31</v>
      </c>
      <c r="B440" t="str">
        <f t="shared" si="6"/>
        <v>Middle Aged</v>
      </c>
      <c r="C440">
        <v>0</v>
      </c>
      <c r="D440" t="s">
        <v>36</v>
      </c>
      <c r="E440">
        <v>741</v>
      </c>
      <c r="F440" t="s">
        <v>45</v>
      </c>
      <c r="G440">
        <v>2</v>
      </c>
      <c r="H440" t="str" cm="1">
        <f t="array" ref="H440">_xlfn.IFS(G440&gt;15,"Long Commute",G440&gt;5,"Moderate",G440&lt;=5,"Near Office")</f>
        <v>Near Office</v>
      </c>
      <c r="I440" t="s">
        <v>83</v>
      </c>
      <c r="J440" t="s">
        <v>38</v>
      </c>
      <c r="K440">
        <v>2</v>
      </c>
      <c r="L440" t="s">
        <v>46</v>
      </c>
      <c r="M440">
        <v>69</v>
      </c>
      <c r="N440">
        <v>3</v>
      </c>
      <c r="O440">
        <v>1</v>
      </c>
      <c r="P440" t="s">
        <v>50</v>
      </c>
      <c r="Q440" t="s">
        <v>73</v>
      </c>
      <c r="R440" t="s">
        <v>48</v>
      </c>
      <c r="S440">
        <v>3477</v>
      </c>
      <c r="T440" t="str" cm="1">
        <f t="array" ref="T440">_xlfn.IFS(S440&gt;=10000,"High (&gt;10k)",S440&gt;=5000,"Medium (5k-10k)",S440&lt;5000,"Low (&lt;5k)")</f>
        <v>Low (&lt;5k)</v>
      </c>
      <c r="U440">
        <v>18103</v>
      </c>
      <c r="V440">
        <v>1</v>
      </c>
      <c r="W440" t="s">
        <v>43</v>
      </c>
      <c r="X440">
        <v>14</v>
      </c>
      <c r="Y440">
        <v>3</v>
      </c>
      <c r="Z440">
        <v>4</v>
      </c>
      <c r="AA440">
        <v>1</v>
      </c>
      <c r="AB440">
        <v>6</v>
      </c>
      <c r="AC440">
        <v>2</v>
      </c>
      <c r="AD440" t="s">
        <v>79</v>
      </c>
      <c r="AE440">
        <v>5</v>
      </c>
      <c r="AF440" t="str" cm="1">
        <f t="array" ref="AF440">_xlfn.IFS(AE440&gt;=10,"Veteran (10y+)",AE440&gt;=3,"Established (3-10y)",AE440&lt;3,"New Hire (&lt;3y)")</f>
        <v>Established (3-10y)</v>
      </c>
      <c r="AG440">
        <v>2</v>
      </c>
      <c r="AH440">
        <v>0</v>
      </c>
      <c r="AI440">
        <v>3</v>
      </c>
    </row>
    <row r="441" spans="1:35">
      <c r="A441">
        <v>31</v>
      </c>
      <c r="B441" t="str">
        <f t="shared" si="6"/>
        <v>Middle Aged</v>
      </c>
      <c r="C441">
        <v>0</v>
      </c>
      <c r="D441" t="s">
        <v>44</v>
      </c>
      <c r="E441">
        <v>163</v>
      </c>
      <c r="F441" t="s">
        <v>45</v>
      </c>
      <c r="G441">
        <v>24</v>
      </c>
      <c r="H441" t="str" cm="1">
        <f t="array" ref="H441">_xlfn.IFS(G441&gt;15,"Long Commute",G441&gt;5,"Moderate",G441&lt;=5,"Near Office")</f>
        <v>Long Commute</v>
      </c>
      <c r="I441" t="s">
        <v>78</v>
      </c>
      <c r="J441" t="s">
        <v>60</v>
      </c>
      <c r="K441">
        <v>4</v>
      </c>
      <c r="L441" t="s">
        <v>39</v>
      </c>
      <c r="M441">
        <v>30</v>
      </c>
      <c r="N441">
        <v>3</v>
      </c>
      <c r="O441">
        <v>2</v>
      </c>
      <c r="P441" t="s">
        <v>53</v>
      </c>
      <c r="Q441" t="s">
        <v>77</v>
      </c>
      <c r="R441" t="s">
        <v>41</v>
      </c>
      <c r="S441">
        <v>5238</v>
      </c>
      <c r="T441" t="str" cm="1">
        <f t="array" ref="T441">_xlfn.IFS(S441&gt;=10000,"High (&gt;10k)",S441&gt;=5000,"Medium (5k-10k)",S441&lt;5000,"Low (&lt;5k)")</f>
        <v>Medium (5k-10k)</v>
      </c>
      <c r="U441">
        <v>6670</v>
      </c>
      <c r="V441">
        <v>2</v>
      </c>
      <c r="W441" t="s">
        <v>43</v>
      </c>
      <c r="X441">
        <v>20</v>
      </c>
      <c r="Y441">
        <v>4</v>
      </c>
      <c r="Z441">
        <v>4</v>
      </c>
      <c r="AA441">
        <v>0</v>
      </c>
      <c r="AB441">
        <v>9</v>
      </c>
      <c r="AC441">
        <v>3</v>
      </c>
      <c r="AD441" t="s">
        <v>81</v>
      </c>
      <c r="AE441">
        <v>5</v>
      </c>
      <c r="AF441" t="str" cm="1">
        <f t="array" ref="AF441">_xlfn.IFS(AE441&gt;=10,"Veteran (10y+)",AE441&gt;=3,"Established (3-10y)",AE441&lt;3,"New Hire (&lt;3y)")</f>
        <v>Established (3-10y)</v>
      </c>
      <c r="AG441">
        <v>4</v>
      </c>
      <c r="AH441">
        <v>1</v>
      </c>
      <c r="AI441">
        <v>4</v>
      </c>
    </row>
    <row r="442" spans="1:35">
      <c r="A442">
        <v>31</v>
      </c>
      <c r="B442" t="str">
        <f t="shared" si="6"/>
        <v>Middle Aged</v>
      </c>
      <c r="C442">
        <v>0</v>
      </c>
      <c r="D442" t="s">
        <v>36</v>
      </c>
      <c r="E442">
        <v>1003</v>
      </c>
      <c r="F442" t="s">
        <v>37</v>
      </c>
      <c r="G442">
        <v>5</v>
      </c>
      <c r="H442" t="str" cm="1">
        <f t="array" ref="H442">_xlfn.IFS(G442&gt;15,"Long Commute",G442&gt;5,"Moderate",G442&lt;=5,"Near Office")</f>
        <v>Near Office</v>
      </c>
      <c r="I442" t="s">
        <v>72</v>
      </c>
      <c r="J442" t="s">
        <v>60</v>
      </c>
      <c r="K442">
        <v>1</v>
      </c>
      <c r="L442" t="s">
        <v>46</v>
      </c>
      <c r="M442">
        <v>51</v>
      </c>
      <c r="N442">
        <v>3</v>
      </c>
      <c r="O442">
        <v>2</v>
      </c>
      <c r="P442" t="s">
        <v>40</v>
      </c>
      <c r="Q442" t="s">
        <v>73</v>
      </c>
      <c r="R442" t="s">
        <v>48</v>
      </c>
      <c r="S442">
        <v>8346</v>
      </c>
      <c r="T442" t="str" cm="1">
        <f t="array" ref="T442">_xlfn.IFS(S442&gt;=10000,"High (&gt;10k)",S442&gt;=5000,"Medium (5k-10k)",S442&lt;5000,"Low (&lt;5k)")</f>
        <v>Medium (5k-10k)</v>
      </c>
      <c r="U442">
        <v>20943</v>
      </c>
      <c r="V442">
        <v>1</v>
      </c>
      <c r="W442" t="s">
        <v>43</v>
      </c>
      <c r="X442">
        <v>19</v>
      </c>
      <c r="Y442">
        <v>3</v>
      </c>
      <c r="Z442">
        <v>3</v>
      </c>
      <c r="AA442">
        <v>1</v>
      </c>
      <c r="AB442">
        <v>6</v>
      </c>
      <c r="AC442">
        <v>3</v>
      </c>
      <c r="AD442" t="s">
        <v>74</v>
      </c>
      <c r="AE442">
        <v>5</v>
      </c>
      <c r="AF442" t="str" cm="1">
        <f t="array" ref="AF442">_xlfn.IFS(AE442&gt;=10,"Veteran (10y+)",AE442&gt;=3,"Established (3-10y)",AE442&lt;3,"New Hire (&lt;3y)")</f>
        <v>Established (3-10y)</v>
      </c>
      <c r="AG442">
        <v>2</v>
      </c>
      <c r="AH442">
        <v>0</v>
      </c>
      <c r="AI442">
        <v>2</v>
      </c>
    </row>
    <row r="443" spans="1:35">
      <c r="A443">
        <v>31</v>
      </c>
      <c r="B443" t="str">
        <f t="shared" si="6"/>
        <v>Middle Aged</v>
      </c>
      <c r="C443">
        <v>1</v>
      </c>
      <c r="D443" t="s">
        <v>36</v>
      </c>
      <c r="E443">
        <v>1079</v>
      </c>
      <c r="F443" t="s">
        <v>37</v>
      </c>
      <c r="G443">
        <v>16</v>
      </c>
      <c r="H443" t="str" cm="1">
        <f t="array" ref="H443">_xlfn.IFS(G443&gt;15,"Long Commute",G443&gt;5,"Moderate",G443&lt;=5,"Near Office")</f>
        <v>Long Commute</v>
      </c>
      <c r="I443" t="s">
        <v>83</v>
      </c>
      <c r="J443" t="s">
        <v>59</v>
      </c>
      <c r="K443">
        <v>1</v>
      </c>
      <c r="L443" t="s">
        <v>46</v>
      </c>
      <c r="M443">
        <v>70</v>
      </c>
      <c r="N443">
        <v>3</v>
      </c>
      <c r="O443">
        <v>3</v>
      </c>
      <c r="P443" t="s">
        <v>40</v>
      </c>
      <c r="Q443" t="s">
        <v>73</v>
      </c>
      <c r="R443" t="s">
        <v>48</v>
      </c>
      <c r="S443">
        <v>8161</v>
      </c>
      <c r="T443" t="str" cm="1">
        <f t="array" ref="T443">_xlfn.IFS(S443&gt;=10000,"High (&gt;10k)",S443&gt;=5000,"Medium (5k-10k)",S443&lt;5000,"Low (&lt;5k)")</f>
        <v>Medium (5k-10k)</v>
      </c>
      <c r="U443">
        <v>19002</v>
      </c>
      <c r="V443">
        <v>2</v>
      </c>
      <c r="W443" t="s">
        <v>43</v>
      </c>
      <c r="X443">
        <v>13</v>
      </c>
      <c r="Y443">
        <v>3</v>
      </c>
      <c r="Z443">
        <v>1</v>
      </c>
      <c r="AA443">
        <v>3</v>
      </c>
      <c r="AB443">
        <v>10</v>
      </c>
      <c r="AC443">
        <v>2</v>
      </c>
      <c r="AD443" t="s">
        <v>74</v>
      </c>
      <c r="AE443">
        <v>1</v>
      </c>
      <c r="AF443" t="str" cm="1">
        <f t="array" ref="AF443">_xlfn.IFS(AE443&gt;=10,"Veteran (10y+)",AE443&gt;=3,"Established (3-10y)",AE443&lt;3,"New Hire (&lt;3y)")</f>
        <v>New Hire (&lt;3y)</v>
      </c>
      <c r="AG443">
        <v>0</v>
      </c>
      <c r="AH443">
        <v>0</v>
      </c>
      <c r="AI443">
        <v>0</v>
      </c>
    </row>
    <row r="444" spans="1:35">
      <c r="A444">
        <v>31</v>
      </c>
      <c r="B444" t="str">
        <f t="shared" si="6"/>
        <v>Middle Aged</v>
      </c>
      <c r="C444">
        <v>0</v>
      </c>
      <c r="D444" t="s">
        <v>36</v>
      </c>
      <c r="E444">
        <v>196</v>
      </c>
      <c r="F444" t="s">
        <v>37</v>
      </c>
      <c r="G444">
        <v>29</v>
      </c>
      <c r="H444" t="str" cm="1">
        <f t="array" ref="H444">_xlfn.IFS(G444&gt;15,"Long Commute",G444&gt;5,"Moderate",G444&lt;=5,"Near Office")</f>
        <v>Long Commute</v>
      </c>
      <c r="I444" t="s">
        <v>83</v>
      </c>
      <c r="J444" t="s">
        <v>59</v>
      </c>
      <c r="K444">
        <v>1</v>
      </c>
      <c r="L444" t="s">
        <v>39</v>
      </c>
      <c r="M444">
        <v>91</v>
      </c>
      <c r="N444">
        <v>2</v>
      </c>
      <c r="O444">
        <v>2</v>
      </c>
      <c r="P444" t="s">
        <v>40</v>
      </c>
      <c r="Q444" t="s">
        <v>77</v>
      </c>
      <c r="R444" t="s">
        <v>48</v>
      </c>
      <c r="S444">
        <v>5468</v>
      </c>
      <c r="T444" t="str" cm="1">
        <f t="array" ref="T444">_xlfn.IFS(S444&gt;=10000,"High (&gt;10k)",S444&gt;=5000,"Medium (5k-10k)",S444&lt;5000,"Low (&lt;5k)")</f>
        <v>Medium (5k-10k)</v>
      </c>
      <c r="U444">
        <v>13402</v>
      </c>
      <c r="V444">
        <v>1</v>
      </c>
      <c r="W444" t="s">
        <v>43</v>
      </c>
      <c r="X444">
        <v>14</v>
      </c>
      <c r="Y444">
        <v>3</v>
      </c>
      <c r="Z444">
        <v>1</v>
      </c>
      <c r="AA444">
        <v>2</v>
      </c>
      <c r="AB444">
        <v>13</v>
      </c>
      <c r="AC444">
        <v>3</v>
      </c>
      <c r="AD444" t="s">
        <v>74</v>
      </c>
      <c r="AE444">
        <v>12</v>
      </c>
      <c r="AF444" t="str" cm="1">
        <f t="array" ref="AF444">_xlfn.IFS(AE444&gt;=10,"Veteran (10y+)",AE444&gt;=3,"Established (3-10y)",AE444&lt;3,"New Hire (&lt;3y)")</f>
        <v>Veteran (10y+)</v>
      </c>
      <c r="AG444">
        <v>7</v>
      </c>
      <c r="AH444">
        <v>5</v>
      </c>
      <c r="AI444">
        <v>7</v>
      </c>
    </row>
    <row r="445" spans="1:35">
      <c r="A445">
        <v>31</v>
      </c>
      <c r="B445" t="str">
        <f t="shared" si="6"/>
        <v>Middle Aged</v>
      </c>
      <c r="C445">
        <v>0</v>
      </c>
      <c r="D445" t="s">
        <v>44</v>
      </c>
      <c r="E445">
        <v>1125</v>
      </c>
      <c r="F445" t="s">
        <v>37</v>
      </c>
      <c r="G445">
        <v>7</v>
      </c>
      <c r="H445" t="str" cm="1">
        <f t="array" ref="H445">_xlfn.IFS(G445&gt;15,"Long Commute",G445&gt;5,"Moderate",G445&lt;=5,"Near Office")</f>
        <v>Moderate</v>
      </c>
      <c r="I445" t="s">
        <v>83</v>
      </c>
      <c r="J445" t="s">
        <v>59</v>
      </c>
      <c r="K445">
        <v>1</v>
      </c>
      <c r="L445" t="s">
        <v>39</v>
      </c>
      <c r="M445">
        <v>68</v>
      </c>
      <c r="N445">
        <v>3</v>
      </c>
      <c r="O445">
        <v>3</v>
      </c>
      <c r="P445" t="s">
        <v>40</v>
      </c>
      <c r="Q445" t="s">
        <v>82</v>
      </c>
      <c r="R445" t="s">
        <v>48</v>
      </c>
      <c r="S445">
        <v>9637</v>
      </c>
      <c r="T445" t="str" cm="1">
        <f t="array" ref="T445">_xlfn.IFS(S445&gt;=10000,"High (&gt;10k)",S445&gt;=5000,"Medium (5k-10k)",S445&lt;5000,"Low (&lt;5k)")</f>
        <v>Medium (5k-10k)</v>
      </c>
      <c r="U445">
        <v>8277</v>
      </c>
      <c r="V445">
        <v>2</v>
      </c>
      <c r="W445" t="s">
        <v>43</v>
      </c>
      <c r="X445">
        <v>14</v>
      </c>
      <c r="Y445">
        <v>3</v>
      </c>
      <c r="Z445">
        <v>4</v>
      </c>
      <c r="AA445">
        <v>2</v>
      </c>
      <c r="AB445">
        <v>9</v>
      </c>
      <c r="AC445">
        <v>3</v>
      </c>
      <c r="AD445" t="s">
        <v>74</v>
      </c>
      <c r="AE445">
        <v>3</v>
      </c>
      <c r="AF445" t="str" cm="1">
        <f t="array" ref="AF445">_xlfn.IFS(AE445&gt;=10,"Veteran (10y+)",AE445&gt;=3,"Established (3-10y)",AE445&lt;3,"New Hire (&lt;3y)")</f>
        <v>Established (3-10y)</v>
      </c>
      <c r="AG445">
        <v>2</v>
      </c>
      <c r="AH445">
        <v>2</v>
      </c>
      <c r="AI445">
        <v>2</v>
      </c>
    </row>
    <row r="446" spans="1:35">
      <c r="A446">
        <v>31</v>
      </c>
      <c r="B446" t="str">
        <f t="shared" si="6"/>
        <v>Middle Aged</v>
      </c>
      <c r="C446">
        <v>1</v>
      </c>
      <c r="D446" t="s">
        <v>36</v>
      </c>
      <c r="E446">
        <v>359</v>
      </c>
      <c r="F446" t="s">
        <v>61</v>
      </c>
      <c r="G446">
        <v>18</v>
      </c>
      <c r="H446" t="str" cm="1">
        <f t="array" ref="H446">_xlfn.IFS(G446&gt;15,"Long Commute",G446&gt;5,"Moderate",G446&lt;=5,"Near Office")</f>
        <v>Long Commute</v>
      </c>
      <c r="I446" t="s">
        <v>84</v>
      </c>
      <c r="J446" t="s">
        <v>61</v>
      </c>
      <c r="K446">
        <v>4</v>
      </c>
      <c r="L446" t="s">
        <v>46</v>
      </c>
      <c r="M446">
        <v>89</v>
      </c>
      <c r="N446">
        <v>4</v>
      </c>
      <c r="O446">
        <v>1</v>
      </c>
      <c r="P446" t="s">
        <v>61</v>
      </c>
      <c r="Q446" t="s">
        <v>82</v>
      </c>
      <c r="R446" t="s">
        <v>48</v>
      </c>
      <c r="S446">
        <v>2956</v>
      </c>
      <c r="T446" t="str" cm="1">
        <f t="array" ref="T446">_xlfn.IFS(S446&gt;=10000,"High (&gt;10k)",S446&gt;=5000,"Medium (5k-10k)",S446&lt;5000,"Low (&lt;5k)")</f>
        <v>Low (&lt;5k)</v>
      </c>
      <c r="U446">
        <v>21495</v>
      </c>
      <c r="V446">
        <v>0</v>
      </c>
      <c r="W446" t="s">
        <v>43</v>
      </c>
      <c r="X446">
        <v>17</v>
      </c>
      <c r="Y446">
        <v>3</v>
      </c>
      <c r="Z446">
        <v>3</v>
      </c>
      <c r="AA446">
        <v>0</v>
      </c>
      <c r="AB446">
        <v>2</v>
      </c>
      <c r="AC446">
        <v>4</v>
      </c>
      <c r="AD446" t="s">
        <v>74</v>
      </c>
      <c r="AE446">
        <v>1</v>
      </c>
      <c r="AF446" t="str" cm="1">
        <f t="array" ref="AF446">_xlfn.IFS(AE446&gt;=10,"Veteran (10y+)",AE446&gt;=3,"Established (3-10y)",AE446&lt;3,"New Hire (&lt;3y)")</f>
        <v>New Hire (&lt;3y)</v>
      </c>
      <c r="AG446">
        <v>0</v>
      </c>
      <c r="AH446">
        <v>0</v>
      </c>
      <c r="AI446">
        <v>0</v>
      </c>
    </row>
    <row r="447" spans="1:35">
      <c r="A447">
        <v>31</v>
      </c>
      <c r="B447" t="str">
        <f t="shared" si="6"/>
        <v>Middle Aged</v>
      </c>
      <c r="C447">
        <v>0</v>
      </c>
      <c r="D447" t="s">
        <v>36</v>
      </c>
      <c r="E447">
        <v>311</v>
      </c>
      <c r="F447" t="s">
        <v>45</v>
      </c>
      <c r="G447">
        <v>20</v>
      </c>
      <c r="H447" t="str" cm="1">
        <f t="array" ref="H447">_xlfn.IFS(G447&gt;15,"Long Commute",G447&gt;5,"Moderate",G447&lt;=5,"Near Office")</f>
        <v>Long Commute</v>
      </c>
      <c r="I447" t="s">
        <v>72</v>
      </c>
      <c r="J447" t="s">
        <v>38</v>
      </c>
      <c r="K447">
        <v>2</v>
      </c>
      <c r="L447" t="s">
        <v>46</v>
      </c>
      <c r="M447">
        <v>89</v>
      </c>
      <c r="N447">
        <v>3</v>
      </c>
      <c r="O447">
        <v>2</v>
      </c>
      <c r="P447" t="s">
        <v>50</v>
      </c>
      <c r="Q447" t="s">
        <v>73</v>
      </c>
      <c r="R447" t="s">
        <v>52</v>
      </c>
      <c r="S447">
        <v>4197</v>
      </c>
      <c r="T447" t="str" cm="1">
        <f t="array" ref="T447">_xlfn.IFS(S447&gt;=10000,"High (&gt;10k)",S447&gt;=5000,"Medium (5k-10k)",S447&lt;5000,"Low (&lt;5k)")</f>
        <v>Low (&lt;5k)</v>
      </c>
      <c r="U447">
        <v>18624</v>
      </c>
      <c r="V447">
        <v>1</v>
      </c>
      <c r="W447" t="s">
        <v>43</v>
      </c>
      <c r="X447">
        <v>11</v>
      </c>
      <c r="Y447">
        <v>3</v>
      </c>
      <c r="Z447">
        <v>1</v>
      </c>
      <c r="AA447">
        <v>1</v>
      </c>
      <c r="AB447">
        <v>10</v>
      </c>
      <c r="AC447">
        <v>2</v>
      </c>
      <c r="AD447" t="s">
        <v>74</v>
      </c>
      <c r="AE447">
        <v>10</v>
      </c>
      <c r="AF447" t="str" cm="1">
        <f t="array" ref="AF447">_xlfn.IFS(AE447&gt;=10,"Veteran (10y+)",AE447&gt;=3,"Established (3-10y)",AE447&lt;3,"New Hire (&lt;3y)")</f>
        <v>Veteran (10y+)</v>
      </c>
      <c r="AG447">
        <v>8</v>
      </c>
      <c r="AH447">
        <v>0</v>
      </c>
      <c r="AI447">
        <v>2</v>
      </c>
    </row>
    <row r="448" spans="1:35">
      <c r="A448">
        <v>31</v>
      </c>
      <c r="B448" t="str">
        <f t="shared" si="6"/>
        <v>Middle Aged</v>
      </c>
      <c r="C448">
        <v>0</v>
      </c>
      <c r="D448" t="s">
        <v>36</v>
      </c>
      <c r="E448">
        <v>1079</v>
      </c>
      <c r="F448" t="s">
        <v>37</v>
      </c>
      <c r="G448">
        <v>10</v>
      </c>
      <c r="H448" t="str" cm="1">
        <f t="array" ref="H448">_xlfn.IFS(G448&gt;15,"Long Commute",G448&gt;5,"Moderate",G448&lt;=5,"Near Office")</f>
        <v>Moderate</v>
      </c>
      <c r="I448" t="s">
        <v>76</v>
      </c>
      <c r="J448" t="s">
        <v>51</v>
      </c>
      <c r="K448">
        <v>3</v>
      </c>
      <c r="L448" t="s">
        <v>39</v>
      </c>
      <c r="M448">
        <v>86</v>
      </c>
      <c r="N448">
        <v>3</v>
      </c>
      <c r="O448">
        <v>2</v>
      </c>
      <c r="P448" t="s">
        <v>40</v>
      </c>
      <c r="Q448" t="s">
        <v>77</v>
      </c>
      <c r="R448" t="s">
        <v>52</v>
      </c>
      <c r="S448">
        <v>6583</v>
      </c>
      <c r="T448" t="str" cm="1">
        <f t="array" ref="T448">_xlfn.IFS(S448&gt;=10000,"High (&gt;10k)",S448&gt;=5000,"Medium (5k-10k)",S448&lt;5000,"Low (&lt;5k)")</f>
        <v>Medium (5k-10k)</v>
      </c>
      <c r="U448">
        <v>20115</v>
      </c>
      <c r="V448">
        <v>2</v>
      </c>
      <c r="W448" t="s">
        <v>35</v>
      </c>
      <c r="X448">
        <v>11</v>
      </c>
      <c r="Y448">
        <v>3</v>
      </c>
      <c r="Z448">
        <v>4</v>
      </c>
      <c r="AA448">
        <v>1</v>
      </c>
      <c r="AB448">
        <v>8</v>
      </c>
      <c r="AC448">
        <v>2</v>
      </c>
      <c r="AD448" t="s">
        <v>74</v>
      </c>
      <c r="AE448">
        <v>5</v>
      </c>
      <c r="AF448" t="str" cm="1">
        <f t="array" ref="AF448">_xlfn.IFS(AE448&gt;=10,"Veteran (10y+)",AE448&gt;=3,"Established (3-10y)",AE448&lt;3,"New Hire (&lt;3y)")</f>
        <v>Established (3-10y)</v>
      </c>
      <c r="AG448">
        <v>2</v>
      </c>
      <c r="AH448">
        <v>1</v>
      </c>
      <c r="AI448">
        <v>4</v>
      </c>
    </row>
    <row r="449" spans="1:35">
      <c r="A449">
        <v>31</v>
      </c>
      <c r="B449" t="str">
        <f t="shared" si="6"/>
        <v>Middle Aged</v>
      </c>
      <c r="C449">
        <v>0</v>
      </c>
      <c r="D449" t="s">
        <v>36</v>
      </c>
      <c r="E449">
        <v>471</v>
      </c>
      <c r="F449" t="s">
        <v>45</v>
      </c>
      <c r="G449">
        <v>4</v>
      </c>
      <c r="H449" t="str" cm="1">
        <f t="array" ref="H449">_xlfn.IFS(G449&gt;15,"Long Commute",G449&gt;5,"Moderate",G449&lt;=5,"Near Office")</f>
        <v>Near Office</v>
      </c>
      <c r="I449" t="s">
        <v>72</v>
      </c>
      <c r="J449" t="s">
        <v>51</v>
      </c>
      <c r="K449">
        <v>1</v>
      </c>
      <c r="L449" t="s">
        <v>39</v>
      </c>
      <c r="M449">
        <v>62</v>
      </c>
      <c r="N449">
        <v>4</v>
      </c>
      <c r="O449">
        <v>1</v>
      </c>
      <c r="P449" t="s">
        <v>50</v>
      </c>
      <c r="Q449" t="s">
        <v>73</v>
      </c>
      <c r="R449" t="s">
        <v>52</v>
      </c>
      <c r="S449">
        <v>3978</v>
      </c>
      <c r="T449" t="str" cm="1">
        <f t="array" ref="T449">_xlfn.IFS(S449&gt;=10000,"High (&gt;10k)",S449&gt;=5000,"Medium (5k-10k)",S449&lt;5000,"Low (&lt;5k)")</f>
        <v>Low (&lt;5k)</v>
      </c>
      <c r="U449">
        <v>16031</v>
      </c>
      <c r="V449">
        <v>8</v>
      </c>
      <c r="W449" t="s">
        <v>43</v>
      </c>
      <c r="X449">
        <v>12</v>
      </c>
      <c r="Y449">
        <v>3</v>
      </c>
      <c r="Z449">
        <v>2</v>
      </c>
      <c r="AA449">
        <v>1</v>
      </c>
      <c r="AB449">
        <v>4</v>
      </c>
      <c r="AC449">
        <v>0</v>
      </c>
      <c r="AD449" t="s">
        <v>81</v>
      </c>
      <c r="AE449">
        <v>2</v>
      </c>
      <c r="AF449" t="str" cm="1">
        <f t="array" ref="AF449">_xlfn.IFS(AE449&gt;=10,"Veteran (10y+)",AE449&gt;=3,"Established (3-10y)",AE449&lt;3,"New Hire (&lt;3y)")</f>
        <v>New Hire (&lt;3y)</v>
      </c>
      <c r="AG449">
        <v>2</v>
      </c>
      <c r="AH449">
        <v>2</v>
      </c>
      <c r="AI449">
        <v>2</v>
      </c>
    </row>
    <row r="450" spans="1:35">
      <c r="A450">
        <v>31</v>
      </c>
      <c r="B450" t="str">
        <f t="shared" si="6"/>
        <v>Middle Aged</v>
      </c>
      <c r="C450">
        <v>0</v>
      </c>
      <c r="D450" t="s">
        <v>55</v>
      </c>
      <c r="E450">
        <v>976</v>
      </c>
      <c r="F450" t="s">
        <v>45</v>
      </c>
      <c r="G450">
        <v>3</v>
      </c>
      <c r="H450" t="str" cm="1">
        <f t="array" ref="H450">_xlfn.IFS(G450&gt;15,"Long Commute",G450&gt;5,"Moderate",G450&lt;=5,"Near Office")</f>
        <v>Near Office</v>
      </c>
      <c r="I450" t="s">
        <v>76</v>
      </c>
      <c r="J450" t="s">
        <v>51</v>
      </c>
      <c r="K450">
        <v>3</v>
      </c>
      <c r="L450" t="s">
        <v>46</v>
      </c>
      <c r="M450">
        <v>48</v>
      </c>
      <c r="N450">
        <v>3</v>
      </c>
      <c r="O450">
        <v>1</v>
      </c>
      <c r="P450" t="s">
        <v>47</v>
      </c>
      <c r="Q450" t="s">
        <v>82</v>
      </c>
      <c r="R450" t="s">
        <v>52</v>
      </c>
      <c r="S450">
        <v>3065</v>
      </c>
      <c r="T450" t="str" cm="1">
        <f t="array" ref="T450">_xlfn.IFS(S450&gt;=10000,"High (&gt;10k)",S450&gt;=5000,"Medium (5k-10k)",S450&lt;5000,"Low (&lt;5k)")</f>
        <v>Low (&lt;5k)</v>
      </c>
      <c r="U450">
        <v>3995</v>
      </c>
      <c r="V450">
        <v>1</v>
      </c>
      <c r="W450" t="s">
        <v>35</v>
      </c>
      <c r="X450">
        <v>13</v>
      </c>
      <c r="Y450">
        <v>3</v>
      </c>
      <c r="Z450">
        <v>4</v>
      </c>
      <c r="AA450">
        <v>1</v>
      </c>
      <c r="AB450">
        <v>4</v>
      </c>
      <c r="AC450">
        <v>3</v>
      </c>
      <c r="AD450" t="s">
        <v>79</v>
      </c>
      <c r="AE450">
        <v>4</v>
      </c>
      <c r="AF450" t="str" cm="1">
        <f t="array" ref="AF450">_xlfn.IFS(AE450&gt;=10,"Veteran (10y+)",AE450&gt;=3,"Established (3-10y)",AE450&lt;3,"New Hire (&lt;3y)")</f>
        <v>Established (3-10y)</v>
      </c>
      <c r="AG450">
        <v>2</v>
      </c>
      <c r="AH450">
        <v>2</v>
      </c>
      <c r="AI450">
        <v>3</v>
      </c>
    </row>
    <row r="451" spans="1:35">
      <c r="A451">
        <v>31</v>
      </c>
      <c r="B451" t="str">
        <f t="shared" ref="B451:B514" si="7">IF(A451&gt;=46,"Senior",IF(A451&gt;=30,"Middle Aged","Young Adults"))</f>
        <v>Middle Aged</v>
      </c>
      <c r="C451">
        <v>0</v>
      </c>
      <c r="D451" t="s">
        <v>44</v>
      </c>
      <c r="E451">
        <v>1125</v>
      </c>
      <c r="F451" t="s">
        <v>45</v>
      </c>
      <c r="G451">
        <v>1</v>
      </c>
      <c r="H451" t="str" cm="1">
        <f t="array" ref="H451">_xlfn.IFS(G451&gt;15,"Long Commute",G451&gt;5,"Moderate",G451&lt;=5,"Near Office")</f>
        <v>Near Office</v>
      </c>
      <c r="I451" t="s">
        <v>72</v>
      </c>
      <c r="J451" t="s">
        <v>38</v>
      </c>
      <c r="K451">
        <v>4</v>
      </c>
      <c r="L451" t="s">
        <v>46</v>
      </c>
      <c r="M451">
        <v>48</v>
      </c>
      <c r="N451">
        <v>1</v>
      </c>
      <c r="O451">
        <v>2</v>
      </c>
      <c r="P451" t="s">
        <v>47</v>
      </c>
      <c r="Q451" t="s">
        <v>82</v>
      </c>
      <c r="R451" t="s">
        <v>48</v>
      </c>
      <c r="S451">
        <v>5003</v>
      </c>
      <c r="T451" t="str" cm="1">
        <f t="array" ref="T451">_xlfn.IFS(S451&gt;=10000,"High (&gt;10k)",S451&gt;=5000,"Medium (5k-10k)",S451&lt;5000,"Low (&lt;5k)")</f>
        <v>Medium (5k-10k)</v>
      </c>
      <c r="U451">
        <v>5771</v>
      </c>
      <c r="V451">
        <v>1</v>
      </c>
      <c r="W451" t="s">
        <v>43</v>
      </c>
      <c r="X451">
        <v>21</v>
      </c>
      <c r="Y451">
        <v>4</v>
      </c>
      <c r="Z451">
        <v>2</v>
      </c>
      <c r="AA451">
        <v>0</v>
      </c>
      <c r="AB451">
        <v>10</v>
      </c>
      <c r="AC451">
        <v>6</v>
      </c>
      <c r="AD451" t="s">
        <v>74</v>
      </c>
      <c r="AE451">
        <v>10</v>
      </c>
      <c r="AF451" t="str" cm="1">
        <f t="array" ref="AF451">_xlfn.IFS(AE451&gt;=10,"Veteran (10y+)",AE451&gt;=3,"Established (3-10y)",AE451&lt;3,"New Hire (&lt;3y)")</f>
        <v>Veteran (10y+)</v>
      </c>
      <c r="AG451">
        <v>8</v>
      </c>
      <c r="AH451">
        <v>8</v>
      </c>
      <c r="AI451">
        <v>7</v>
      </c>
    </row>
    <row r="452" spans="1:35">
      <c r="A452">
        <v>31</v>
      </c>
      <c r="B452" t="str">
        <f t="shared" si="7"/>
        <v>Middle Aged</v>
      </c>
      <c r="C452">
        <v>1</v>
      </c>
      <c r="D452" t="s">
        <v>44</v>
      </c>
      <c r="E452">
        <v>754</v>
      </c>
      <c r="F452" t="s">
        <v>37</v>
      </c>
      <c r="G452">
        <v>26</v>
      </c>
      <c r="H452" t="str" cm="1">
        <f t="array" ref="H452">_xlfn.IFS(G452&gt;15,"Long Commute",G452&gt;5,"Moderate",G452&lt;=5,"Near Office")</f>
        <v>Long Commute</v>
      </c>
      <c r="I452" t="s">
        <v>83</v>
      </c>
      <c r="J452" t="s">
        <v>59</v>
      </c>
      <c r="K452">
        <v>1</v>
      </c>
      <c r="L452" t="s">
        <v>46</v>
      </c>
      <c r="M452">
        <v>63</v>
      </c>
      <c r="N452">
        <v>3</v>
      </c>
      <c r="O452">
        <v>2</v>
      </c>
      <c r="P452" t="s">
        <v>40</v>
      </c>
      <c r="Q452" t="s">
        <v>77</v>
      </c>
      <c r="R452" t="s">
        <v>48</v>
      </c>
      <c r="S452">
        <v>5617</v>
      </c>
      <c r="T452" t="str" cm="1">
        <f t="array" ref="T452">_xlfn.IFS(S452&gt;=10000,"High (&gt;10k)",S452&gt;=5000,"Medium (5k-10k)",S452&lt;5000,"Low (&lt;5k)")</f>
        <v>Medium (5k-10k)</v>
      </c>
      <c r="U452">
        <v>21075</v>
      </c>
      <c r="V452">
        <v>1</v>
      </c>
      <c r="W452" t="s">
        <v>35</v>
      </c>
      <c r="X452">
        <v>11</v>
      </c>
      <c r="Y452">
        <v>3</v>
      </c>
      <c r="Z452">
        <v>3</v>
      </c>
      <c r="AA452">
        <v>0</v>
      </c>
      <c r="AB452">
        <v>10</v>
      </c>
      <c r="AC452">
        <v>4</v>
      </c>
      <c r="AD452" t="s">
        <v>74</v>
      </c>
      <c r="AE452">
        <v>10</v>
      </c>
      <c r="AF452" t="str" cm="1">
        <f t="array" ref="AF452">_xlfn.IFS(AE452&gt;=10,"Veteran (10y+)",AE452&gt;=3,"Established (3-10y)",AE452&lt;3,"New Hire (&lt;3y)")</f>
        <v>Veteran (10y+)</v>
      </c>
      <c r="AG452">
        <v>7</v>
      </c>
      <c r="AH452">
        <v>0</v>
      </c>
      <c r="AI452">
        <v>8</v>
      </c>
    </row>
    <row r="453" spans="1:35">
      <c r="A453">
        <v>31</v>
      </c>
      <c r="B453" t="str">
        <f t="shared" si="7"/>
        <v>Middle Aged</v>
      </c>
      <c r="C453">
        <v>0</v>
      </c>
      <c r="D453" t="s">
        <v>36</v>
      </c>
      <c r="E453">
        <v>1276</v>
      </c>
      <c r="F453" t="s">
        <v>45</v>
      </c>
      <c r="G453">
        <v>2</v>
      </c>
      <c r="H453" t="str" cm="1">
        <f t="array" ref="H453">_xlfn.IFS(G453&gt;15,"Long Commute",G453&gt;5,"Moderate",G453&lt;=5,"Near Office")</f>
        <v>Near Office</v>
      </c>
      <c r="I453" t="s">
        <v>78</v>
      </c>
      <c r="J453" t="s">
        <v>51</v>
      </c>
      <c r="K453">
        <v>4</v>
      </c>
      <c r="L453" t="s">
        <v>39</v>
      </c>
      <c r="M453">
        <v>59</v>
      </c>
      <c r="N453">
        <v>1</v>
      </c>
      <c r="O453">
        <v>1</v>
      </c>
      <c r="P453" t="s">
        <v>50</v>
      </c>
      <c r="Q453" t="s">
        <v>77</v>
      </c>
      <c r="R453" t="s">
        <v>52</v>
      </c>
      <c r="S453">
        <v>1129</v>
      </c>
      <c r="T453" t="str" cm="1">
        <f t="array" ref="T453">_xlfn.IFS(S453&gt;=10000,"High (&gt;10k)",S453&gt;=5000,"Medium (5k-10k)",S453&lt;5000,"Low (&lt;5k)")</f>
        <v>Low (&lt;5k)</v>
      </c>
      <c r="U453">
        <v>17536</v>
      </c>
      <c r="V453">
        <v>1</v>
      </c>
      <c r="W453" t="s">
        <v>35</v>
      </c>
      <c r="X453">
        <v>11</v>
      </c>
      <c r="Y453">
        <v>3</v>
      </c>
      <c r="Z453">
        <v>3</v>
      </c>
      <c r="AA453">
        <v>3</v>
      </c>
      <c r="AB453">
        <v>1</v>
      </c>
      <c r="AC453">
        <v>4</v>
      </c>
      <c r="AD453" t="s">
        <v>74</v>
      </c>
      <c r="AE453">
        <v>1</v>
      </c>
      <c r="AF453" t="str" cm="1">
        <f t="array" ref="AF453">_xlfn.IFS(AE453&gt;=10,"Veteran (10y+)",AE453&gt;=3,"Established (3-10y)",AE453&lt;3,"New Hire (&lt;3y)")</f>
        <v>New Hire (&lt;3y)</v>
      </c>
      <c r="AG453">
        <v>0</v>
      </c>
      <c r="AH453">
        <v>0</v>
      </c>
      <c r="AI453">
        <v>0</v>
      </c>
    </row>
    <row r="454" spans="1:35">
      <c r="A454">
        <v>31</v>
      </c>
      <c r="B454" t="str">
        <f t="shared" si="7"/>
        <v>Middle Aged</v>
      </c>
      <c r="C454">
        <v>0</v>
      </c>
      <c r="D454" t="s">
        <v>55</v>
      </c>
      <c r="E454">
        <v>697</v>
      </c>
      <c r="F454" t="s">
        <v>45</v>
      </c>
      <c r="G454">
        <v>10</v>
      </c>
      <c r="H454" t="str" cm="1">
        <f t="array" ref="H454">_xlfn.IFS(G454&gt;15,"Long Commute",G454&gt;5,"Moderate",G454&lt;=5,"Near Office")</f>
        <v>Moderate</v>
      </c>
      <c r="I454" t="s">
        <v>72</v>
      </c>
      <c r="J454" t="s">
        <v>51</v>
      </c>
      <c r="K454">
        <v>3</v>
      </c>
      <c r="L454" t="s">
        <v>39</v>
      </c>
      <c r="M454">
        <v>40</v>
      </c>
      <c r="N454">
        <v>3</v>
      </c>
      <c r="O454">
        <v>3</v>
      </c>
      <c r="P454" t="s">
        <v>58</v>
      </c>
      <c r="Q454" t="s">
        <v>73</v>
      </c>
      <c r="R454" t="s">
        <v>48</v>
      </c>
      <c r="S454">
        <v>11031</v>
      </c>
      <c r="T454" t="str" cm="1">
        <f t="array" ref="T454">_xlfn.IFS(S454&gt;=10000,"High (&gt;10k)",S454&gt;=5000,"Medium (5k-10k)",S454&lt;5000,"Low (&lt;5k)")</f>
        <v>High (&gt;10k)</v>
      </c>
      <c r="U454">
        <v>26862</v>
      </c>
      <c r="V454">
        <v>4</v>
      </c>
      <c r="W454" t="s">
        <v>43</v>
      </c>
      <c r="X454">
        <v>20</v>
      </c>
      <c r="Y454">
        <v>4</v>
      </c>
      <c r="Z454">
        <v>3</v>
      </c>
      <c r="AA454">
        <v>1</v>
      </c>
      <c r="AB454">
        <v>13</v>
      </c>
      <c r="AC454">
        <v>2</v>
      </c>
      <c r="AD454" t="s">
        <v>79</v>
      </c>
      <c r="AE454">
        <v>11</v>
      </c>
      <c r="AF454" t="str" cm="1">
        <f t="array" ref="AF454">_xlfn.IFS(AE454&gt;=10,"Veteran (10y+)",AE454&gt;=3,"Established (3-10y)",AE454&lt;3,"New Hire (&lt;3y)")</f>
        <v>Veteran (10y+)</v>
      </c>
      <c r="AG454">
        <v>7</v>
      </c>
      <c r="AH454">
        <v>4</v>
      </c>
      <c r="AI454">
        <v>8</v>
      </c>
    </row>
    <row r="455" spans="1:35">
      <c r="A455">
        <v>31</v>
      </c>
      <c r="B455" t="str">
        <f t="shared" si="7"/>
        <v>Middle Aged</v>
      </c>
      <c r="C455">
        <v>0</v>
      </c>
      <c r="D455" t="s">
        <v>36</v>
      </c>
      <c r="E455">
        <v>1154</v>
      </c>
      <c r="F455" t="s">
        <v>37</v>
      </c>
      <c r="G455">
        <v>2</v>
      </c>
      <c r="H455" t="str" cm="1">
        <f t="array" ref="H455">_xlfn.IFS(G455&gt;15,"Long Commute",G455&gt;5,"Moderate",G455&lt;=5,"Near Office")</f>
        <v>Near Office</v>
      </c>
      <c r="I455" t="s">
        <v>76</v>
      </c>
      <c r="J455" t="s">
        <v>38</v>
      </c>
      <c r="K455">
        <v>1</v>
      </c>
      <c r="L455" t="s">
        <v>46</v>
      </c>
      <c r="M455">
        <v>54</v>
      </c>
      <c r="N455">
        <v>3</v>
      </c>
      <c r="O455">
        <v>1</v>
      </c>
      <c r="P455" t="s">
        <v>57</v>
      </c>
      <c r="Q455" t="s">
        <v>73</v>
      </c>
      <c r="R455" t="s">
        <v>48</v>
      </c>
      <c r="S455">
        <v>3067</v>
      </c>
      <c r="T455" t="str" cm="1">
        <f t="array" ref="T455">_xlfn.IFS(S455&gt;=10000,"High (&gt;10k)",S455&gt;=5000,"Medium (5k-10k)",S455&lt;5000,"Low (&lt;5k)")</f>
        <v>Low (&lt;5k)</v>
      </c>
      <c r="U455">
        <v>6393</v>
      </c>
      <c r="V455">
        <v>0</v>
      </c>
      <c r="W455" t="s">
        <v>43</v>
      </c>
      <c r="X455">
        <v>19</v>
      </c>
      <c r="Y455">
        <v>3</v>
      </c>
      <c r="Z455">
        <v>3</v>
      </c>
      <c r="AA455">
        <v>1</v>
      </c>
      <c r="AB455">
        <v>3</v>
      </c>
      <c r="AC455">
        <v>1</v>
      </c>
      <c r="AD455" t="s">
        <v>74</v>
      </c>
      <c r="AE455">
        <v>2</v>
      </c>
      <c r="AF455" t="str" cm="1">
        <f t="array" ref="AF455">_xlfn.IFS(AE455&gt;=10,"Veteran (10y+)",AE455&gt;=3,"Established (3-10y)",AE455&lt;3,"New Hire (&lt;3y)")</f>
        <v>New Hire (&lt;3y)</v>
      </c>
      <c r="AG455">
        <v>2</v>
      </c>
      <c r="AH455">
        <v>1</v>
      </c>
      <c r="AI455">
        <v>2</v>
      </c>
    </row>
    <row r="456" spans="1:35">
      <c r="A456">
        <v>31</v>
      </c>
      <c r="B456" t="str">
        <f t="shared" si="7"/>
        <v>Middle Aged</v>
      </c>
      <c r="C456">
        <v>0</v>
      </c>
      <c r="D456" t="s">
        <v>55</v>
      </c>
      <c r="E456">
        <v>325</v>
      </c>
      <c r="F456" t="s">
        <v>45</v>
      </c>
      <c r="G456">
        <v>5</v>
      </c>
      <c r="H456" t="str" cm="1">
        <f t="array" ref="H456">_xlfn.IFS(G456&gt;15,"Long Commute",G456&gt;5,"Moderate",G456&lt;=5,"Near Office")</f>
        <v>Near Office</v>
      </c>
      <c r="I456" t="s">
        <v>72</v>
      </c>
      <c r="J456" t="s">
        <v>51</v>
      </c>
      <c r="K456">
        <v>2</v>
      </c>
      <c r="L456" t="s">
        <v>46</v>
      </c>
      <c r="M456">
        <v>74</v>
      </c>
      <c r="N456">
        <v>3</v>
      </c>
      <c r="O456">
        <v>2</v>
      </c>
      <c r="P456" t="s">
        <v>53</v>
      </c>
      <c r="Q456" t="s">
        <v>82</v>
      </c>
      <c r="R456" t="s">
        <v>41</v>
      </c>
      <c r="S456">
        <v>9936</v>
      </c>
      <c r="T456" t="str" cm="1">
        <f t="array" ref="T456">_xlfn.IFS(S456&gt;=10000,"High (&gt;10k)",S456&gt;=5000,"Medium (5k-10k)",S456&lt;5000,"Low (&lt;5k)")</f>
        <v>Medium (5k-10k)</v>
      </c>
      <c r="U456">
        <v>3787</v>
      </c>
      <c r="V456">
        <v>0</v>
      </c>
      <c r="W456" t="s">
        <v>43</v>
      </c>
      <c r="X456">
        <v>19</v>
      </c>
      <c r="Y456">
        <v>3</v>
      </c>
      <c r="Z456">
        <v>2</v>
      </c>
      <c r="AA456">
        <v>0</v>
      </c>
      <c r="AB456">
        <v>10</v>
      </c>
      <c r="AC456">
        <v>2</v>
      </c>
      <c r="AD456" t="s">
        <v>74</v>
      </c>
      <c r="AE456">
        <v>9</v>
      </c>
      <c r="AF456" t="str" cm="1">
        <f t="array" ref="AF456">_xlfn.IFS(AE456&gt;=10,"Veteran (10y+)",AE456&gt;=3,"Established (3-10y)",AE456&lt;3,"New Hire (&lt;3y)")</f>
        <v>Established (3-10y)</v>
      </c>
      <c r="AG456">
        <v>4</v>
      </c>
      <c r="AH456">
        <v>1</v>
      </c>
      <c r="AI456">
        <v>7</v>
      </c>
    </row>
    <row r="457" spans="1:35">
      <c r="A457">
        <v>32</v>
      </c>
      <c r="B457" t="str">
        <f t="shared" si="7"/>
        <v>Middle Aged</v>
      </c>
      <c r="C457">
        <v>0</v>
      </c>
      <c r="D457" t="s">
        <v>44</v>
      </c>
      <c r="E457">
        <v>1005</v>
      </c>
      <c r="F457" t="s">
        <v>45</v>
      </c>
      <c r="G457">
        <v>2</v>
      </c>
      <c r="H457" t="str" cm="1">
        <f t="array" ref="H457">_xlfn.IFS(G457&gt;15,"Long Commute",G457&gt;5,"Moderate",G457&lt;=5,"Near Office")</f>
        <v>Near Office</v>
      </c>
      <c r="I457" t="s">
        <v>76</v>
      </c>
      <c r="J457" t="s">
        <v>38</v>
      </c>
      <c r="K457">
        <v>4</v>
      </c>
      <c r="L457" t="s">
        <v>46</v>
      </c>
      <c r="M457">
        <v>79</v>
      </c>
      <c r="N457">
        <v>3</v>
      </c>
      <c r="O457">
        <v>1</v>
      </c>
      <c r="P457" t="s">
        <v>50</v>
      </c>
      <c r="Q457" t="s">
        <v>77</v>
      </c>
      <c r="R457" t="s">
        <v>41</v>
      </c>
      <c r="S457">
        <v>3068</v>
      </c>
      <c r="T457" t="str" cm="1">
        <f t="array" ref="T457">_xlfn.IFS(S457&gt;=10000,"High (&gt;10k)",S457&gt;=5000,"Medium (5k-10k)",S457&lt;5000,"Low (&lt;5k)")</f>
        <v>Low (&lt;5k)</v>
      </c>
      <c r="U457">
        <v>11864</v>
      </c>
      <c r="V457">
        <v>0</v>
      </c>
      <c r="W457" t="s">
        <v>43</v>
      </c>
      <c r="X457">
        <v>13</v>
      </c>
      <c r="Y457">
        <v>3</v>
      </c>
      <c r="Z457">
        <v>3</v>
      </c>
      <c r="AA457">
        <v>0</v>
      </c>
      <c r="AB457">
        <v>8</v>
      </c>
      <c r="AC457">
        <v>2</v>
      </c>
      <c r="AD457" t="s">
        <v>81</v>
      </c>
      <c r="AE457">
        <v>7</v>
      </c>
      <c r="AF457" t="str" cm="1">
        <f t="array" ref="AF457">_xlfn.IFS(AE457&gt;=10,"Veteran (10y+)",AE457&gt;=3,"Established (3-10y)",AE457&lt;3,"New Hire (&lt;3y)")</f>
        <v>Established (3-10y)</v>
      </c>
      <c r="AG457">
        <v>7</v>
      </c>
      <c r="AH457">
        <v>3</v>
      </c>
      <c r="AI457">
        <v>6</v>
      </c>
    </row>
    <row r="458" spans="1:35">
      <c r="A458">
        <v>32</v>
      </c>
      <c r="B458" t="str">
        <f t="shared" si="7"/>
        <v>Middle Aged</v>
      </c>
      <c r="C458">
        <v>0</v>
      </c>
      <c r="D458" t="s">
        <v>36</v>
      </c>
      <c r="E458">
        <v>334</v>
      </c>
      <c r="F458" t="s">
        <v>45</v>
      </c>
      <c r="G458">
        <v>5</v>
      </c>
      <c r="H458" t="str" cm="1">
        <f t="array" ref="H458">_xlfn.IFS(G458&gt;15,"Long Commute",G458&gt;5,"Moderate",G458&lt;=5,"Near Office")</f>
        <v>Near Office</v>
      </c>
      <c r="I458" t="s">
        <v>76</v>
      </c>
      <c r="J458" t="s">
        <v>38</v>
      </c>
      <c r="K458">
        <v>1</v>
      </c>
      <c r="L458" t="s">
        <v>46</v>
      </c>
      <c r="M458">
        <v>80</v>
      </c>
      <c r="N458">
        <v>4</v>
      </c>
      <c r="O458">
        <v>1</v>
      </c>
      <c r="P458" t="s">
        <v>47</v>
      </c>
      <c r="Q458" t="s">
        <v>75</v>
      </c>
      <c r="R458" t="s">
        <v>52</v>
      </c>
      <c r="S458">
        <v>3298</v>
      </c>
      <c r="T458" t="str" cm="1">
        <f t="array" ref="T458">_xlfn.IFS(S458&gt;=10000,"High (&gt;10k)",S458&gt;=5000,"Medium (5k-10k)",S458&lt;5000,"Low (&lt;5k)")</f>
        <v>Low (&lt;5k)</v>
      </c>
      <c r="U458">
        <v>15053</v>
      </c>
      <c r="V458">
        <v>0</v>
      </c>
      <c r="W458" t="s">
        <v>35</v>
      </c>
      <c r="X458">
        <v>12</v>
      </c>
      <c r="Y458">
        <v>3</v>
      </c>
      <c r="Z458">
        <v>4</v>
      </c>
      <c r="AA458">
        <v>2</v>
      </c>
      <c r="AB458">
        <v>7</v>
      </c>
      <c r="AC458">
        <v>5</v>
      </c>
      <c r="AD458" t="s">
        <v>81</v>
      </c>
      <c r="AE458">
        <v>6</v>
      </c>
      <c r="AF458" t="str" cm="1">
        <f t="array" ref="AF458">_xlfn.IFS(AE458&gt;=10,"Veteran (10y+)",AE458&gt;=3,"Established (3-10y)",AE458&lt;3,"New Hire (&lt;3y)")</f>
        <v>Established (3-10y)</v>
      </c>
      <c r="AG458">
        <v>2</v>
      </c>
      <c r="AH458">
        <v>0</v>
      </c>
      <c r="AI458">
        <v>5</v>
      </c>
    </row>
    <row r="459" spans="1:35">
      <c r="A459">
        <v>32</v>
      </c>
      <c r="B459" t="str">
        <f t="shared" si="7"/>
        <v>Middle Aged</v>
      </c>
      <c r="C459">
        <v>1</v>
      </c>
      <c r="D459" t="s">
        <v>44</v>
      </c>
      <c r="E459">
        <v>1125</v>
      </c>
      <c r="F459" t="s">
        <v>45</v>
      </c>
      <c r="G459">
        <v>16</v>
      </c>
      <c r="H459" t="str" cm="1">
        <f t="array" ref="H459">_xlfn.IFS(G459&gt;15,"Long Commute",G459&gt;5,"Moderate",G459&lt;=5,"Near Office")</f>
        <v>Long Commute</v>
      </c>
      <c r="I459" t="s">
        <v>78</v>
      </c>
      <c r="J459" t="s">
        <v>38</v>
      </c>
      <c r="K459">
        <v>2</v>
      </c>
      <c r="L459" t="s">
        <v>39</v>
      </c>
      <c r="M459">
        <v>72</v>
      </c>
      <c r="N459">
        <v>1</v>
      </c>
      <c r="O459">
        <v>1</v>
      </c>
      <c r="P459" t="s">
        <v>47</v>
      </c>
      <c r="Q459" t="s">
        <v>82</v>
      </c>
      <c r="R459" t="s">
        <v>41</v>
      </c>
      <c r="S459">
        <v>3919</v>
      </c>
      <c r="T459" t="str" cm="1">
        <f t="array" ref="T459">_xlfn.IFS(S459&gt;=10000,"High (&gt;10k)",S459&gt;=5000,"Medium (5k-10k)",S459&lt;5000,"Low (&lt;5k)")</f>
        <v>Low (&lt;5k)</v>
      </c>
      <c r="U459">
        <v>4681</v>
      </c>
      <c r="V459">
        <v>1</v>
      </c>
      <c r="W459" t="s">
        <v>35</v>
      </c>
      <c r="X459">
        <v>22</v>
      </c>
      <c r="Y459">
        <v>4</v>
      </c>
      <c r="Z459">
        <v>2</v>
      </c>
      <c r="AA459">
        <v>0</v>
      </c>
      <c r="AB459">
        <v>10</v>
      </c>
      <c r="AC459">
        <v>5</v>
      </c>
      <c r="AD459" t="s">
        <v>74</v>
      </c>
      <c r="AE459">
        <v>10</v>
      </c>
      <c r="AF459" t="str" cm="1">
        <f t="array" ref="AF459">_xlfn.IFS(AE459&gt;=10,"Veteran (10y+)",AE459&gt;=3,"Established (3-10y)",AE459&lt;3,"New Hire (&lt;3y)")</f>
        <v>Veteran (10y+)</v>
      </c>
      <c r="AG459">
        <v>2</v>
      </c>
      <c r="AH459">
        <v>6</v>
      </c>
      <c r="AI459">
        <v>7</v>
      </c>
    </row>
    <row r="460" spans="1:35">
      <c r="A460">
        <v>32</v>
      </c>
      <c r="B460" t="str">
        <f t="shared" si="7"/>
        <v>Middle Aged</v>
      </c>
      <c r="C460">
        <v>0</v>
      </c>
      <c r="D460" t="s">
        <v>36</v>
      </c>
      <c r="E460">
        <v>427</v>
      </c>
      <c r="F460" t="s">
        <v>45</v>
      </c>
      <c r="G460">
        <v>1</v>
      </c>
      <c r="H460" t="str" cm="1">
        <f t="array" ref="H460">_xlfn.IFS(G460&gt;15,"Long Commute",G460&gt;5,"Moderate",G460&lt;=5,"Near Office")</f>
        <v>Near Office</v>
      </c>
      <c r="I460" t="s">
        <v>72</v>
      </c>
      <c r="J460" t="s">
        <v>51</v>
      </c>
      <c r="K460">
        <v>1</v>
      </c>
      <c r="L460" t="s">
        <v>46</v>
      </c>
      <c r="M460">
        <v>33</v>
      </c>
      <c r="N460">
        <v>3</v>
      </c>
      <c r="O460">
        <v>2</v>
      </c>
      <c r="P460" t="s">
        <v>53</v>
      </c>
      <c r="Q460" t="s">
        <v>77</v>
      </c>
      <c r="R460" t="s">
        <v>48</v>
      </c>
      <c r="S460">
        <v>6162</v>
      </c>
      <c r="T460" t="str" cm="1">
        <f t="array" ref="T460">_xlfn.IFS(S460&gt;=10000,"High (&gt;10k)",S460&gt;=5000,"Medium (5k-10k)",S460&lt;5000,"Low (&lt;5k)")</f>
        <v>Medium (5k-10k)</v>
      </c>
      <c r="U460">
        <v>10877</v>
      </c>
      <c r="V460">
        <v>1</v>
      </c>
      <c r="W460" t="s">
        <v>35</v>
      </c>
      <c r="X460">
        <v>22</v>
      </c>
      <c r="Y460">
        <v>4</v>
      </c>
      <c r="Z460">
        <v>2</v>
      </c>
      <c r="AA460">
        <v>1</v>
      </c>
      <c r="AB460">
        <v>9</v>
      </c>
      <c r="AC460">
        <v>3</v>
      </c>
      <c r="AD460" t="s">
        <v>74</v>
      </c>
      <c r="AE460">
        <v>9</v>
      </c>
      <c r="AF460" t="str" cm="1">
        <f t="array" ref="AF460">_xlfn.IFS(AE460&gt;=10,"Veteran (10y+)",AE460&gt;=3,"Established (3-10y)",AE460&lt;3,"New Hire (&lt;3y)")</f>
        <v>Established (3-10y)</v>
      </c>
      <c r="AG460">
        <v>8</v>
      </c>
      <c r="AH460">
        <v>7</v>
      </c>
      <c r="AI460">
        <v>8</v>
      </c>
    </row>
    <row r="461" spans="1:35">
      <c r="A461">
        <v>32</v>
      </c>
      <c r="B461" t="str">
        <f t="shared" si="7"/>
        <v>Middle Aged</v>
      </c>
      <c r="C461">
        <v>0</v>
      </c>
      <c r="D461" t="s">
        <v>36</v>
      </c>
      <c r="E461">
        <v>548</v>
      </c>
      <c r="F461" t="s">
        <v>45</v>
      </c>
      <c r="G461">
        <v>1</v>
      </c>
      <c r="H461" t="str" cm="1">
        <f t="array" ref="H461">_xlfn.IFS(G461&gt;15,"Long Commute",G461&gt;5,"Moderate",G461&lt;=5,"Near Office")</f>
        <v>Near Office</v>
      </c>
      <c r="I461" t="s">
        <v>72</v>
      </c>
      <c r="J461" t="s">
        <v>38</v>
      </c>
      <c r="K461">
        <v>2</v>
      </c>
      <c r="L461" t="s">
        <v>46</v>
      </c>
      <c r="M461">
        <v>66</v>
      </c>
      <c r="N461">
        <v>3</v>
      </c>
      <c r="O461">
        <v>2</v>
      </c>
      <c r="P461" t="s">
        <v>47</v>
      </c>
      <c r="Q461" t="s">
        <v>75</v>
      </c>
      <c r="R461" t="s">
        <v>48</v>
      </c>
      <c r="S461">
        <v>6220</v>
      </c>
      <c r="T461" t="str" cm="1">
        <f t="array" ref="T461">_xlfn.IFS(S461&gt;=10000,"High (&gt;10k)",S461&gt;=5000,"Medium (5k-10k)",S461&lt;5000,"Low (&lt;5k)")</f>
        <v>Medium (5k-10k)</v>
      </c>
      <c r="U461">
        <v>7346</v>
      </c>
      <c r="V461">
        <v>1</v>
      </c>
      <c r="W461" t="s">
        <v>43</v>
      </c>
      <c r="X461">
        <v>17</v>
      </c>
      <c r="Y461">
        <v>3</v>
      </c>
      <c r="Z461">
        <v>2</v>
      </c>
      <c r="AA461">
        <v>2</v>
      </c>
      <c r="AB461">
        <v>10</v>
      </c>
      <c r="AC461">
        <v>3</v>
      </c>
      <c r="AD461" t="s">
        <v>74</v>
      </c>
      <c r="AE461">
        <v>10</v>
      </c>
      <c r="AF461" t="str" cm="1">
        <f t="array" ref="AF461">_xlfn.IFS(AE461&gt;=10,"Veteran (10y+)",AE461&gt;=3,"Established (3-10y)",AE461&lt;3,"New Hire (&lt;3y)")</f>
        <v>Veteran (10y+)</v>
      </c>
      <c r="AG461">
        <v>4</v>
      </c>
      <c r="AH461">
        <v>0</v>
      </c>
      <c r="AI461">
        <v>9</v>
      </c>
    </row>
    <row r="462" spans="1:35">
      <c r="A462">
        <v>32</v>
      </c>
      <c r="B462" t="str">
        <f t="shared" si="7"/>
        <v>Middle Aged</v>
      </c>
      <c r="C462">
        <v>0</v>
      </c>
      <c r="D462" t="s">
        <v>36</v>
      </c>
      <c r="E462">
        <v>1093</v>
      </c>
      <c r="F462" t="s">
        <v>37</v>
      </c>
      <c r="G462">
        <v>6</v>
      </c>
      <c r="H462" t="str" cm="1">
        <f t="array" ref="H462">_xlfn.IFS(G462&gt;15,"Long Commute",G462&gt;5,"Moderate",G462&lt;=5,"Near Office")</f>
        <v>Moderate</v>
      </c>
      <c r="I462" t="s">
        <v>83</v>
      </c>
      <c r="J462" t="s">
        <v>51</v>
      </c>
      <c r="K462">
        <v>2</v>
      </c>
      <c r="L462" t="s">
        <v>46</v>
      </c>
      <c r="M462">
        <v>87</v>
      </c>
      <c r="N462">
        <v>3</v>
      </c>
      <c r="O462">
        <v>2</v>
      </c>
      <c r="P462" t="s">
        <v>40</v>
      </c>
      <c r="Q462" t="s">
        <v>73</v>
      </c>
      <c r="R462" t="s">
        <v>41</v>
      </c>
      <c r="S462">
        <v>5010</v>
      </c>
      <c r="T462" t="str" cm="1">
        <f t="array" ref="T462">_xlfn.IFS(S462&gt;=10000,"High (&gt;10k)",S462&gt;=5000,"Medium (5k-10k)",S462&lt;5000,"Low (&lt;5k)")</f>
        <v>Medium (5k-10k)</v>
      </c>
      <c r="U462">
        <v>24301</v>
      </c>
      <c r="V462">
        <v>1</v>
      </c>
      <c r="W462" t="s">
        <v>43</v>
      </c>
      <c r="X462">
        <v>16</v>
      </c>
      <c r="Y462">
        <v>3</v>
      </c>
      <c r="Z462">
        <v>1</v>
      </c>
      <c r="AA462">
        <v>0</v>
      </c>
      <c r="AB462">
        <v>12</v>
      </c>
      <c r="AC462">
        <v>0</v>
      </c>
      <c r="AD462" t="s">
        <v>74</v>
      </c>
      <c r="AE462">
        <v>11</v>
      </c>
      <c r="AF462" t="str" cm="1">
        <f t="array" ref="AF462">_xlfn.IFS(AE462&gt;=10,"Veteran (10y+)",AE462&gt;=3,"Established (3-10y)",AE462&lt;3,"New Hire (&lt;3y)")</f>
        <v>Veteran (10y+)</v>
      </c>
      <c r="AG462">
        <v>8</v>
      </c>
      <c r="AH462">
        <v>5</v>
      </c>
      <c r="AI462">
        <v>7</v>
      </c>
    </row>
    <row r="463" spans="1:35">
      <c r="A463">
        <v>32</v>
      </c>
      <c r="B463" t="str">
        <f t="shared" si="7"/>
        <v>Middle Aged</v>
      </c>
      <c r="C463">
        <v>0</v>
      </c>
      <c r="D463" t="s">
        <v>36</v>
      </c>
      <c r="E463">
        <v>827</v>
      </c>
      <c r="F463" t="s">
        <v>45</v>
      </c>
      <c r="G463">
        <v>1</v>
      </c>
      <c r="H463" t="str" cm="1">
        <f t="array" ref="H463">_xlfn.IFS(G463&gt;15,"Long Commute",G463&gt;5,"Moderate",G463&lt;=5,"Near Office")</f>
        <v>Near Office</v>
      </c>
      <c r="I463" t="s">
        <v>78</v>
      </c>
      <c r="J463" t="s">
        <v>38</v>
      </c>
      <c r="K463">
        <v>4</v>
      </c>
      <c r="L463" t="s">
        <v>46</v>
      </c>
      <c r="M463">
        <v>71</v>
      </c>
      <c r="N463">
        <v>3</v>
      </c>
      <c r="O463">
        <v>1</v>
      </c>
      <c r="P463" t="s">
        <v>47</v>
      </c>
      <c r="Q463" t="s">
        <v>82</v>
      </c>
      <c r="R463" t="s">
        <v>41</v>
      </c>
      <c r="S463">
        <v>2956</v>
      </c>
      <c r="T463" t="str" cm="1">
        <f t="array" ref="T463">_xlfn.IFS(S463&gt;=10000,"High (&gt;10k)",S463&gt;=5000,"Medium (5k-10k)",S463&lt;5000,"Low (&lt;5k)")</f>
        <v>Low (&lt;5k)</v>
      </c>
      <c r="U463">
        <v>15178</v>
      </c>
      <c r="V463">
        <v>1</v>
      </c>
      <c r="W463" t="s">
        <v>43</v>
      </c>
      <c r="X463">
        <v>13</v>
      </c>
      <c r="Y463">
        <v>3</v>
      </c>
      <c r="Z463">
        <v>4</v>
      </c>
      <c r="AA463">
        <v>0</v>
      </c>
      <c r="AB463">
        <v>1</v>
      </c>
      <c r="AC463">
        <v>2</v>
      </c>
      <c r="AD463" t="s">
        <v>74</v>
      </c>
      <c r="AE463">
        <v>1</v>
      </c>
      <c r="AF463" t="str" cm="1">
        <f t="array" ref="AF463">_xlfn.IFS(AE463&gt;=10,"Veteran (10y+)",AE463&gt;=3,"Established (3-10y)",AE463&lt;3,"New Hire (&lt;3y)")</f>
        <v>New Hire (&lt;3y)</v>
      </c>
      <c r="AG463">
        <v>0</v>
      </c>
      <c r="AH463">
        <v>0</v>
      </c>
      <c r="AI463">
        <v>0</v>
      </c>
    </row>
    <row r="464" spans="1:35">
      <c r="A464">
        <v>32</v>
      </c>
      <c r="B464" t="str">
        <f t="shared" si="7"/>
        <v>Middle Aged</v>
      </c>
      <c r="C464">
        <v>1</v>
      </c>
      <c r="D464" t="s">
        <v>36</v>
      </c>
      <c r="E464">
        <v>1033</v>
      </c>
      <c r="F464" t="s">
        <v>45</v>
      </c>
      <c r="G464">
        <v>9</v>
      </c>
      <c r="H464" t="str" cm="1">
        <f t="array" ref="H464">_xlfn.IFS(G464&gt;15,"Long Commute",G464&gt;5,"Moderate",G464&lt;=5,"Near Office")</f>
        <v>Moderate</v>
      </c>
      <c r="I464" t="s">
        <v>72</v>
      </c>
      <c r="J464" t="s">
        <v>51</v>
      </c>
      <c r="K464">
        <v>1</v>
      </c>
      <c r="L464" t="s">
        <v>39</v>
      </c>
      <c r="M464">
        <v>41</v>
      </c>
      <c r="N464">
        <v>3</v>
      </c>
      <c r="O464">
        <v>1</v>
      </c>
      <c r="P464" t="s">
        <v>50</v>
      </c>
      <c r="Q464" t="s">
        <v>82</v>
      </c>
      <c r="R464" t="s">
        <v>41</v>
      </c>
      <c r="S464">
        <v>4200</v>
      </c>
      <c r="T464" t="str" cm="1">
        <f t="array" ref="T464">_xlfn.IFS(S464&gt;=10000,"High (&gt;10k)",S464&gt;=5000,"Medium (5k-10k)",S464&lt;5000,"Low (&lt;5k)")</f>
        <v>Low (&lt;5k)</v>
      </c>
      <c r="U464">
        <v>10224</v>
      </c>
      <c r="V464">
        <v>7</v>
      </c>
      <c r="W464" t="s">
        <v>43</v>
      </c>
      <c r="X464">
        <v>22</v>
      </c>
      <c r="Y464">
        <v>4</v>
      </c>
      <c r="Z464">
        <v>1</v>
      </c>
      <c r="AA464">
        <v>0</v>
      </c>
      <c r="AB464">
        <v>10</v>
      </c>
      <c r="AC464">
        <v>2</v>
      </c>
      <c r="AD464" t="s">
        <v>79</v>
      </c>
      <c r="AE464">
        <v>5</v>
      </c>
      <c r="AF464" t="str" cm="1">
        <f t="array" ref="AF464">_xlfn.IFS(AE464&gt;=10,"Veteran (10y+)",AE464&gt;=3,"Established (3-10y)",AE464&lt;3,"New Hire (&lt;3y)")</f>
        <v>Established (3-10y)</v>
      </c>
      <c r="AG464">
        <v>4</v>
      </c>
      <c r="AH464">
        <v>0</v>
      </c>
      <c r="AI464">
        <v>4</v>
      </c>
    </row>
    <row r="465" spans="1:35">
      <c r="A465">
        <v>32</v>
      </c>
      <c r="B465" t="str">
        <f t="shared" si="7"/>
        <v>Middle Aged</v>
      </c>
      <c r="C465">
        <v>0</v>
      </c>
      <c r="D465" t="s">
        <v>44</v>
      </c>
      <c r="E465">
        <v>689</v>
      </c>
      <c r="F465" t="s">
        <v>37</v>
      </c>
      <c r="G465">
        <v>9</v>
      </c>
      <c r="H465" t="str" cm="1">
        <f t="array" ref="H465">_xlfn.IFS(G465&gt;15,"Long Commute",G465&gt;5,"Moderate",G465&lt;=5,"Near Office")</f>
        <v>Moderate</v>
      </c>
      <c r="I465" t="s">
        <v>76</v>
      </c>
      <c r="J465" t="s">
        <v>51</v>
      </c>
      <c r="K465">
        <v>4</v>
      </c>
      <c r="L465" t="s">
        <v>46</v>
      </c>
      <c r="M465">
        <v>35</v>
      </c>
      <c r="N465">
        <v>1</v>
      </c>
      <c r="O465">
        <v>2</v>
      </c>
      <c r="P465" t="s">
        <v>40</v>
      </c>
      <c r="Q465" t="s">
        <v>77</v>
      </c>
      <c r="R465" t="s">
        <v>52</v>
      </c>
      <c r="S465">
        <v>4668</v>
      </c>
      <c r="T465" t="str" cm="1">
        <f t="array" ref="T465">_xlfn.IFS(S465&gt;=10000,"High (&gt;10k)",S465&gt;=5000,"Medium (5k-10k)",S465&lt;5000,"Low (&lt;5k)")</f>
        <v>Low (&lt;5k)</v>
      </c>
      <c r="U465">
        <v>22812</v>
      </c>
      <c r="V465">
        <v>0</v>
      </c>
      <c r="W465" t="s">
        <v>43</v>
      </c>
      <c r="X465">
        <v>17</v>
      </c>
      <c r="Y465">
        <v>3</v>
      </c>
      <c r="Z465">
        <v>4</v>
      </c>
      <c r="AA465">
        <v>3</v>
      </c>
      <c r="AB465">
        <v>9</v>
      </c>
      <c r="AC465">
        <v>2</v>
      </c>
      <c r="AD465" t="s">
        <v>79</v>
      </c>
      <c r="AE465">
        <v>8</v>
      </c>
      <c r="AF465" t="str" cm="1">
        <f t="array" ref="AF465">_xlfn.IFS(AE465&gt;=10,"Veteran (10y+)",AE465&gt;=3,"Established (3-10y)",AE465&lt;3,"New Hire (&lt;3y)")</f>
        <v>Established (3-10y)</v>
      </c>
      <c r="AG465">
        <v>7</v>
      </c>
      <c r="AH465">
        <v>0</v>
      </c>
      <c r="AI465">
        <v>7</v>
      </c>
    </row>
    <row r="466" spans="1:35">
      <c r="A466">
        <v>32</v>
      </c>
      <c r="B466" t="str">
        <f t="shared" si="7"/>
        <v>Middle Aged</v>
      </c>
      <c r="C466">
        <v>0</v>
      </c>
      <c r="D466" t="s">
        <v>44</v>
      </c>
      <c r="E466">
        <v>967</v>
      </c>
      <c r="F466" t="s">
        <v>37</v>
      </c>
      <c r="G466">
        <v>8</v>
      </c>
      <c r="H466" t="str" cm="1">
        <f t="array" ref="H466">_xlfn.IFS(G466&gt;15,"Long Commute",G466&gt;5,"Moderate",G466&lt;=5,"Near Office")</f>
        <v>Moderate</v>
      </c>
      <c r="I466" t="s">
        <v>72</v>
      </c>
      <c r="J466" t="s">
        <v>59</v>
      </c>
      <c r="K466">
        <v>2</v>
      </c>
      <c r="L466" t="s">
        <v>39</v>
      </c>
      <c r="M466">
        <v>43</v>
      </c>
      <c r="N466">
        <v>3</v>
      </c>
      <c r="O466">
        <v>3</v>
      </c>
      <c r="P466" t="s">
        <v>40</v>
      </c>
      <c r="Q466" t="s">
        <v>77</v>
      </c>
      <c r="R466" t="s">
        <v>41</v>
      </c>
      <c r="S466">
        <v>8998</v>
      </c>
      <c r="T466" t="str" cm="1">
        <f t="array" ref="T466">_xlfn.IFS(S466&gt;=10000,"High (&gt;10k)",S466&gt;=5000,"Medium (5k-10k)",S466&lt;5000,"Low (&lt;5k)")</f>
        <v>Medium (5k-10k)</v>
      </c>
      <c r="U466">
        <v>15589</v>
      </c>
      <c r="V466">
        <v>1</v>
      </c>
      <c r="W466" t="s">
        <v>43</v>
      </c>
      <c r="X466">
        <v>14</v>
      </c>
      <c r="Y466">
        <v>3</v>
      </c>
      <c r="Z466">
        <v>4</v>
      </c>
      <c r="AA466">
        <v>0</v>
      </c>
      <c r="AB466">
        <v>9</v>
      </c>
      <c r="AC466">
        <v>2</v>
      </c>
      <c r="AD466" t="s">
        <v>74</v>
      </c>
      <c r="AE466">
        <v>9</v>
      </c>
      <c r="AF466" t="str" cm="1">
        <f t="array" ref="AF466">_xlfn.IFS(AE466&gt;=10,"Veteran (10y+)",AE466&gt;=3,"Established (3-10y)",AE466&lt;3,"New Hire (&lt;3y)")</f>
        <v>Established (3-10y)</v>
      </c>
      <c r="AG466">
        <v>8</v>
      </c>
      <c r="AH466">
        <v>3</v>
      </c>
      <c r="AI466">
        <v>7</v>
      </c>
    </row>
    <row r="467" spans="1:35">
      <c r="A467">
        <v>32</v>
      </c>
      <c r="B467" t="str">
        <f t="shared" si="7"/>
        <v>Middle Aged</v>
      </c>
      <c r="C467">
        <v>0</v>
      </c>
      <c r="D467" t="s">
        <v>36</v>
      </c>
      <c r="E467">
        <v>120</v>
      </c>
      <c r="F467" t="s">
        <v>45</v>
      </c>
      <c r="G467">
        <v>6</v>
      </c>
      <c r="H467" t="str" cm="1">
        <f t="array" ref="H467">_xlfn.IFS(G467&gt;15,"Long Commute",G467&gt;5,"Moderate",G467&lt;=5,"Near Office")</f>
        <v>Moderate</v>
      </c>
      <c r="I467" t="s">
        <v>84</v>
      </c>
      <c r="J467" t="s">
        <v>38</v>
      </c>
      <c r="K467">
        <v>3</v>
      </c>
      <c r="L467" t="s">
        <v>46</v>
      </c>
      <c r="M467">
        <v>43</v>
      </c>
      <c r="N467">
        <v>3</v>
      </c>
      <c r="O467">
        <v>1</v>
      </c>
      <c r="P467" t="s">
        <v>47</v>
      </c>
      <c r="Q467" t="s">
        <v>73</v>
      </c>
      <c r="R467" t="s">
        <v>41</v>
      </c>
      <c r="S467">
        <v>3038</v>
      </c>
      <c r="T467" t="str" cm="1">
        <f t="array" ref="T467">_xlfn.IFS(S467&gt;=10000,"High (&gt;10k)",S467&gt;=5000,"Medium (5k-10k)",S467&lt;5000,"Low (&lt;5k)")</f>
        <v>Low (&lt;5k)</v>
      </c>
      <c r="U467">
        <v>12430</v>
      </c>
      <c r="V467">
        <v>3</v>
      </c>
      <c r="W467" t="s">
        <v>43</v>
      </c>
      <c r="X467">
        <v>20</v>
      </c>
      <c r="Y467">
        <v>4</v>
      </c>
      <c r="Z467">
        <v>1</v>
      </c>
      <c r="AA467">
        <v>0</v>
      </c>
      <c r="AB467">
        <v>8</v>
      </c>
      <c r="AC467">
        <v>2</v>
      </c>
      <c r="AD467" t="s">
        <v>74</v>
      </c>
      <c r="AE467">
        <v>5</v>
      </c>
      <c r="AF467" t="str" cm="1">
        <f t="array" ref="AF467">_xlfn.IFS(AE467&gt;=10,"Veteran (10y+)",AE467&gt;=3,"Established (3-10y)",AE467&lt;3,"New Hire (&lt;3y)")</f>
        <v>Established (3-10y)</v>
      </c>
      <c r="AG467">
        <v>4</v>
      </c>
      <c r="AH467">
        <v>1</v>
      </c>
      <c r="AI467">
        <v>4</v>
      </c>
    </row>
    <row r="468" spans="1:35">
      <c r="A468">
        <v>32</v>
      </c>
      <c r="B468" t="str">
        <f t="shared" si="7"/>
        <v>Middle Aged</v>
      </c>
      <c r="C468">
        <v>1</v>
      </c>
      <c r="D468" t="s">
        <v>36</v>
      </c>
      <c r="E468">
        <v>1045</v>
      </c>
      <c r="F468" t="s">
        <v>37</v>
      </c>
      <c r="G468">
        <v>4</v>
      </c>
      <c r="H468" t="str" cm="1">
        <f t="array" ref="H468">_xlfn.IFS(G468&gt;15,"Long Commute",G468&gt;5,"Moderate",G468&lt;=5,"Near Office")</f>
        <v>Near Office</v>
      </c>
      <c r="I468" t="s">
        <v>83</v>
      </c>
      <c r="J468" t="s">
        <v>51</v>
      </c>
      <c r="K468">
        <v>4</v>
      </c>
      <c r="L468" t="s">
        <v>46</v>
      </c>
      <c r="M468">
        <v>32</v>
      </c>
      <c r="N468">
        <v>1</v>
      </c>
      <c r="O468">
        <v>3</v>
      </c>
      <c r="P468" t="s">
        <v>40</v>
      </c>
      <c r="Q468" t="s">
        <v>77</v>
      </c>
      <c r="R468" t="s">
        <v>48</v>
      </c>
      <c r="S468">
        <v>10400</v>
      </c>
      <c r="T468" t="str" cm="1">
        <f t="array" ref="T468">_xlfn.IFS(S468&gt;=10000,"High (&gt;10k)",S468&gt;=5000,"Medium (5k-10k)",S468&lt;5000,"Low (&lt;5k)")</f>
        <v>High (&gt;10k)</v>
      </c>
      <c r="U468">
        <v>25812</v>
      </c>
      <c r="V468">
        <v>1</v>
      </c>
      <c r="W468" t="s">
        <v>43</v>
      </c>
      <c r="X468">
        <v>11</v>
      </c>
      <c r="Y468">
        <v>3</v>
      </c>
      <c r="Z468">
        <v>3</v>
      </c>
      <c r="AA468">
        <v>0</v>
      </c>
      <c r="AB468">
        <v>14</v>
      </c>
      <c r="AC468">
        <v>2</v>
      </c>
      <c r="AD468" t="s">
        <v>81</v>
      </c>
      <c r="AE468">
        <v>14</v>
      </c>
      <c r="AF468" t="str" cm="1">
        <f t="array" ref="AF468">_xlfn.IFS(AE468&gt;=10,"Veteran (10y+)",AE468&gt;=3,"Established (3-10y)",AE468&lt;3,"New Hire (&lt;3y)")</f>
        <v>Veteran (10y+)</v>
      </c>
      <c r="AG468">
        <v>8</v>
      </c>
      <c r="AH468">
        <v>9</v>
      </c>
      <c r="AI468">
        <v>8</v>
      </c>
    </row>
    <row r="469" spans="1:35">
      <c r="A469">
        <v>32</v>
      </c>
      <c r="B469" t="str">
        <f t="shared" si="7"/>
        <v>Middle Aged</v>
      </c>
      <c r="C469">
        <v>0</v>
      </c>
      <c r="D469" t="s">
        <v>36</v>
      </c>
      <c r="E469">
        <v>1401</v>
      </c>
      <c r="F469" t="s">
        <v>37</v>
      </c>
      <c r="G469">
        <v>4</v>
      </c>
      <c r="H469" t="str" cm="1">
        <f t="array" ref="H469">_xlfn.IFS(G469&gt;15,"Long Commute",G469&gt;5,"Moderate",G469&lt;=5,"Near Office")</f>
        <v>Near Office</v>
      </c>
      <c r="I469" t="s">
        <v>76</v>
      </c>
      <c r="J469" t="s">
        <v>38</v>
      </c>
      <c r="K469">
        <v>3</v>
      </c>
      <c r="L469" t="s">
        <v>39</v>
      </c>
      <c r="M469">
        <v>56</v>
      </c>
      <c r="N469">
        <v>3</v>
      </c>
      <c r="O469">
        <v>1</v>
      </c>
      <c r="P469" t="s">
        <v>57</v>
      </c>
      <c r="Q469" t="s">
        <v>75</v>
      </c>
      <c r="R469" t="s">
        <v>48</v>
      </c>
      <c r="S469">
        <v>3931</v>
      </c>
      <c r="T469" t="str" cm="1">
        <f t="array" ref="T469">_xlfn.IFS(S469&gt;=10000,"High (&gt;10k)",S469&gt;=5000,"Medium (5k-10k)",S469&lt;5000,"Low (&lt;5k)")</f>
        <v>Low (&lt;5k)</v>
      </c>
      <c r="U469">
        <v>20990</v>
      </c>
      <c r="V469">
        <v>2</v>
      </c>
      <c r="W469" t="s">
        <v>43</v>
      </c>
      <c r="X469">
        <v>11</v>
      </c>
      <c r="Y469">
        <v>3</v>
      </c>
      <c r="Z469">
        <v>1</v>
      </c>
      <c r="AA469">
        <v>1</v>
      </c>
      <c r="AB469">
        <v>6</v>
      </c>
      <c r="AC469">
        <v>5</v>
      </c>
      <c r="AD469" t="s">
        <v>74</v>
      </c>
      <c r="AE469">
        <v>4</v>
      </c>
      <c r="AF469" t="str" cm="1">
        <f t="array" ref="AF469">_xlfn.IFS(AE469&gt;=10,"Veteran (10y+)",AE469&gt;=3,"Established (3-10y)",AE469&lt;3,"New Hire (&lt;3y)")</f>
        <v>Established (3-10y)</v>
      </c>
      <c r="AG469">
        <v>3</v>
      </c>
      <c r="AH469">
        <v>1</v>
      </c>
      <c r="AI469">
        <v>2</v>
      </c>
    </row>
    <row r="470" spans="1:35">
      <c r="A470">
        <v>32</v>
      </c>
      <c r="B470" t="str">
        <f t="shared" si="7"/>
        <v>Middle Aged</v>
      </c>
      <c r="C470">
        <v>1</v>
      </c>
      <c r="D470" t="s">
        <v>36</v>
      </c>
      <c r="E470">
        <v>515</v>
      </c>
      <c r="F470" t="s">
        <v>45</v>
      </c>
      <c r="G470">
        <v>1</v>
      </c>
      <c r="H470" t="str" cm="1">
        <f t="array" ref="H470">_xlfn.IFS(G470&gt;15,"Long Commute",G470&gt;5,"Moderate",G470&lt;=5,"Near Office")</f>
        <v>Near Office</v>
      </c>
      <c r="I470" t="s">
        <v>72</v>
      </c>
      <c r="J470" t="s">
        <v>38</v>
      </c>
      <c r="K470">
        <v>4</v>
      </c>
      <c r="L470" t="s">
        <v>46</v>
      </c>
      <c r="M470">
        <v>62</v>
      </c>
      <c r="N470">
        <v>2</v>
      </c>
      <c r="O470">
        <v>1</v>
      </c>
      <c r="P470" t="s">
        <v>50</v>
      </c>
      <c r="Q470" t="s">
        <v>73</v>
      </c>
      <c r="R470" t="s">
        <v>41</v>
      </c>
      <c r="S470">
        <v>3730</v>
      </c>
      <c r="T470" t="str" cm="1">
        <f t="array" ref="T470">_xlfn.IFS(S470&gt;=10000,"High (&gt;10k)",S470&gt;=5000,"Medium (5k-10k)",S470&lt;5000,"Low (&lt;5k)")</f>
        <v>Low (&lt;5k)</v>
      </c>
      <c r="U470">
        <v>9571</v>
      </c>
      <c r="V470">
        <v>0</v>
      </c>
      <c r="W470" t="s">
        <v>35</v>
      </c>
      <c r="X470">
        <v>14</v>
      </c>
      <c r="Y470">
        <v>3</v>
      </c>
      <c r="Z470">
        <v>4</v>
      </c>
      <c r="AA470">
        <v>0</v>
      </c>
      <c r="AB470">
        <v>4</v>
      </c>
      <c r="AC470">
        <v>2</v>
      </c>
      <c r="AD470" t="s">
        <v>80</v>
      </c>
      <c r="AE470">
        <v>3</v>
      </c>
      <c r="AF470" t="str" cm="1">
        <f t="array" ref="AF470">_xlfn.IFS(AE470&gt;=10,"Veteran (10y+)",AE470&gt;=3,"Established (3-10y)",AE470&lt;3,"New Hire (&lt;3y)")</f>
        <v>Established (3-10y)</v>
      </c>
      <c r="AG470">
        <v>2</v>
      </c>
      <c r="AH470">
        <v>1</v>
      </c>
      <c r="AI470">
        <v>2</v>
      </c>
    </row>
    <row r="471" spans="1:35">
      <c r="A471">
        <v>32</v>
      </c>
      <c r="B471" t="str">
        <f t="shared" si="7"/>
        <v>Middle Aged</v>
      </c>
      <c r="C471">
        <v>0</v>
      </c>
      <c r="D471" t="s">
        <v>55</v>
      </c>
      <c r="E471">
        <v>976</v>
      </c>
      <c r="F471" t="s">
        <v>37</v>
      </c>
      <c r="G471">
        <v>26</v>
      </c>
      <c r="H471" t="str" cm="1">
        <f t="array" ref="H471">_xlfn.IFS(G471&gt;15,"Long Commute",G471&gt;5,"Moderate",G471&lt;=5,"Near Office")</f>
        <v>Long Commute</v>
      </c>
      <c r="I471" t="s">
        <v>83</v>
      </c>
      <c r="J471" t="s">
        <v>59</v>
      </c>
      <c r="K471">
        <v>3</v>
      </c>
      <c r="L471" t="s">
        <v>46</v>
      </c>
      <c r="M471">
        <v>100</v>
      </c>
      <c r="N471">
        <v>3</v>
      </c>
      <c r="O471">
        <v>2</v>
      </c>
      <c r="P471" t="s">
        <v>40</v>
      </c>
      <c r="Q471" t="s">
        <v>77</v>
      </c>
      <c r="R471" t="s">
        <v>48</v>
      </c>
      <c r="S471">
        <v>4465</v>
      </c>
      <c r="T471" t="str" cm="1">
        <f t="array" ref="T471">_xlfn.IFS(S471&gt;=10000,"High (&gt;10k)",S471&gt;=5000,"Medium (5k-10k)",S471&lt;5000,"Low (&lt;5k)")</f>
        <v>Low (&lt;5k)</v>
      </c>
      <c r="U471">
        <v>12069</v>
      </c>
      <c r="V471">
        <v>0</v>
      </c>
      <c r="W471" t="s">
        <v>43</v>
      </c>
      <c r="X471">
        <v>18</v>
      </c>
      <c r="Y471">
        <v>3</v>
      </c>
      <c r="Z471">
        <v>1</v>
      </c>
      <c r="AA471">
        <v>0</v>
      </c>
      <c r="AB471">
        <v>4</v>
      </c>
      <c r="AC471">
        <v>2</v>
      </c>
      <c r="AD471" t="s">
        <v>74</v>
      </c>
      <c r="AE471">
        <v>3</v>
      </c>
      <c r="AF471" t="str" cm="1">
        <f t="array" ref="AF471">_xlfn.IFS(AE471&gt;=10,"Veteran (10y+)",AE471&gt;=3,"Established (3-10y)",AE471&lt;3,"New Hire (&lt;3y)")</f>
        <v>Established (3-10y)</v>
      </c>
      <c r="AG471">
        <v>2</v>
      </c>
      <c r="AH471">
        <v>2</v>
      </c>
      <c r="AI471">
        <v>2</v>
      </c>
    </row>
    <row r="472" spans="1:35">
      <c r="A472">
        <v>32</v>
      </c>
      <c r="B472" t="str">
        <f t="shared" si="7"/>
        <v>Middle Aged</v>
      </c>
      <c r="C472">
        <v>0</v>
      </c>
      <c r="D472" t="s">
        <v>44</v>
      </c>
      <c r="E472">
        <v>1311</v>
      </c>
      <c r="F472" t="s">
        <v>45</v>
      </c>
      <c r="G472">
        <v>7</v>
      </c>
      <c r="H472" t="str" cm="1">
        <f t="array" ref="H472">_xlfn.IFS(G472&gt;15,"Long Commute",G472&gt;5,"Moderate",G472&lt;=5,"Near Office")</f>
        <v>Moderate</v>
      </c>
      <c r="I472" t="s">
        <v>72</v>
      </c>
      <c r="J472" t="s">
        <v>38</v>
      </c>
      <c r="K472">
        <v>2</v>
      </c>
      <c r="L472" t="s">
        <v>46</v>
      </c>
      <c r="M472">
        <v>100</v>
      </c>
      <c r="N472">
        <v>4</v>
      </c>
      <c r="O472">
        <v>1</v>
      </c>
      <c r="P472" t="s">
        <v>50</v>
      </c>
      <c r="Q472" t="s">
        <v>75</v>
      </c>
      <c r="R472" t="s">
        <v>48</v>
      </c>
      <c r="S472">
        <v>2794</v>
      </c>
      <c r="T472" t="str" cm="1">
        <f t="array" ref="T472">_xlfn.IFS(S472&gt;=10000,"High (&gt;10k)",S472&gt;=5000,"Medium (5k-10k)",S472&lt;5000,"Low (&lt;5k)")</f>
        <v>Low (&lt;5k)</v>
      </c>
      <c r="U472">
        <v>26062</v>
      </c>
      <c r="V472">
        <v>1</v>
      </c>
      <c r="W472" t="s">
        <v>43</v>
      </c>
      <c r="X472">
        <v>20</v>
      </c>
      <c r="Y472">
        <v>4</v>
      </c>
      <c r="Z472">
        <v>3</v>
      </c>
      <c r="AA472">
        <v>0</v>
      </c>
      <c r="AB472">
        <v>5</v>
      </c>
      <c r="AC472">
        <v>3</v>
      </c>
      <c r="AD472" t="s">
        <v>80</v>
      </c>
      <c r="AE472">
        <v>5</v>
      </c>
      <c r="AF472" t="str" cm="1">
        <f t="array" ref="AF472">_xlfn.IFS(AE472&gt;=10,"Veteran (10y+)",AE472&gt;=3,"Established (3-10y)",AE472&lt;3,"New Hire (&lt;3y)")</f>
        <v>Established (3-10y)</v>
      </c>
      <c r="AG472">
        <v>1</v>
      </c>
      <c r="AH472">
        <v>0</v>
      </c>
      <c r="AI472">
        <v>3</v>
      </c>
    </row>
    <row r="473" spans="1:35">
      <c r="A473">
        <v>32</v>
      </c>
      <c r="B473" t="str">
        <f t="shared" si="7"/>
        <v>Middle Aged</v>
      </c>
      <c r="C473">
        <v>0</v>
      </c>
      <c r="D473" t="s">
        <v>36</v>
      </c>
      <c r="E473">
        <v>128</v>
      </c>
      <c r="F473" t="s">
        <v>45</v>
      </c>
      <c r="G473">
        <v>2</v>
      </c>
      <c r="H473" t="str" cm="1">
        <f t="array" ref="H473">_xlfn.IFS(G473&gt;15,"Long Commute",G473&gt;5,"Moderate",G473&lt;=5,"Near Office")</f>
        <v>Near Office</v>
      </c>
      <c r="I473" t="s">
        <v>78</v>
      </c>
      <c r="J473" t="s">
        <v>60</v>
      </c>
      <c r="K473">
        <v>4</v>
      </c>
      <c r="L473" t="s">
        <v>46</v>
      </c>
      <c r="M473">
        <v>84</v>
      </c>
      <c r="N473">
        <v>2</v>
      </c>
      <c r="O473">
        <v>2</v>
      </c>
      <c r="P473" t="s">
        <v>50</v>
      </c>
      <c r="Q473" t="s">
        <v>82</v>
      </c>
      <c r="R473" t="s">
        <v>41</v>
      </c>
      <c r="S473">
        <v>2176</v>
      </c>
      <c r="T473" t="str" cm="1">
        <f t="array" ref="T473">_xlfn.IFS(S473&gt;=10000,"High (&gt;10k)",S473&gt;=5000,"Medium (5k-10k)",S473&lt;5000,"Low (&lt;5k)")</f>
        <v>Low (&lt;5k)</v>
      </c>
      <c r="U473">
        <v>19737</v>
      </c>
      <c r="V473">
        <v>4</v>
      </c>
      <c r="W473" t="s">
        <v>43</v>
      </c>
      <c r="X473">
        <v>13</v>
      </c>
      <c r="Y473">
        <v>3</v>
      </c>
      <c r="Z473">
        <v>4</v>
      </c>
      <c r="AA473">
        <v>0</v>
      </c>
      <c r="AB473">
        <v>9</v>
      </c>
      <c r="AC473">
        <v>5</v>
      </c>
      <c r="AD473" t="s">
        <v>74</v>
      </c>
      <c r="AE473">
        <v>6</v>
      </c>
      <c r="AF473" t="str" cm="1">
        <f t="array" ref="AF473">_xlfn.IFS(AE473&gt;=10,"Veteran (10y+)",AE473&gt;=3,"Established (3-10y)",AE473&lt;3,"New Hire (&lt;3y)")</f>
        <v>Established (3-10y)</v>
      </c>
      <c r="AG473">
        <v>2</v>
      </c>
      <c r="AH473">
        <v>0</v>
      </c>
      <c r="AI473">
        <v>4</v>
      </c>
    </row>
    <row r="474" spans="1:35">
      <c r="A474">
        <v>32</v>
      </c>
      <c r="B474" t="str">
        <f t="shared" si="7"/>
        <v>Middle Aged</v>
      </c>
      <c r="C474">
        <v>0</v>
      </c>
      <c r="D474" t="s">
        <v>36</v>
      </c>
      <c r="E474">
        <v>906</v>
      </c>
      <c r="F474" t="s">
        <v>37</v>
      </c>
      <c r="G474">
        <v>7</v>
      </c>
      <c r="H474" t="str" cm="1">
        <f t="array" ref="H474">_xlfn.IFS(G474&gt;15,"Long Commute",G474&gt;5,"Moderate",G474&lt;=5,"Near Office")</f>
        <v>Moderate</v>
      </c>
      <c r="I474" t="s">
        <v>72</v>
      </c>
      <c r="J474" t="s">
        <v>38</v>
      </c>
      <c r="K474">
        <v>4</v>
      </c>
      <c r="L474" t="s">
        <v>46</v>
      </c>
      <c r="M474">
        <v>91</v>
      </c>
      <c r="N474">
        <v>2</v>
      </c>
      <c r="O474">
        <v>2</v>
      </c>
      <c r="P474" t="s">
        <v>40</v>
      </c>
      <c r="Q474" t="s">
        <v>73</v>
      </c>
      <c r="R474" t="s">
        <v>48</v>
      </c>
      <c r="S474">
        <v>5484</v>
      </c>
      <c r="T474" t="str" cm="1">
        <f t="array" ref="T474">_xlfn.IFS(S474&gt;=10000,"High (&gt;10k)",S474&gt;=5000,"Medium (5k-10k)",S474&lt;5000,"Low (&lt;5k)")</f>
        <v>Medium (5k-10k)</v>
      </c>
      <c r="U474">
        <v>16985</v>
      </c>
      <c r="V474">
        <v>1</v>
      </c>
      <c r="W474" t="s">
        <v>43</v>
      </c>
      <c r="X474">
        <v>14</v>
      </c>
      <c r="Y474">
        <v>3</v>
      </c>
      <c r="Z474">
        <v>3</v>
      </c>
      <c r="AA474">
        <v>1</v>
      </c>
      <c r="AB474">
        <v>13</v>
      </c>
      <c r="AC474">
        <v>3</v>
      </c>
      <c r="AD474" t="s">
        <v>81</v>
      </c>
      <c r="AE474">
        <v>13</v>
      </c>
      <c r="AF474" t="str" cm="1">
        <f t="array" ref="AF474">_xlfn.IFS(AE474&gt;=10,"Veteran (10y+)",AE474&gt;=3,"Established (3-10y)",AE474&lt;3,"New Hire (&lt;3y)")</f>
        <v>Veteran (10y+)</v>
      </c>
      <c r="AG474">
        <v>8</v>
      </c>
      <c r="AH474">
        <v>4</v>
      </c>
      <c r="AI474">
        <v>8</v>
      </c>
    </row>
    <row r="475" spans="1:35">
      <c r="A475">
        <v>32</v>
      </c>
      <c r="B475" t="str">
        <f t="shared" si="7"/>
        <v>Middle Aged</v>
      </c>
      <c r="C475">
        <v>0</v>
      </c>
      <c r="D475" t="s">
        <v>36</v>
      </c>
      <c r="E475">
        <v>588</v>
      </c>
      <c r="F475" t="s">
        <v>37</v>
      </c>
      <c r="G475">
        <v>8</v>
      </c>
      <c r="H475" t="str" cm="1">
        <f t="array" ref="H475">_xlfn.IFS(G475&gt;15,"Long Commute",G475&gt;5,"Moderate",G475&lt;=5,"Near Office")</f>
        <v>Moderate</v>
      </c>
      <c r="I475" t="s">
        <v>76</v>
      </c>
      <c r="J475" t="s">
        <v>60</v>
      </c>
      <c r="K475">
        <v>3</v>
      </c>
      <c r="L475" t="s">
        <v>39</v>
      </c>
      <c r="M475">
        <v>65</v>
      </c>
      <c r="N475">
        <v>2</v>
      </c>
      <c r="O475">
        <v>2</v>
      </c>
      <c r="P475" t="s">
        <v>40</v>
      </c>
      <c r="Q475" t="s">
        <v>75</v>
      </c>
      <c r="R475" t="s">
        <v>48</v>
      </c>
      <c r="S475">
        <v>5228</v>
      </c>
      <c r="T475" t="str" cm="1">
        <f t="array" ref="T475">_xlfn.IFS(S475&gt;=10000,"High (&gt;10k)",S475&gt;=5000,"Medium (5k-10k)",S475&lt;5000,"Low (&lt;5k)")</f>
        <v>Medium (5k-10k)</v>
      </c>
      <c r="U475">
        <v>24624</v>
      </c>
      <c r="V475">
        <v>1</v>
      </c>
      <c r="W475" t="s">
        <v>35</v>
      </c>
      <c r="X475">
        <v>11</v>
      </c>
      <c r="Y475">
        <v>3</v>
      </c>
      <c r="Z475">
        <v>4</v>
      </c>
      <c r="AA475">
        <v>0</v>
      </c>
      <c r="AB475">
        <v>13</v>
      </c>
      <c r="AC475">
        <v>2</v>
      </c>
      <c r="AD475" t="s">
        <v>74</v>
      </c>
      <c r="AE475">
        <v>13</v>
      </c>
      <c r="AF475" t="str" cm="1">
        <f t="array" ref="AF475">_xlfn.IFS(AE475&gt;=10,"Veteran (10y+)",AE475&gt;=3,"Established (3-10y)",AE475&lt;3,"New Hire (&lt;3y)")</f>
        <v>Veteran (10y+)</v>
      </c>
      <c r="AG475">
        <v>12</v>
      </c>
      <c r="AH475">
        <v>11</v>
      </c>
      <c r="AI475">
        <v>9</v>
      </c>
    </row>
    <row r="476" spans="1:35">
      <c r="A476">
        <v>32</v>
      </c>
      <c r="B476" t="str">
        <f t="shared" si="7"/>
        <v>Middle Aged</v>
      </c>
      <c r="C476">
        <v>0</v>
      </c>
      <c r="D476" t="s">
        <v>36</v>
      </c>
      <c r="E476">
        <v>1018</v>
      </c>
      <c r="F476" t="s">
        <v>45</v>
      </c>
      <c r="G476">
        <v>2</v>
      </c>
      <c r="H476" t="str" cm="1">
        <f t="array" ref="H476">_xlfn.IFS(G476&gt;15,"Long Commute",G476&gt;5,"Moderate",G476&lt;=5,"Near Office")</f>
        <v>Near Office</v>
      </c>
      <c r="I476" t="s">
        <v>83</v>
      </c>
      <c r="J476" t="s">
        <v>51</v>
      </c>
      <c r="K476">
        <v>1</v>
      </c>
      <c r="L476" t="s">
        <v>39</v>
      </c>
      <c r="M476">
        <v>74</v>
      </c>
      <c r="N476">
        <v>4</v>
      </c>
      <c r="O476">
        <v>2</v>
      </c>
      <c r="P476" t="s">
        <v>47</v>
      </c>
      <c r="Q476" t="s">
        <v>77</v>
      </c>
      <c r="R476" t="s">
        <v>41</v>
      </c>
      <c r="S476">
        <v>5055</v>
      </c>
      <c r="T476" t="str" cm="1">
        <f t="array" ref="T476">_xlfn.IFS(S476&gt;=10000,"High (&gt;10k)",S476&gt;=5000,"Medium (5k-10k)",S476&lt;5000,"Low (&lt;5k)")</f>
        <v>Medium (5k-10k)</v>
      </c>
      <c r="U476">
        <v>10557</v>
      </c>
      <c r="V476">
        <v>7</v>
      </c>
      <c r="W476" t="s">
        <v>43</v>
      </c>
      <c r="X476">
        <v>16</v>
      </c>
      <c r="Y476">
        <v>3</v>
      </c>
      <c r="Z476">
        <v>3</v>
      </c>
      <c r="AA476">
        <v>0</v>
      </c>
      <c r="AB476">
        <v>10</v>
      </c>
      <c r="AC476">
        <v>0</v>
      </c>
      <c r="AD476" t="s">
        <v>81</v>
      </c>
      <c r="AE476">
        <v>7</v>
      </c>
      <c r="AF476" t="str" cm="1">
        <f t="array" ref="AF476">_xlfn.IFS(AE476&gt;=10,"Veteran (10y+)",AE476&gt;=3,"Established (3-10y)",AE476&lt;3,"New Hire (&lt;3y)")</f>
        <v>Established (3-10y)</v>
      </c>
      <c r="AG476">
        <v>7</v>
      </c>
      <c r="AH476">
        <v>0</v>
      </c>
      <c r="AI476">
        <v>7</v>
      </c>
    </row>
    <row r="477" spans="1:35">
      <c r="A477">
        <v>32</v>
      </c>
      <c r="B477" t="str">
        <f t="shared" si="7"/>
        <v>Middle Aged</v>
      </c>
      <c r="C477">
        <v>0</v>
      </c>
      <c r="D477" t="s">
        <v>36</v>
      </c>
      <c r="E477">
        <v>1062</v>
      </c>
      <c r="F477" t="s">
        <v>45</v>
      </c>
      <c r="G477">
        <v>2</v>
      </c>
      <c r="H477" t="str" cm="1">
        <f t="array" ref="H477">_xlfn.IFS(G477&gt;15,"Long Commute",G477&gt;5,"Moderate",G477&lt;=5,"Near Office")</f>
        <v>Near Office</v>
      </c>
      <c r="I477" t="s">
        <v>72</v>
      </c>
      <c r="J477" t="s">
        <v>51</v>
      </c>
      <c r="K477">
        <v>3</v>
      </c>
      <c r="L477" t="s">
        <v>39</v>
      </c>
      <c r="M477">
        <v>75</v>
      </c>
      <c r="N477">
        <v>3</v>
      </c>
      <c r="O477">
        <v>1</v>
      </c>
      <c r="P477" t="s">
        <v>50</v>
      </c>
      <c r="Q477" t="s">
        <v>75</v>
      </c>
      <c r="R477" t="s">
        <v>48</v>
      </c>
      <c r="S477">
        <v>2370</v>
      </c>
      <c r="T477" t="str" cm="1">
        <f t="array" ref="T477">_xlfn.IFS(S477&gt;=10000,"High (&gt;10k)",S477&gt;=5000,"Medium (5k-10k)",S477&lt;5000,"Low (&lt;5k)")</f>
        <v>Low (&lt;5k)</v>
      </c>
      <c r="U477">
        <v>3956</v>
      </c>
      <c r="V477">
        <v>1</v>
      </c>
      <c r="W477" t="s">
        <v>43</v>
      </c>
      <c r="X477">
        <v>13</v>
      </c>
      <c r="Y477">
        <v>3</v>
      </c>
      <c r="Z477">
        <v>3</v>
      </c>
      <c r="AA477">
        <v>1</v>
      </c>
      <c r="AB477">
        <v>8</v>
      </c>
      <c r="AC477">
        <v>4</v>
      </c>
      <c r="AD477" t="s">
        <v>74</v>
      </c>
      <c r="AE477">
        <v>8</v>
      </c>
      <c r="AF477" t="str" cm="1">
        <f t="array" ref="AF477">_xlfn.IFS(AE477&gt;=10,"Veteran (10y+)",AE477&gt;=3,"Established (3-10y)",AE477&lt;3,"New Hire (&lt;3y)")</f>
        <v>Established (3-10y)</v>
      </c>
      <c r="AG477">
        <v>0</v>
      </c>
      <c r="AH477">
        <v>0</v>
      </c>
      <c r="AI477">
        <v>7</v>
      </c>
    </row>
    <row r="478" spans="1:35">
      <c r="A478">
        <v>32</v>
      </c>
      <c r="B478" t="str">
        <f t="shared" si="7"/>
        <v>Middle Aged</v>
      </c>
      <c r="C478">
        <v>1</v>
      </c>
      <c r="D478" t="s">
        <v>55</v>
      </c>
      <c r="E478">
        <v>1474</v>
      </c>
      <c r="F478" t="s">
        <v>37</v>
      </c>
      <c r="G478">
        <v>11</v>
      </c>
      <c r="H478" t="str" cm="1">
        <f t="array" ref="H478">_xlfn.IFS(G478&gt;15,"Long Commute",G478&gt;5,"Moderate",G478&lt;=5,"Near Office")</f>
        <v>Moderate</v>
      </c>
      <c r="I478" t="s">
        <v>83</v>
      </c>
      <c r="J478" t="s">
        <v>49</v>
      </c>
      <c r="K478">
        <v>4</v>
      </c>
      <c r="L478" t="s">
        <v>46</v>
      </c>
      <c r="M478">
        <v>60</v>
      </c>
      <c r="N478">
        <v>4</v>
      </c>
      <c r="O478">
        <v>2</v>
      </c>
      <c r="P478" t="s">
        <v>40</v>
      </c>
      <c r="Q478" t="s">
        <v>73</v>
      </c>
      <c r="R478" t="s">
        <v>48</v>
      </c>
      <c r="S478">
        <v>4707</v>
      </c>
      <c r="T478" t="str" cm="1">
        <f t="array" ref="T478">_xlfn.IFS(S478&gt;=10000,"High (&gt;10k)",S478&gt;=5000,"Medium (5k-10k)",S478&lt;5000,"Low (&lt;5k)")</f>
        <v>Low (&lt;5k)</v>
      </c>
      <c r="U478">
        <v>23914</v>
      </c>
      <c r="V478">
        <v>8</v>
      </c>
      <c r="W478" t="s">
        <v>43</v>
      </c>
      <c r="X478">
        <v>12</v>
      </c>
      <c r="Y478">
        <v>3</v>
      </c>
      <c r="Z478">
        <v>4</v>
      </c>
      <c r="AA478">
        <v>0</v>
      </c>
      <c r="AB478">
        <v>6</v>
      </c>
      <c r="AC478">
        <v>2</v>
      </c>
      <c r="AD478" t="s">
        <v>74</v>
      </c>
      <c r="AE478">
        <v>4</v>
      </c>
      <c r="AF478" t="str" cm="1">
        <f t="array" ref="AF478">_xlfn.IFS(AE478&gt;=10,"Veteran (10y+)",AE478&gt;=3,"Established (3-10y)",AE478&lt;3,"New Hire (&lt;3y)")</f>
        <v>Established (3-10y)</v>
      </c>
      <c r="AG478">
        <v>2</v>
      </c>
      <c r="AH478">
        <v>1</v>
      </c>
      <c r="AI478">
        <v>2</v>
      </c>
    </row>
    <row r="479" spans="1:35">
      <c r="A479">
        <v>32</v>
      </c>
      <c r="B479" t="str">
        <f t="shared" si="7"/>
        <v>Middle Aged</v>
      </c>
      <c r="C479">
        <v>0</v>
      </c>
      <c r="D479" t="s">
        <v>36</v>
      </c>
      <c r="E479">
        <v>646</v>
      </c>
      <c r="F479" t="s">
        <v>45</v>
      </c>
      <c r="G479">
        <v>9</v>
      </c>
      <c r="H479" t="str" cm="1">
        <f t="array" ref="H479">_xlfn.IFS(G479&gt;15,"Long Commute",G479&gt;5,"Moderate",G479&lt;=5,"Near Office")</f>
        <v>Moderate</v>
      </c>
      <c r="I479" t="s">
        <v>83</v>
      </c>
      <c r="J479" t="s">
        <v>38</v>
      </c>
      <c r="K479">
        <v>1</v>
      </c>
      <c r="L479" t="s">
        <v>39</v>
      </c>
      <c r="M479">
        <v>92</v>
      </c>
      <c r="N479">
        <v>3</v>
      </c>
      <c r="O479">
        <v>2</v>
      </c>
      <c r="P479" t="s">
        <v>47</v>
      </c>
      <c r="Q479" t="s">
        <v>77</v>
      </c>
      <c r="R479" t="s">
        <v>48</v>
      </c>
      <c r="S479">
        <v>6322</v>
      </c>
      <c r="T479" t="str" cm="1">
        <f t="array" ref="T479">_xlfn.IFS(S479&gt;=10000,"High (&gt;10k)",S479&gt;=5000,"Medium (5k-10k)",S479&lt;5000,"Low (&lt;5k)")</f>
        <v>Medium (5k-10k)</v>
      </c>
      <c r="U479">
        <v>18089</v>
      </c>
      <c r="V479">
        <v>1</v>
      </c>
      <c r="W479" t="s">
        <v>35</v>
      </c>
      <c r="X479">
        <v>12</v>
      </c>
      <c r="Y479">
        <v>3</v>
      </c>
      <c r="Z479">
        <v>4</v>
      </c>
      <c r="AA479">
        <v>1</v>
      </c>
      <c r="AB479">
        <v>6</v>
      </c>
      <c r="AC479">
        <v>2</v>
      </c>
      <c r="AD479" t="s">
        <v>81</v>
      </c>
      <c r="AE479">
        <v>6</v>
      </c>
      <c r="AF479" t="str" cm="1">
        <f t="array" ref="AF479">_xlfn.IFS(AE479&gt;=10,"Veteran (10y+)",AE479&gt;=3,"Established (3-10y)",AE479&lt;3,"New Hire (&lt;3y)")</f>
        <v>Established (3-10y)</v>
      </c>
      <c r="AG479">
        <v>4</v>
      </c>
      <c r="AH479">
        <v>0</v>
      </c>
      <c r="AI479">
        <v>5</v>
      </c>
    </row>
    <row r="480" spans="1:35">
      <c r="A480">
        <v>32</v>
      </c>
      <c r="B480" t="str">
        <f t="shared" si="7"/>
        <v>Middle Aged</v>
      </c>
      <c r="C480">
        <v>0</v>
      </c>
      <c r="D480" t="s">
        <v>36</v>
      </c>
      <c r="E480">
        <v>929</v>
      </c>
      <c r="F480" t="s">
        <v>37</v>
      </c>
      <c r="G480">
        <v>10</v>
      </c>
      <c r="H480" t="str" cm="1">
        <f t="array" ref="H480">_xlfn.IFS(G480&gt;15,"Long Commute",G480&gt;5,"Moderate",G480&lt;=5,"Near Office")</f>
        <v>Moderate</v>
      </c>
      <c r="I480" t="s">
        <v>72</v>
      </c>
      <c r="J480" t="s">
        <v>59</v>
      </c>
      <c r="K480">
        <v>4</v>
      </c>
      <c r="L480" t="s">
        <v>46</v>
      </c>
      <c r="M480">
        <v>55</v>
      </c>
      <c r="N480">
        <v>3</v>
      </c>
      <c r="O480">
        <v>2</v>
      </c>
      <c r="P480" t="s">
        <v>40</v>
      </c>
      <c r="Q480" t="s">
        <v>77</v>
      </c>
      <c r="R480" t="s">
        <v>41</v>
      </c>
      <c r="S480">
        <v>5396</v>
      </c>
      <c r="T480" t="str" cm="1">
        <f t="array" ref="T480">_xlfn.IFS(S480&gt;=10000,"High (&gt;10k)",S480&gt;=5000,"Medium (5k-10k)",S480&lt;5000,"Low (&lt;5k)")</f>
        <v>Medium (5k-10k)</v>
      </c>
      <c r="U480">
        <v>21703</v>
      </c>
      <c r="V480">
        <v>1</v>
      </c>
      <c r="W480" t="s">
        <v>43</v>
      </c>
      <c r="X480">
        <v>12</v>
      </c>
      <c r="Y480">
        <v>3</v>
      </c>
      <c r="Z480">
        <v>4</v>
      </c>
      <c r="AA480">
        <v>0</v>
      </c>
      <c r="AB480">
        <v>10</v>
      </c>
      <c r="AC480">
        <v>2</v>
      </c>
      <c r="AD480" t="s">
        <v>81</v>
      </c>
      <c r="AE480">
        <v>10</v>
      </c>
      <c r="AF480" t="str" cm="1">
        <f t="array" ref="AF480">_xlfn.IFS(AE480&gt;=10,"Veteran (10y+)",AE480&gt;=3,"Established (3-10y)",AE480&lt;3,"New Hire (&lt;3y)")</f>
        <v>Veteran (10y+)</v>
      </c>
      <c r="AG480">
        <v>7</v>
      </c>
      <c r="AH480">
        <v>0</v>
      </c>
      <c r="AI480">
        <v>8</v>
      </c>
    </row>
    <row r="481" spans="1:35">
      <c r="A481">
        <v>32</v>
      </c>
      <c r="B481" t="str">
        <f t="shared" si="7"/>
        <v>Middle Aged</v>
      </c>
      <c r="C481">
        <v>0</v>
      </c>
      <c r="D481" t="s">
        <v>36</v>
      </c>
      <c r="E481">
        <v>1018</v>
      </c>
      <c r="F481" t="s">
        <v>45</v>
      </c>
      <c r="G481">
        <v>3</v>
      </c>
      <c r="H481" t="str" cm="1">
        <f t="array" ref="H481">_xlfn.IFS(G481&gt;15,"Long Commute",G481&gt;5,"Moderate",G481&lt;=5,"Near Office")</f>
        <v>Near Office</v>
      </c>
      <c r="I481" t="s">
        <v>76</v>
      </c>
      <c r="J481" t="s">
        <v>38</v>
      </c>
      <c r="K481">
        <v>3</v>
      </c>
      <c r="L481" t="s">
        <v>39</v>
      </c>
      <c r="M481">
        <v>39</v>
      </c>
      <c r="N481">
        <v>3</v>
      </c>
      <c r="O481">
        <v>3</v>
      </c>
      <c r="P481" t="s">
        <v>58</v>
      </c>
      <c r="Q481" t="s">
        <v>77</v>
      </c>
      <c r="R481" t="s">
        <v>41</v>
      </c>
      <c r="S481">
        <v>11159</v>
      </c>
      <c r="T481" t="str" cm="1">
        <f t="array" ref="T481">_xlfn.IFS(S481&gt;=10000,"High (&gt;10k)",S481&gt;=5000,"Medium (5k-10k)",S481&lt;5000,"Low (&lt;5k)")</f>
        <v>High (&gt;10k)</v>
      </c>
      <c r="U481">
        <v>19373</v>
      </c>
      <c r="V481">
        <v>3</v>
      </c>
      <c r="W481" t="s">
        <v>43</v>
      </c>
      <c r="X481">
        <v>15</v>
      </c>
      <c r="Y481">
        <v>3</v>
      </c>
      <c r="Z481">
        <v>4</v>
      </c>
      <c r="AA481">
        <v>0</v>
      </c>
      <c r="AB481">
        <v>10</v>
      </c>
      <c r="AC481">
        <v>6</v>
      </c>
      <c r="AD481" t="s">
        <v>74</v>
      </c>
      <c r="AE481">
        <v>7</v>
      </c>
      <c r="AF481" t="str" cm="1">
        <f t="array" ref="AF481">_xlfn.IFS(AE481&gt;=10,"Veteran (10y+)",AE481&gt;=3,"Established (3-10y)",AE481&lt;3,"New Hire (&lt;3y)")</f>
        <v>Established (3-10y)</v>
      </c>
      <c r="AG481">
        <v>7</v>
      </c>
      <c r="AH481">
        <v>7</v>
      </c>
      <c r="AI481">
        <v>7</v>
      </c>
    </row>
    <row r="482" spans="1:35">
      <c r="A482">
        <v>32</v>
      </c>
      <c r="B482" t="str">
        <f t="shared" si="7"/>
        <v>Middle Aged</v>
      </c>
      <c r="C482">
        <v>0</v>
      </c>
      <c r="D482" t="s">
        <v>44</v>
      </c>
      <c r="E482">
        <v>430</v>
      </c>
      <c r="F482" t="s">
        <v>45</v>
      </c>
      <c r="G482">
        <v>24</v>
      </c>
      <c r="H482" t="str" cm="1">
        <f t="array" ref="H482">_xlfn.IFS(G482&gt;15,"Long Commute",G482&gt;5,"Moderate",G482&lt;=5,"Near Office")</f>
        <v>Long Commute</v>
      </c>
      <c r="I482" t="s">
        <v>83</v>
      </c>
      <c r="J482" t="s">
        <v>38</v>
      </c>
      <c r="K482">
        <v>1</v>
      </c>
      <c r="L482" t="s">
        <v>46</v>
      </c>
      <c r="M482">
        <v>80</v>
      </c>
      <c r="N482">
        <v>3</v>
      </c>
      <c r="O482">
        <v>2</v>
      </c>
      <c r="P482" t="s">
        <v>50</v>
      </c>
      <c r="Q482" t="s">
        <v>77</v>
      </c>
      <c r="R482" t="s">
        <v>48</v>
      </c>
      <c r="S482">
        <v>5309</v>
      </c>
      <c r="T482" t="str" cm="1">
        <f t="array" ref="T482">_xlfn.IFS(S482&gt;=10000,"High (&gt;10k)",S482&gt;=5000,"Medium (5k-10k)",S482&lt;5000,"Low (&lt;5k)")</f>
        <v>Medium (5k-10k)</v>
      </c>
      <c r="U482">
        <v>21146</v>
      </c>
      <c r="V482">
        <v>1</v>
      </c>
      <c r="W482" t="s">
        <v>43</v>
      </c>
      <c r="X482">
        <v>15</v>
      </c>
      <c r="Y482">
        <v>3</v>
      </c>
      <c r="Z482">
        <v>4</v>
      </c>
      <c r="AA482">
        <v>2</v>
      </c>
      <c r="AB482">
        <v>10</v>
      </c>
      <c r="AC482">
        <v>2</v>
      </c>
      <c r="AD482" t="s">
        <v>74</v>
      </c>
      <c r="AE482">
        <v>10</v>
      </c>
      <c r="AF482" t="str" cm="1">
        <f t="array" ref="AF482">_xlfn.IFS(AE482&gt;=10,"Veteran (10y+)",AE482&gt;=3,"Established (3-10y)",AE482&lt;3,"New Hire (&lt;3y)")</f>
        <v>Veteran (10y+)</v>
      </c>
      <c r="AG482">
        <v>8</v>
      </c>
      <c r="AH482">
        <v>4</v>
      </c>
      <c r="AI482">
        <v>7</v>
      </c>
    </row>
    <row r="483" spans="1:35">
      <c r="A483">
        <v>32</v>
      </c>
      <c r="B483" t="str">
        <f t="shared" si="7"/>
        <v>Middle Aged</v>
      </c>
      <c r="C483">
        <v>0</v>
      </c>
      <c r="D483" t="s">
        <v>36</v>
      </c>
      <c r="E483">
        <v>859</v>
      </c>
      <c r="F483" t="s">
        <v>45</v>
      </c>
      <c r="G483">
        <v>4</v>
      </c>
      <c r="H483" t="str" cm="1">
        <f t="array" ref="H483">_xlfn.IFS(G483&gt;15,"Long Commute",G483&gt;5,"Moderate",G483&lt;=5,"Near Office")</f>
        <v>Near Office</v>
      </c>
      <c r="I483" t="s">
        <v>72</v>
      </c>
      <c r="J483" t="s">
        <v>38</v>
      </c>
      <c r="K483">
        <v>3</v>
      </c>
      <c r="L483" t="s">
        <v>39</v>
      </c>
      <c r="M483">
        <v>98</v>
      </c>
      <c r="N483">
        <v>2</v>
      </c>
      <c r="O483">
        <v>2</v>
      </c>
      <c r="P483" t="s">
        <v>53</v>
      </c>
      <c r="Q483" t="s">
        <v>73</v>
      </c>
      <c r="R483" t="s">
        <v>48</v>
      </c>
      <c r="S483">
        <v>6162</v>
      </c>
      <c r="T483" t="str" cm="1">
        <f t="array" ref="T483">_xlfn.IFS(S483&gt;=10000,"High (&gt;10k)",S483&gt;=5000,"Medium (5k-10k)",S483&lt;5000,"Low (&lt;5k)")</f>
        <v>Medium (5k-10k)</v>
      </c>
      <c r="U483">
        <v>19124</v>
      </c>
      <c r="V483">
        <v>1</v>
      </c>
      <c r="W483" t="s">
        <v>43</v>
      </c>
      <c r="X483">
        <v>12</v>
      </c>
      <c r="Y483">
        <v>3</v>
      </c>
      <c r="Z483">
        <v>3</v>
      </c>
      <c r="AA483">
        <v>1</v>
      </c>
      <c r="AB483">
        <v>14</v>
      </c>
      <c r="AC483">
        <v>3</v>
      </c>
      <c r="AD483" t="s">
        <v>74</v>
      </c>
      <c r="AE483">
        <v>14</v>
      </c>
      <c r="AF483" t="str" cm="1">
        <f t="array" ref="AF483">_xlfn.IFS(AE483&gt;=10,"Veteran (10y+)",AE483&gt;=3,"Established (3-10y)",AE483&lt;3,"New Hire (&lt;3y)")</f>
        <v>Veteran (10y+)</v>
      </c>
      <c r="AG483">
        <v>13</v>
      </c>
      <c r="AH483">
        <v>6</v>
      </c>
      <c r="AI483">
        <v>8</v>
      </c>
    </row>
    <row r="484" spans="1:35">
      <c r="A484">
        <v>32</v>
      </c>
      <c r="B484" t="str">
        <f t="shared" si="7"/>
        <v>Middle Aged</v>
      </c>
      <c r="C484">
        <v>0</v>
      </c>
      <c r="D484" t="s">
        <v>36</v>
      </c>
      <c r="E484">
        <v>117</v>
      </c>
      <c r="F484" t="s">
        <v>37</v>
      </c>
      <c r="G484">
        <v>13</v>
      </c>
      <c r="H484" t="str" cm="1">
        <f t="array" ref="H484">_xlfn.IFS(G484&gt;15,"Long Commute",G484&gt;5,"Moderate",G484&lt;=5,"Near Office")</f>
        <v>Moderate</v>
      </c>
      <c r="I484" t="s">
        <v>83</v>
      </c>
      <c r="J484" t="s">
        <v>38</v>
      </c>
      <c r="K484">
        <v>2</v>
      </c>
      <c r="L484" t="s">
        <v>46</v>
      </c>
      <c r="M484">
        <v>73</v>
      </c>
      <c r="N484">
        <v>3</v>
      </c>
      <c r="O484">
        <v>2</v>
      </c>
      <c r="P484" t="s">
        <v>40</v>
      </c>
      <c r="Q484" t="s">
        <v>77</v>
      </c>
      <c r="R484" t="s">
        <v>52</v>
      </c>
      <c r="S484">
        <v>4403</v>
      </c>
      <c r="T484" t="str" cm="1">
        <f t="array" ref="T484">_xlfn.IFS(S484&gt;=10000,"High (&gt;10k)",S484&gt;=5000,"Medium (5k-10k)",S484&lt;5000,"Low (&lt;5k)")</f>
        <v>Low (&lt;5k)</v>
      </c>
      <c r="U484">
        <v>9250</v>
      </c>
      <c r="V484">
        <v>2</v>
      </c>
      <c r="W484" t="s">
        <v>43</v>
      </c>
      <c r="X484">
        <v>11</v>
      </c>
      <c r="Y484">
        <v>3</v>
      </c>
      <c r="Z484">
        <v>3</v>
      </c>
      <c r="AA484">
        <v>1</v>
      </c>
      <c r="AB484">
        <v>8</v>
      </c>
      <c r="AC484">
        <v>3</v>
      </c>
      <c r="AD484" t="s">
        <v>81</v>
      </c>
      <c r="AE484">
        <v>5</v>
      </c>
      <c r="AF484" t="str" cm="1">
        <f t="array" ref="AF484">_xlfn.IFS(AE484&gt;=10,"Veteran (10y+)",AE484&gt;=3,"Established (3-10y)",AE484&lt;3,"New Hire (&lt;3y)")</f>
        <v>Established (3-10y)</v>
      </c>
      <c r="AG484">
        <v>2</v>
      </c>
      <c r="AH484">
        <v>0</v>
      </c>
      <c r="AI484">
        <v>3</v>
      </c>
    </row>
    <row r="485" spans="1:35">
      <c r="A485">
        <v>32</v>
      </c>
      <c r="B485" t="str">
        <f t="shared" si="7"/>
        <v>Middle Aged</v>
      </c>
      <c r="C485">
        <v>0</v>
      </c>
      <c r="D485" t="s">
        <v>36</v>
      </c>
      <c r="E485">
        <v>638</v>
      </c>
      <c r="F485" t="s">
        <v>45</v>
      </c>
      <c r="G485">
        <v>8</v>
      </c>
      <c r="H485" t="str" cm="1">
        <f t="array" ref="H485">_xlfn.IFS(G485&gt;15,"Long Commute",G485&gt;5,"Moderate",G485&lt;=5,"Near Office")</f>
        <v>Moderate</v>
      </c>
      <c r="I485" t="s">
        <v>76</v>
      </c>
      <c r="J485" t="s">
        <v>51</v>
      </c>
      <c r="K485">
        <v>3</v>
      </c>
      <c r="L485" t="s">
        <v>39</v>
      </c>
      <c r="M485">
        <v>91</v>
      </c>
      <c r="N485">
        <v>4</v>
      </c>
      <c r="O485">
        <v>2</v>
      </c>
      <c r="P485" t="s">
        <v>47</v>
      </c>
      <c r="Q485" t="s">
        <v>73</v>
      </c>
      <c r="R485" t="s">
        <v>48</v>
      </c>
      <c r="S485">
        <v>5175</v>
      </c>
      <c r="T485" t="str" cm="1">
        <f t="array" ref="T485">_xlfn.IFS(S485&gt;=10000,"High (&gt;10k)",S485&gt;=5000,"Medium (5k-10k)",S485&lt;5000,"Low (&lt;5k)")</f>
        <v>Medium (5k-10k)</v>
      </c>
      <c r="U485">
        <v>22162</v>
      </c>
      <c r="V485">
        <v>5</v>
      </c>
      <c r="W485" t="s">
        <v>43</v>
      </c>
      <c r="X485">
        <v>12</v>
      </c>
      <c r="Y485">
        <v>3</v>
      </c>
      <c r="Z485">
        <v>3</v>
      </c>
      <c r="AA485">
        <v>1</v>
      </c>
      <c r="AB485">
        <v>9</v>
      </c>
      <c r="AC485">
        <v>3</v>
      </c>
      <c r="AD485" t="s">
        <v>81</v>
      </c>
      <c r="AE485">
        <v>5</v>
      </c>
      <c r="AF485" t="str" cm="1">
        <f t="array" ref="AF485">_xlfn.IFS(AE485&gt;=10,"Veteran (10y+)",AE485&gt;=3,"Established (3-10y)",AE485&lt;3,"New Hire (&lt;3y)")</f>
        <v>Established (3-10y)</v>
      </c>
      <c r="AG485">
        <v>3</v>
      </c>
      <c r="AH485">
        <v>1</v>
      </c>
      <c r="AI485">
        <v>3</v>
      </c>
    </row>
    <row r="486" spans="1:35">
      <c r="A486">
        <v>32</v>
      </c>
      <c r="B486" t="str">
        <f t="shared" si="7"/>
        <v>Middle Aged</v>
      </c>
      <c r="C486">
        <v>0</v>
      </c>
      <c r="D486" t="s">
        <v>55</v>
      </c>
      <c r="E486">
        <v>300</v>
      </c>
      <c r="F486" t="s">
        <v>45</v>
      </c>
      <c r="G486">
        <v>1</v>
      </c>
      <c r="H486" t="str" cm="1">
        <f t="array" ref="H486">_xlfn.IFS(G486&gt;15,"Long Commute",G486&gt;5,"Moderate",G486&lt;=5,"Near Office")</f>
        <v>Near Office</v>
      </c>
      <c r="I486" t="s">
        <v>72</v>
      </c>
      <c r="J486" t="s">
        <v>38</v>
      </c>
      <c r="K486">
        <v>4</v>
      </c>
      <c r="L486" t="s">
        <v>46</v>
      </c>
      <c r="M486">
        <v>61</v>
      </c>
      <c r="N486">
        <v>3</v>
      </c>
      <c r="O486">
        <v>1</v>
      </c>
      <c r="P486" t="s">
        <v>50</v>
      </c>
      <c r="Q486" t="s">
        <v>77</v>
      </c>
      <c r="R486" t="s">
        <v>52</v>
      </c>
      <c r="S486">
        <v>2314</v>
      </c>
      <c r="T486" t="str" cm="1">
        <f t="array" ref="T486">_xlfn.IFS(S486&gt;=10000,"High (&gt;10k)",S486&gt;=5000,"Medium (5k-10k)",S486&lt;5000,"Low (&lt;5k)")</f>
        <v>Low (&lt;5k)</v>
      </c>
      <c r="U486">
        <v>9148</v>
      </c>
      <c r="V486">
        <v>0</v>
      </c>
      <c r="W486" t="s">
        <v>43</v>
      </c>
      <c r="X486">
        <v>12</v>
      </c>
      <c r="Y486">
        <v>3</v>
      </c>
      <c r="Z486">
        <v>2</v>
      </c>
      <c r="AA486">
        <v>1</v>
      </c>
      <c r="AB486">
        <v>4</v>
      </c>
      <c r="AC486">
        <v>2</v>
      </c>
      <c r="AD486" t="s">
        <v>74</v>
      </c>
      <c r="AE486">
        <v>3</v>
      </c>
      <c r="AF486" t="str" cm="1">
        <f t="array" ref="AF486">_xlfn.IFS(AE486&gt;=10,"Veteran (10y+)",AE486&gt;=3,"Established (3-10y)",AE486&lt;3,"New Hire (&lt;3y)")</f>
        <v>Established (3-10y)</v>
      </c>
      <c r="AG486">
        <v>0</v>
      </c>
      <c r="AH486">
        <v>0</v>
      </c>
      <c r="AI486">
        <v>2</v>
      </c>
    </row>
    <row r="487" spans="1:35">
      <c r="A487">
        <v>32</v>
      </c>
      <c r="B487" t="str">
        <f t="shared" si="7"/>
        <v>Middle Aged</v>
      </c>
      <c r="C487">
        <v>0</v>
      </c>
      <c r="D487" t="s">
        <v>44</v>
      </c>
      <c r="E487">
        <v>379</v>
      </c>
      <c r="F487" t="s">
        <v>37</v>
      </c>
      <c r="G487">
        <v>5</v>
      </c>
      <c r="H487" t="str" cm="1">
        <f t="array" ref="H487">_xlfn.IFS(G487&gt;15,"Long Commute",G487&gt;5,"Moderate",G487&lt;=5,"Near Office")</f>
        <v>Near Office</v>
      </c>
      <c r="I487" t="s">
        <v>76</v>
      </c>
      <c r="J487" t="s">
        <v>38</v>
      </c>
      <c r="K487">
        <v>2</v>
      </c>
      <c r="L487" t="s">
        <v>46</v>
      </c>
      <c r="M487">
        <v>48</v>
      </c>
      <c r="N487">
        <v>3</v>
      </c>
      <c r="O487">
        <v>2</v>
      </c>
      <c r="P487" t="s">
        <v>40</v>
      </c>
      <c r="Q487" t="s">
        <v>75</v>
      </c>
      <c r="R487" t="s">
        <v>48</v>
      </c>
      <c r="S487">
        <v>6524</v>
      </c>
      <c r="T487" t="str" cm="1">
        <f t="array" ref="T487">_xlfn.IFS(S487&gt;=10000,"High (&gt;10k)",S487&gt;=5000,"Medium (5k-10k)",S487&lt;5000,"Low (&lt;5k)")</f>
        <v>Medium (5k-10k)</v>
      </c>
      <c r="U487">
        <v>8891</v>
      </c>
      <c r="V487">
        <v>1</v>
      </c>
      <c r="W487" t="s">
        <v>43</v>
      </c>
      <c r="X487">
        <v>14</v>
      </c>
      <c r="Y487">
        <v>3</v>
      </c>
      <c r="Z487">
        <v>4</v>
      </c>
      <c r="AA487">
        <v>1</v>
      </c>
      <c r="AB487">
        <v>10</v>
      </c>
      <c r="AC487">
        <v>3</v>
      </c>
      <c r="AD487" t="s">
        <v>74</v>
      </c>
      <c r="AE487">
        <v>10</v>
      </c>
      <c r="AF487" t="str" cm="1">
        <f t="array" ref="AF487">_xlfn.IFS(AE487&gt;=10,"Veteran (10y+)",AE487&gt;=3,"Established (3-10y)",AE487&lt;3,"New Hire (&lt;3y)")</f>
        <v>Veteran (10y+)</v>
      </c>
      <c r="AG487">
        <v>8</v>
      </c>
      <c r="AH487">
        <v>5</v>
      </c>
      <c r="AI487">
        <v>3</v>
      </c>
    </row>
    <row r="488" spans="1:35">
      <c r="A488">
        <v>32</v>
      </c>
      <c r="B488" t="str">
        <f t="shared" si="7"/>
        <v>Middle Aged</v>
      </c>
      <c r="C488">
        <v>1</v>
      </c>
      <c r="D488" t="s">
        <v>36</v>
      </c>
      <c r="E488">
        <v>374</v>
      </c>
      <c r="F488" t="s">
        <v>45</v>
      </c>
      <c r="G488">
        <v>25</v>
      </c>
      <c r="H488" t="str" cm="1">
        <f t="array" ref="H488">_xlfn.IFS(G488&gt;15,"Long Commute",G488&gt;5,"Moderate",G488&lt;=5,"Near Office")</f>
        <v>Long Commute</v>
      </c>
      <c r="I488" t="s">
        <v>83</v>
      </c>
      <c r="J488" t="s">
        <v>38</v>
      </c>
      <c r="K488">
        <v>1</v>
      </c>
      <c r="L488" t="s">
        <v>46</v>
      </c>
      <c r="M488">
        <v>87</v>
      </c>
      <c r="N488">
        <v>3</v>
      </c>
      <c r="O488">
        <v>1</v>
      </c>
      <c r="P488" t="s">
        <v>50</v>
      </c>
      <c r="Q488" t="s">
        <v>77</v>
      </c>
      <c r="R488" t="s">
        <v>41</v>
      </c>
      <c r="S488">
        <v>2795</v>
      </c>
      <c r="T488" t="str" cm="1">
        <f t="array" ref="T488">_xlfn.IFS(S488&gt;=10000,"High (&gt;10k)",S488&gt;=5000,"Medium (5k-10k)",S488&lt;5000,"Low (&lt;5k)")</f>
        <v>Low (&lt;5k)</v>
      </c>
      <c r="U488">
        <v>18016</v>
      </c>
      <c r="V488">
        <v>1</v>
      </c>
      <c r="W488" t="s">
        <v>35</v>
      </c>
      <c r="X488">
        <v>24</v>
      </c>
      <c r="Y488">
        <v>4</v>
      </c>
      <c r="Z488">
        <v>3</v>
      </c>
      <c r="AA488">
        <v>0</v>
      </c>
      <c r="AB488">
        <v>1</v>
      </c>
      <c r="AC488">
        <v>2</v>
      </c>
      <c r="AD488" t="s">
        <v>80</v>
      </c>
      <c r="AE488">
        <v>1</v>
      </c>
      <c r="AF488" t="str" cm="1">
        <f t="array" ref="AF488">_xlfn.IFS(AE488&gt;=10,"Veteran (10y+)",AE488&gt;=3,"Established (3-10y)",AE488&lt;3,"New Hire (&lt;3y)")</f>
        <v>New Hire (&lt;3y)</v>
      </c>
      <c r="AG488">
        <v>0</v>
      </c>
      <c r="AH488">
        <v>0</v>
      </c>
      <c r="AI488">
        <v>1</v>
      </c>
    </row>
    <row r="489" spans="1:35">
      <c r="A489">
        <v>32</v>
      </c>
      <c r="B489" t="str">
        <f t="shared" si="7"/>
        <v>Middle Aged</v>
      </c>
      <c r="C489">
        <v>0</v>
      </c>
      <c r="D489" t="s">
        <v>55</v>
      </c>
      <c r="E489">
        <v>1184</v>
      </c>
      <c r="F489" t="s">
        <v>45</v>
      </c>
      <c r="G489">
        <v>1</v>
      </c>
      <c r="H489" t="str" cm="1">
        <f t="array" ref="H489">_xlfn.IFS(G489&gt;15,"Long Commute",G489&gt;5,"Moderate",G489&lt;=5,"Near Office")</f>
        <v>Near Office</v>
      </c>
      <c r="I489" t="s">
        <v>72</v>
      </c>
      <c r="J489" t="s">
        <v>38</v>
      </c>
      <c r="K489">
        <v>3</v>
      </c>
      <c r="L489" t="s">
        <v>39</v>
      </c>
      <c r="M489">
        <v>70</v>
      </c>
      <c r="N489">
        <v>2</v>
      </c>
      <c r="O489">
        <v>1</v>
      </c>
      <c r="P489" t="s">
        <v>50</v>
      </c>
      <c r="Q489" t="s">
        <v>75</v>
      </c>
      <c r="R489" t="s">
        <v>48</v>
      </c>
      <c r="S489">
        <v>2332</v>
      </c>
      <c r="T489" t="str" cm="1">
        <f t="array" ref="T489">_xlfn.IFS(S489&gt;=10000,"High (&gt;10k)",S489&gt;=5000,"Medium (5k-10k)",S489&lt;5000,"Low (&lt;5k)")</f>
        <v>Low (&lt;5k)</v>
      </c>
      <c r="U489">
        <v>3974</v>
      </c>
      <c r="V489">
        <v>6</v>
      </c>
      <c r="W489" t="s">
        <v>43</v>
      </c>
      <c r="X489">
        <v>20</v>
      </c>
      <c r="Y489">
        <v>4</v>
      </c>
      <c r="Z489">
        <v>3</v>
      </c>
      <c r="AA489">
        <v>0</v>
      </c>
      <c r="AB489">
        <v>5</v>
      </c>
      <c r="AC489">
        <v>3</v>
      </c>
      <c r="AD489" t="s">
        <v>74</v>
      </c>
      <c r="AE489">
        <v>3</v>
      </c>
      <c r="AF489" t="str" cm="1">
        <f t="array" ref="AF489">_xlfn.IFS(AE489&gt;=10,"Veteran (10y+)",AE489&gt;=3,"Established (3-10y)",AE489&lt;3,"New Hire (&lt;3y)")</f>
        <v>Established (3-10y)</v>
      </c>
      <c r="AG489">
        <v>0</v>
      </c>
      <c r="AH489">
        <v>0</v>
      </c>
      <c r="AI489">
        <v>2</v>
      </c>
    </row>
    <row r="490" spans="1:35">
      <c r="A490">
        <v>32</v>
      </c>
      <c r="B490" t="str">
        <f t="shared" si="7"/>
        <v>Middle Aged</v>
      </c>
      <c r="C490">
        <v>0</v>
      </c>
      <c r="D490" t="s">
        <v>36</v>
      </c>
      <c r="E490">
        <v>498</v>
      </c>
      <c r="F490" t="s">
        <v>45</v>
      </c>
      <c r="G490">
        <v>3</v>
      </c>
      <c r="H490" t="str" cm="1">
        <f t="array" ref="H490">_xlfn.IFS(G490&gt;15,"Long Commute",G490&gt;5,"Moderate",G490&lt;=5,"Near Office")</f>
        <v>Near Office</v>
      </c>
      <c r="I490" t="s">
        <v>83</v>
      </c>
      <c r="J490" t="s">
        <v>51</v>
      </c>
      <c r="K490">
        <v>3</v>
      </c>
      <c r="L490" t="s">
        <v>39</v>
      </c>
      <c r="M490">
        <v>93</v>
      </c>
      <c r="N490">
        <v>3</v>
      </c>
      <c r="O490">
        <v>2</v>
      </c>
      <c r="P490" t="s">
        <v>53</v>
      </c>
      <c r="Q490" t="s">
        <v>82</v>
      </c>
      <c r="R490" t="s">
        <v>48</v>
      </c>
      <c r="S490">
        <v>6725</v>
      </c>
      <c r="T490" t="str" cm="1">
        <f t="array" ref="T490">_xlfn.IFS(S490&gt;=10000,"High (&gt;10k)",S490&gt;=5000,"Medium (5k-10k)",S490&lt;5000,"Low (&lt;5k)")</f>
        <v>Medium (5k-10k)</v>
      </c>
      <c r="U490">
        <v>13554</v>
      </c>
      <c r="V490">
        <v>1</v>
      </c>
      <c r="W490" t="s">
        <v>43</v>
      </c>
      <c r="X490">
        <v>12</v>
      </c>
      <c r="Y490">
        <v>3</v>
      </c>
      <c r="Z490">
        <v>3</v>
      </c>
      <c r="AA490">
        <v>1</v>
      </c>
      <c r="AB490">
        <v>8</v>
      </c>
      <c r="AC490">
        <v>2</v>
      </c>
      <c r="AD490" t="s">
        <v>79</v>
      </c>
      <c r="AE490">
        <v>8</v>
      </c>
      <c r="AF490" t="str" cm="1">
        <f t="array" ref="AF490">_xlfn.IFS(AE490&gt;=10,"Veteran (10y+)",AE490&gt;=3,"Established (3-10y)",AE490&lt;3,"New Hire (&lt;3y)")</f>
        <v>Established (3-10y)</v>
      </c>
      <c r="AG490">
        <v>7</v>
      </c>
      <c r="AH490">
        <v>6</v>
      </c>
      <c r="AI490">
        <v>3</v>
      </c>
    </row>
    <row r="491" spans="1:35">
      <c r="A491">
        <v>32</v>
      </c>
      <c r="B491" t="str">
        <f t="shared" si="7"/>
        <v>Middle Aged</v>
      </c>
      <c r="C491">
        <v>0</v>
      </c>
      <c r="D491" t="s">
        <v>55</v>
      </c>
      <c r="E491">
        <v>1109</v>
      </c>
      <c r="F491" t="s">
        <v>45</v>
      </c>
      <c r="G491">
        <v>29</v>
      </c>
      <c r="H491" t="str" cm="1">
        <f t="array" ref="H491">_xlfn.IFS(G491&gt;15,"Long Commute",G491&gt;5,"Moderate",G491&lt;=5,"Near Office")</f>
        <v>Long Commute</v>
      </c>
      <c r="I491" t="s">
        <v>83</v>
      </c>
      <c r="J491" t="s">
        <v>51</v>
      </c>
      <c r="K491">
        <v>4</v>
      </c>
      <c r="L491" t="s">
        <v>39</v>
      </c>
      <c r="M491">
        <v>69</v>
      </c>
      <c r="N491">
        <v>3</v>
      </c>
      <c r="O491">
        <v>1</v>
      </c>
      <c r="P491" t="s">
        <v>50</v>
      </c>
      <c r="Q491" t="s">
        <v>73</v>
      </c>
      <c r="R491" t="s">
        <v>41</v>
      </c>
      <c r="S491">
        <v>4025</v>
      </c>
      <c r="T491" t="str" cm="1">
        <f t="array" ref="T491">_xlfn.IFS(S491&gt;=10000,"High (&gt;10k)",S491&gt;=5000,"Medium (5k-10k)",S491&lt;5000,"Low (&lt;5k)")</f>
        <v>Low (&lt;5k)</v>
      </c>
      <c r="U491">
        <v>11135</v>
      </c>
      <c r="V491">
        <v>9</v>
      </c>
      <c r="W491" t="s">
        <v>43</v>
      </c>
      <c r="X491">
        <v>12</v>
      </c>
      <c r="Y491">
        <v>3</v>
      </c>
      <c r="Z491">
        <v>2</v>
      </c>
      <c r="AA491">
        <v>0</v>
      </c>
      <c r="AB491">
        <v>10</v>
      </c>
      <c r="AC491">
        <v>2</v>
      </c>
      <c r="AD491" t="s">
        <v>74</v>
      </c>
      <c r="AE491">
        <v>8</v>
      </c>
      <c r="AF491" t="str" cm="1">
        <f t="array" ref="AF491">_xlfn.IFS(AE491&gt;=10,"Veteran (10y+)",AE491&gt;=3,"Established (3-10y)",AE491&lt;3,"New Hire (&lt;3y)")</f>
        <v>Established (3-10y)</v>
      </c>
      <c r="AG491">
        <v>7</v>
      </c>
      <c r="AH491">
        <v>7</v>
      </c>
      <c r="AI491">
        <v>7</v>
      </c>
    </row>
    <row r="492" spans="1:35">
      <c r="A492">
        <v>32</v>
      </c>
      <c r="B492" t="str">
        <f t="shared" si="7"/>
        <v>Middle Aged</v>
      </c>
      <c r="C492">
        <v>0</v>
      </c>
      <c r="D492" t="s">
        <v>55</v>
      </c>
      <c r="E492">
        <v>862</v>
      </c>
      <c r="F492" t="s">
        <v>37</v>
      </c>
      <c r="G492">
        <v>2</v>
      </c>
      <c r="H492" t="str" cm="1">
        <f t="array" ref="H492">_xlfn.IFS(G492&gt;15,"Long Commute",G492&gt;5,"Moderate",G492&lt;=5,"Near Office")</f>
        <v>Near Office</v>
      </c>
      <c r="I492" t="s">
        <v>78</v>
      </c>
      <c r="J492" t="s">
        <v>38</v>
      </c>
      <c r="K492">
        <v>3</v>
      </c>
      <c r="L492" t="s">
        <v>39</v>
      </c>
      <c r="M492">
        <v>76</v>
      </c>
      <c r="N492">
        <v>3</v>
      </c>
      <c r="O492">
        <v>1</v>
      </c>
      <c r="P492" t="s">
        <v>57</v>
      </c>
      <c r="Q492" t="s">
        <v>82</v>
      </c>
      <c r="R492" t="s">
        <v>52</v>
      </c>
      <c r="S492">
        <v>2827</v>
      </c>
      <c r="T492" t="str" cm="1">
        <f t="array" ref="T492">_xlfn.IFS(S492&gt;=10000,"High (&gt;10k)",S492&gt;=5000,"Medium (5k-10k)",S492&lt;5000,"Low (&lt;5k)")</f>
        <v>Low (&lt;5k)</v>
      </c>
      <c r="U492">
        <v>14947</v>
      </c>
      <c r="V492">
        <v>1</v>
      </c>
      <c r="W492" t="s">
        <v>43</v>
      </c>
      <c r="X492">
        <v>12</v>
      </c>
      <c r="Y492">
        <v>3</v>
      </c>
      <c r="Z492">
        <v>3</v>
      </c>
      <c r="AA492">
        <v>3</v>
      </c>
      <c r="AB492">
        <v>1</v>
      </c>
      <c r="AC492">
        <v>3</v>
      </c>
      <c r="AD492" t="s">
        <v>74</v>
      </c>
      <c r="AE492">
        <v>1</v>
      </c>
      <c r="AF492" t="str" cm="1">
        <f t="array" ref="AF492">_xlfn.IFS(AE492&gt;=10,"Veteran (10y+)",AE492&gt;=3,"Established (3-10y)",AE492&lt;3,"New Hire (&lt;3y)")</f>
        <v>New Hire (&lt;3y)</v>
      </c>
      <c r="AG492">
        <v>0</v>
      </c>
      <c r="AH492">
        <v>0</v>
      </c>
      <c r="AI492">
        <v>0</v>
      </c>
    </row>
    <row r="493" spans="1:35">
      <c r="A493">
        <v>32</v>
      </c>
      <c r="B493" t="str">
        <f t="shared" si="7"/>
        <v>Middle Aged</v>
      </c>
      <c r="C493">
        <v>0</v>
      </c>
      <c r="D493" t="s">
        <v>44</v>
      </c>
      <c r="E493">
        <v>116</v>
      </c>
      <c r="F493" t="s">
        <v>45</v>
      </c>
      <c r="G493">
        <v>13</v>
      </c>
      <c r="H493" t="str" cm="1">
        <f t="array" ref="H493">_xlfn.IFS(G493&gt;15,"Long Commute",G493&gt;5,"Moderate",G493&lt;=5,"Near Office")</f>
        <v>Moderate</v>
      </c>
      <c r="I493" t="s">
        <v>72</v>
      </c>
      <c r="J493" t="s">
        <v>49</v>
      </c>
      <c r="K493">
        <v>3</v>
      </c>
      <c r="L493" t="s">
        <v>39</v>
      </c>
      <c r="M493">
        <v>77</v>
      </c>
      <c r="N493">
        <v>2</v>
      </c>
      <c r="O493">
        <v>1</v>
      </c>
      <c r="P493" t="s">
        <v>50</v>
      </c>
      <c r="Q493" t="s">
        <v>75</v>
      </c>
      <c r="R493" t="s">
        <v>48</v>
      </c>
      <c r="S493">
        <v>2743</v>
      </c>
      <c r="T493" t="str" cm="1">
        <f t="array" ref="T493">_xlfn.IFS(S493&gt;=10000,"High (&gt;10k)",S493&gt;=5000,"Medium (5k-10k)",S493&lt;5000,"Low (&lt;5k)")</f>
        <v>Low (&lt;5k)</v>
      </c>
      <c r="U493">
        <v>7331</v>
      </c>
      <c r="V493">
        <v>1</v>
      </c>
      <c r="W493" t="s">
        <v>43</v>
      </c>
      <c r="X493">
        <v>20</v>
      </c>
      <c r="Y493">
        <v>4</v>
      </c>
      <c r="Z493">
        <v>3</v>
      </c>
      <c r="AA493">
        <v>1</v>
      </c>
      <c r="AB493">
        <v>2</v>
      </c>
      <c r="AC493">
        <v>2</v>
      </c>
      <c r="AD493" t="s">
        <v>74</v>
      </c>
      <c r="AE493">
        <v>2</v>
      </c>
      <c r="AF493" t="str" cm="1">
        <f t="array" ref="AF493">_xlfn.IFS(AE493&gt;=10,"Veteran (10y+)",AE493&gt;=3,"Established (3-10y)",AE493&lt;3,"New Hire (&lt;3y)")</f>
        <v>New Hire (&lt;3y)</v>
      </c>
      <c r="AG493">
        <v>2</v>
      </c>
      <c r="AH493">
        <v>2</v>
      </c>
      <c r="AI493">
        <v>2</v>
      </c>
    </row>
    <row r="494" spans="1:35">
      <c r="A494">
        <v>32</v>
      </c>
      <c r="B494" t="str">
        <f t="shared" si="7"/>
        <v>Middle Aged</v>
      </c>
      <c r="C494">
        <v>0</v>
      </c>
      <c r="D494" t="s">
        <v>44</v>
      </c>
      <c r="E494">
        <v>1316</v>
      </c>
      <c r="F494" t="s">
        <v>45</v>
      </c>
      <c r="G494">
        <v>2</v>
      </c>
      <c r="H494" t="str" cm="1">
        <f t="array" ref="H494">_xlfn.IFS(G494&gt;15,"Long Commute",G494&gt;5,"Moderate",G494&lt;=5,"Near Office")</f>
        <v>Near Office</v>
      </c>
      <c r="I494" t="s">
        <v>76</v>
      </c>
      <c r="J494" t="s">
        <v>38</v>
      </c>
      <c r="K494">
        <v>4</v>
      </c>
      <c r="L494" t="s">
        <v>39</v>
      </c>
      <c r="M494">
        <v>38</v>
      </c>
      <c r="N494">
        <v>3</v>
      </c>
      <c r="O494">
        <v>2</v>
      </c>
      <c r="P494" t="s">
        <v>47</v>
      </c>
      <c r="Q494" t="s">
        <v>73</v>
      </c>
      <c r="R494" t="s">
        <v>41</v>
      </c>
      <c r="S494">
        <v>4998</v>
      </c>
      <c r="T494" t="str" cm="1">
        <f t="array" ref="T494">_xlfn.IFS(S494&gt;=10000,"High (&gt;10k)",S494&gt;=5000,"Medium (5k-10k)",S494&lt;5000,"Low (&lt;5k)")</f>
        <v>Low (&lt;5k)</v>
      </c>
      <c r="U494">
        <v>2338</v>
      </c>
      <c r="V494">
        <v>4</v>
      </c>
      <c r="W494" t="s">
        <v>35</v>
      </c>
      <c r="X494">
        <v>14</v>
      </c>
      <c r="Y494">
        <v>3</v>
      </c>
      <c r="Z494">
        <v>4</v>
      </c>
      <c r="AA494">
        <v>0</v>
      </c>
      <c r="AB494">
        <v>10</v>
      </c>
      <c r="AC494">
        <v>2</v>
      </c>
      <c r="AD494" t="s">
        <v>74</v>
      </c>
      <c r="AE494">
        <v>8</v>
      </c>
      <c r="AF494" t="str" cm="1">
        <f t="array" ref="AF494">_xlfn.IFS(AE494&gt;=10,"Veteran (10y+)",AE494&gt;=3,"Established (3-10y)",AE494&lt;3,"New Hire (&lt;3y)")</f>
        <v>Established (3-10y)</v>
      </c>
      <c r="AG494">
        <v>7</v>
      </c>
      <c r="AH494">
        <v>0</v>
      </c>
      <c r="AI494">
        <v>7</v>
      </c>
    </row>
    <row r="495" spans="1:35">
      <c r="A495">
        <v>32</v>
      </c>
      <c r="B495" t="str">
        <f t="shared" si="7"/>
        <v>Middle Aged</v>
      </c>
      <c r="C495">
        <v>0</v>
      </c>
      <c r="D495" t="s">
        <v>36</v>
      </c>
      <c r="E495">
        <v>604</v>
      </c>
      <c r="F495" t="s">
        <v>37</v>
      </c>
      <c r="G495">
        <v>8</v>
      </c>
      <c r="H495" t="str" cm="1">
        <f t="array" ref="H495">_xlfn.IFS(G495&gt;15,"Long Commute",G495&gt;5,"Moderate",G495&lt;=5,"Near Office")</f>
        <v>Moderate</v>
      </c>
      <c r="I495" t="s">
        <v>72</v>
      </c>
      <c r="J495" t="s">
        <v>51</v>
      </c>
      <c r="K495">
        <v>3</v>
      </c>
      <c r="L495" t="s">
        <v>46</v>
      </c>
      <c r="M495">
        <v>56</v>
      </c>
      <c r="N495">
        <v>4</v>
      </c>
      <c r="O495">
        <v>2</v>
      </c>
      <c r="P495" t="s">
        <v>40</v>
      </c>
      <c r="Q495" t="s">
        <v>77</v>
      </c>
      <c r="R495" t="s">
        <v>48</v>
      </c>
      <c r="S495">
        <v>6209</v>
      </c>
      <c r="T495" t="str" cm="1">
        <f t="array" ref="T495">_xlfn.IFS(S495&gt;=10000,"High (&gt;10k)",S495&gt;=5000,"Medium (5k-10k)",S495&lt;5000,"Low (&lt;5k)")</f>
        <v>Medium (5k-10k)</v>
      </c>
      <c r="U495">
        <v>11693</v>
      </c>
      <c r="V495">
        <v>1</v>
      </c>
      <c r="W495" t="s">
        <v>43</v>
      </c>
      <c r="X495">
        <v>15</v>
      </c>
      <c r="Y495">
        <v>3</v>
      </c>
      <c r="Z495">
        <v>3</v>
      </c>
      <c r="AA495">
        <v>2</v>
      </c>
      <c r="AB495">
        <v>10</v>
      </c>
      <c r="AC495">
        <v>4</v>
      </c>
      <c r="AD495" t="s">
        <v>79</v>
      </c>
      <c r="AE495">
        <v>10</v>
      </c>
      <c r="AF495" t="str" cm="1">
        <f t="array" ref="AF495">_xlfn.IFS(AE495&gt;=10,"Veteran (10y+)",AE495&gt;=3,"Established (3-10y)",AE495&lt;3,"New Hire (&lt;3y)")</f>
        <v>Veteran (10y+)</v>
      </c>
      <c r="AG495">
        <v>7</v>
      </c>
      <c r="AH495">
        <v>0</v>
      </c>
      <c r="AI495">
        <v>8</v>
      </c>
    </row>
    <row r="496" spans="1:35">
      <c r="A496">
        <v>32</v>
      </c>
      <c r="B496" t="str">
        <f t="shared" si="7"/>
        <v>Middle Aged</v>
      </c>
      <c r="C496">
        <v>1</v>
      </c>
      <c r="D496" t="s">
        <v>36</v>
      </c>
      <c r="E496">
        <v>1089</v>
      </c>
      <c r="F496" t="s">
        <v>45</v>
      </c>
      <c r="G496">
        <v>7</v>
      </c>
      <c r="H496" t="str" cm="1">
        <f t="array" ref="H496">_xlfn.IFS(G496&gt;15,"Long Commute",G496&gt;5,"Moderate",G496&lt;=5,"Near Office")</f>
        <v>Moderate</v>
      </c>
      <c r="I496" t="s">
        <v>76</v>
      </c>
      <c r="J496" t="s">
        <v>38</v>
      </c>
      <c r="K496">
        <v>4</v>
      </c>
      <c r="L496" t="s">
        <v>46</v>
      </c>
      <c r="M496">
        <v>79</v>
      </c>
      <c r="N496">
        <v>3</v>
      </c>
      <c r="O496">
        <v>2</v>
      </c>
      <c r="P496" t="s">
        <v>50</v>
      </c>
      <c r="Q496" t="s">
        <v>73</v>
      </c>
      <c r="R496" t="s">
        <v>48</v>
      </c>
      <c r="S496">
        <v>4883</v>
      </c>
      <c r="T496" t="str" cm="1">
        <f t="array" ref="T496">_xlfn.IFS(S496&gt;=10000,"High (&gt;10k)",S496&gt;=5000,"Medium (5k-10k)",S496&lt;5000,"Low (&lt;5k)")</f>
        <v>Low (&lt;5k)</v>
      </c>
      <c r="U496">
        <v>22845</v>
      </c>
      <c r="V496">
        <v>1</v>
      </c>
      <c r="W496" t="s">
        <v>43</v>
      </c>
      <c r="X496">
        <v>18</v>
      </c>
      <c r="Y496">
        <v>3</v>
      </c>
      <c r="Z496">
        <v>1</v>
      </c>
      <c r="AA496">
        <v>1</v>
      </c>
      <c r="AB496">
        <v>10</v>
      </c>
      <c r="AC496">
        <v>3</v>
      </c>
      <c r="AD496" t="s">
        <v>74</v>
      </c>
      <c r="AE496">
        <v>10</v>
      </c>
      <c r="AF496" t="str" cm="1">
        <f t="array" ref="AF496">_xlfn.IFS(AE496&gt;=10,"Veteran (10y+)",AE496&gt;=3,"Established (3-10y)",AE496&lt;3,"New Hire (&lt;3y)")</f>
        <v>Veteran (10y+)</v>
      </c>
      <c r="AG496">
        <v>4</v>
      </c>
      <c r="AH496">
        <v>1</v>
      </c>
      <c r="AI496">
        <v>1</v>
      </c>
    </row>
    <row r="497" spans="1:35">
      <c r="A497">
        <v>32</v>
      </c>
      <c r="B497" t="str">
        <f t="shared" si="7"/>
        <v>Middle Aged</v>
      </c>
      <c r="C497">
        <v>0</v>
      </c>
      <c r="D497" t="s">
        <v>36</v>
      </c>
      <c r="E497">
        <v>499</v>
      </c>
      <c r="F497" t="s">
        <v>37</v>
      </c>
      <c r="G497">
        <v>2</v>
      </c>
      <c r="H497" t="str" cm="1">
        <f t="array" ref="H497">_xlfn.IFS(G497&gt;15,"Long Commute",G497&gt;5,"Moderate",G497&lt;=5,"Near Office")</f>
        <v>Near Office</v>
      </c>
      <c r="I497" t="s">
        <v>78</v>
      </c>
      <c r="J497" t="s">
        <v>59</v>
      </c>
      <c r="K497">
        <v>3</v>
      </c>
      <c r="L497" t="s">
        <v>46</v>
      </c>
      <c r="M497">
        <v>36</v>
      </c>
      <c r="N497">
        <v>3</v>
      </c>
      <c r="O497">
        <v>2</v>
      </c>
      <c r="P497" t="s">
        <v>40</v>
      </c>
      <c r="Q497" t="s">
        <v>75</v>
      </c>
      <c r="R497" t="s">
        <v>48</v>
      </c>
      <c r="S497">
        <v>4078</v>
      </c>
      <c r="T497" t="str" cm="1">
        <f t="array" ref="T497">_xlfn.IFS(S497&gt;=10000,"High (&gt;10k)",S497&gt;=5000,"Medium (5k-10k)",S497&lt;5000,"Low (&lt;5k)")</f>
        <v>Low (&lt;5k)</v>
      </c>
      <c r="U497">
        <v>20497</v>
      </c>
      <c r="V497">
        <v>0</v>
      </c>
      <c r="W497" t="s">
        <v>35</v>
      </c>
      <c r="X497">
        <v>13</v>
      </c>
      <c r="Y497">
        <v>3</v>
      </c>
      <c r="Z497">
        <v>1</v>
      </c>
      <c r="AA497">
        <v>3</v>
      </c>
      <c r="AB497">
        <v>4</v>
      </c>
      <c r="AC497">
        <v>3</v>
      </c>
      <c r="AD497" t="s">
        <v>81</v>
      </c>
      <c r="AE497">
        <v>3</v>
      </c>
      <c r="AF497" t="str" cm="1">
        <f t="array" ref="AF497">_xlfn.IFS(AE497&gt;=10,"Veteran (10y+)",AE497&gt;=3,"Established (3-10y)",AE497&lt;3,"New Hire (&lt;3y)")</f>
        <v>Established (3-10y)</v>
      </c>
      <c r="AG497">
        <v>2</v>
      </c>
      <c r="AH497">
        <v>1</v>
      </c>
      <c r="AI497">
        <v>2</v>
      </c>
    </row>
    <row r="498" spans="1:35">
      <c r="A498">
        <v>32</v>
      </c>
      <c r="B498" t="str">
        <f t="shared" si="7"/>
        <v>Middle Aged</v>
      </c>
      <c r="C498">
        <v>0</v>
      </c>
      <c r="D498" t="s">
        <v>36</v>
      </c>
      <c r="E498">
        <v>601</v>
      </c>
      <c r="F498" t="s">
        <v>37</v>
      </c>
      <c r="G498">
        <v>7</v>
      </c>
      <c r="H498" t="str" cm="1">
        <f t="array" ref="H498">_xlfn.IFS(G498&gt;15,"Long Commute",G498&gt;5,"Moderate",G498&lt;=5,"Near Office")</f>
        <v>Moderate</v>
      </c>
      <c r="I498" t="s">
        <v>84</v>
      </c>
      <c r="J498" t="s">
        <v>59</v>
      </c>
      <c r="K498">
        <v>4</v>
      </c>
      <c r="L498" t="s">
        <v>46</v>
      </c>
      <c r="M498">
        <v>97</v>
      </c>
      <c r="N498">
        <v>3</v>
      </c>
      <c r="O498">
        <v>2</v>
      </c>
      <c r="P498" t="s">
        <v>40</v>
      </c>
      <c r="Q498" t="s">
        <v>77</v>
      </c>
      <c r="R498" t="s">
        <v>48</v>
      </c>
      <c r="S498">
        <v>9204</v>
      </c>
      <c r="T498" t="str" cm="1">
        <f t="array" ref="T498">_xlfn.IFS(S498&gt;=10000,"High (&gt;10k)",S498&gt;=5000,"Medium (5k-10k)",S498&lt;5000,"Low (&lt;5k)")</f>
        <v>Medium (5k-10k)</v>
      </c>
      <c r="U498">
        <v>23343</v>
      </c>
      <c r="V498">
        <v>4</v>
      </c>
      <c r="W498" t="s">
        <v>43</v>
      </c>
      <c r="X498">
        <v>12</v>
      </c>
      <c r="Y498">
        <v>3</v>
      </c>
      <c r="Z498">
        <v>3</v>
      </c>
      <c r="AA498">
        <v>1</v>
      </c>
      <c r="AB498">
        <v>7</v>
      </c>
      <c r="AC498">
        <v>3</v>
      </c>
      <c r="AD498" t="s">
        <v>81</v>
      </c>
      <c r="AE498">
        <v>4</v>
      </c>
      <c r="AF498" t="str" cm="1">
        <f t="array" ref="AF498">_xlfn.IFS(AE498&gt;=10,"Veteran (10y+)",AE498&gt;=3,"Established (3-10y)",AE498&lt;3,"New Hire (&lt;3y)")</f>
        <v>Established (3-10y)</v>
      </c>
      <c r="AG498">
        <v>3</v>
      </c>
      <c r="AH498">
        <v>0</v>
      </c>
      <c r="AI498">
        <v>3</v>
      </c>
    </row>
    <row r="499" spans="1:35">
      <c r="A499">
        <v>32</v>
      </c>
      <c r="B499" t="str">
        <f t="shared" si="7"/>
        <v>Middle Aged</v>
      </c>
      <c r="C499">
        <v>0</v>
      </c>
      <c r="D499" t="s">
        <v>36</v>
      </c>
      <c r="E499">
        <v>495</v>
      </c>
      <c r="F499" t="s">
        <v>45</v>
      </c>
      <c r="G499">
        <v>10</v>
      </c>
      <c r="H499" t="str" cm="1">
        <f t="array" ref="H499">_xlfn.IFS(G499&gt;15,"Long Commute",G499&gt;5,"Moderate",G499&lt;=5,"Near Office")</f>
        <v>Moderate</v>
      </c>
      <c r="I499" t="s">
        <v>72</v>
      </c>
      <c r="J499" t="s">
        <v>51</v>
      </c>
      <c r="K499">
        <v>3</v>
      </c>
      <c r="L499" t="s">
        <v>46</v>
      </c>
      <c r="M499">
        <v>64</v>
      </c>
      <c r="N499">
        <v>3</v>
      </c>
      <c r="O499">
        <v>3</v>
      </c>
      <c r="P499" t="s">
        <v>56</v>
      </c>
      <c r="Q499" t="s">
        <v>77</v>
      </c>
      <c r="R499" t="s">
        <v>41</v>
      </c>
      <c r="S499">
        <v>11244</v>
      </c>
      <c r="T499" t="str" cm="1">
        <f t="array" ref="T499">_xlfn.IFS(S499&gt;=10000,"High (&gt;10k)",S499&gt;=5000,"Medium (5k-10k)",S499&lt;5000,"Low (&lt;5k)")</f>
        <v>High (&gt;10k)</v>
      </c>
      <c r="U499">
        <v>21072</v>
      </c>
      <c r="V499">
        <v>2</v>
      </c>
      <c r="W499" t="s">
        <v>43</v>
      </c>
      <c r="X499">
        <v>25</v>
      </c>
      <c r="Y499">
        <v>4</v>
      </c>
      <c r="Z499">
        <v>2</v>
      </c>
      <c r="AA499">
        <v>0</v>
      </c>
      <c r="AB499">
        <v>10</v>
      </c>
      <c r="AC499">
        <v>5</v>
      </c>
      <c r="AD499" t="s">
        <v>79</v>
      </c>
      <c r="AE499">
        <v>5</v>
      </c>
      <c r="AF499" t="str" cm="1">
        <f t="array" ref="AF499">_xlfn.IFS(AE499&gt;=10,"Veteran (10y+)",AE499&gt;=3,"Established (3-10y)",AE499&lt;3,"New Hire (&lt;3y)")</f>
        <v>Established (3-10y)</v>
      </c>
      <c r="AG499">
        <v>2</v>
      </c>
      <c r="AH499">
        <v>0</v>
      </c>
      <c r="AI499">
        <v>0</v>
      </c>
    </row>
    <row r="500" spans="1:35">
      <c r="A500">
        <v>32</v>
      </c>
      <c r="B500" t="str">
        <f t="shared" si="7"/>
        <v>Middle Aged</v>
      </c>
      <c r="C500">
        <v>0</v>
      </c>
      <c r="D500" t="s">
        <v>36</v>
      </c>
      <c r="E500">
        <v>824</v>
      </c>
      <c r="F500" t="s">
        <v>45</v>
      </c>
      <c r="G500">
        <v>5</v>
      </c>
      <c r="H500" t="str" cm="1">
        <f t="array" ref="H500">_xlfn.IFS(G500&gt;15,"Long Commute",G500&gt;5,"Moderate",G500&lt;=5,"Near Office")</f>
        <v>Near Office</v>
      </c>
      <c r="I500" t="s">
        <v>76</v>
      </c>
      <c r="J500" t="s">
        <v>38</v>
      </c>
      <c r="K500">
        <v>4</v>
      </c>
      <c r="L500" t="s">
        <v>39</v>
      </c>
      <c r="M500">
        <v>67</v>
      </c>
      <c r="N500">
        <v>2</v>
      </c>
      <c r="O500">
        <v>2</v>
      </c>
      <c r="P500" t="s">
        <v>47</v>
      </c>
      <c r="Q500" t="s">
        <v>75</v>
      </c>
      <c r="R500" t="s">
        <v>48</v>
      </c>
      <c r="S500">
        <v>5878</v>
      </c>
      <c r="T500" t="str" cm="1">
        <f t="array" ref="T500">_xlfn.IFS(S500&gt;=10000,"High (&gt;10k)",S500&gt;=5000,"Medium (5k-10k)",S500&lt;5000,"Low (&lt;5k)")</f>
        <v>Medium (5k-10k)</v>
      </c>
      <c r="U500">
        <v>15624</v>
      </c>
      <c r="V500">
        <v>3</v>
      </c>
      <c r="W500" t="s">
        <v>43</v>
      </c>
      <c r="X500">
        <v>12</v>
      </c>
      <c r="Y500">
        <v>3</v>
      </c>
      <c r="Z500">
        <v>1</v>
      </c>
      <c r="AA500">
        <v>1</v>
      </c>
      <c r="AB500">
        <v>12</v>
      </c>
      <c r="AC500">
        <v>2</v>
      </c>
      <c r="AD500" t="s">
        <v>74</v>
      </c>
      <c r="AE500">
        <v>7</v>
      </c>
      <c r="AF500" t="str" cm="1">
        <f t="array" ref="AF500">_xlfn.IFS(AE500&gt;=10,"Veteran (10y+)",AE500&gt;=3,"Established (3-10y)",AE500&lt;3,"New Hire (&lt;3y)")</f>
        <v>Established (3-10y)</v>
      </c>
      <c r="AG500">
        <v>1</v>
      </c>
      <c r="AH500">
        <v>2</v>
      </c>
      <c r="AI500">
        <v>5</v>
      </c>
    </row>
    <row r="501" spans="1:35">
      <c r="A501">
        <v>32</v>
      </c>
      <c r="B501" t="str">
        <f t="shared" si="7"/>
        <v>Middle Aged</v>
      </c>
      <c r="C501">
        <v>0</v>
      </c>
      <c r="D501" t="s">
        <v>55</v>
      </c>
      <c r="E501">
        <v>1200</v>
      </c>
      <c r="F501" t="s">
        <v>45</v>
      </c>
      <c r="G501">
        <v>1</v>
      </c>
      <c r="H501" t="str" cm="1">
        <f t="array" ref="H501">_xlfn.IFS(G501&gt;15,"Long Commute",G501&gt;5,"Moderate",G501&lt;=5,"Near Office")</f>
        <v>Near Office</v>
      </c>
      <c r="I501" t="s">
        <v>83</v>
      </c>
      <c r="J501" t="s">
        <v>60</v>
      </c>
      <c r="K501">
        <v>4</v>
      </c>
      <c r="L501" t="s">
        <v>46</v>
      </c>
      <c r="M501">
        <v>62</v>
      </c>
      <c r="N501">
        <v>3</v>
      </c>
      <c r="O501">
        <v>2</v>
      </c>
      <c r="P501" t="s">
        <v>47</v>
      </c>
      <c r="Q501" t="s">
        <v>82</v>
      </c>
      <c r="R501" t="s">
        <v>48</v>
      </c>
      <c r="S501">
        <v>4087</v>
      </c>
      <c r="T501" t="str" cm="1">
        <f t="array" ref="T501">_xlfn.IFS(S501&gt;=10000,"High (&gt;10k)",S501&gt;=5000,"Medium (5k-10k)",S501&lt;5000,"Low (&lt;5k)")</f>
        <v>Low (&lt;5k)</v>
      </c>
      <c r="U501">
        <v>25174</v>
      </c>
      <c r="V501">
        <v>4</v>
      </c>
      <c r="W501" t="s">
        <v>43</v>
      </c>
      <c r="X501">
        <v>14</v>
      </c>
      <c r="Y501">
        <v>3</v>
      </c>
      <c r="Z501">
        <v>2</v>
      </c>
      <c r="AA501">
        <v>1</v>
      </c>
      <c r="AB501">
        <v>9</v>
      </c>
      <c r="AC501">
        <v>3</v>
      </c>
      <c r="AD501" t="s">
        <v>81</v>
      </c>
      <c r="AE501">
        <v>6</v>
      </c>
      <c r="AF501" t="str" cm="1">
        <f t="array" ref="AF501">_xlfn.IFS(AE501&gt;=10,"Veteran (10y+)",AE501&gt;=3,"Established (3-10y)",AE501&lt;3,"New Hire (&lt;3y)")</f>
        <v>Established (3-10y)</v>
      </c>
      <c r="AG501">
        <v>5</v>
      </c>
      <c r="AH501">
        <v>1</v>
      </c>
      <c r="AI501">
        <v>2</v>
      </c>
    </row>
    <row r="502" spans="1:35">
      <c r="A502">
        <v>32</v>
      </c>
      <c r="B502" t="str">
        <f t="shared" si="7"/>
        <v>Middle Aged</v>
      </c>
      <c r="C502">
        <v>0</v>
      </c>
      <c r="D502" t="s">
        <v>36</v>
      </c>
      <c r="E502">
        <v>634</v>
      </c>
      <c r="F502" t="s">
        <v>45</v>
      </c>
      <c r="G502">
        <v>5</v>
      </c>
      <c r="H502" t="str" cm="1">
        <f t="array" ref="H502">_xlfn.IFS(G502&gt;15,"Long Commute",G502&gt;5,"Moderate",G502&lt;=5,"Near Office")</f>
        <v>Near Office</v>
      </c>
      <c r="I502" t="s">
        <v>83</v>
      </c>
      <c r="J502" t="s">
        <v>49</v>
      </c>
      <c r="K502">
        <v>2</v>
      </c>
      <c r="L502" t="s">
        <v>39</v>
      </c>
      <c r="M502">
        <v>35</v>
      </c>
      <c r="N502">
        <v>4</v>
      </c>
      <c r="O502">
        <v>1</v>
      </c>
      <c r="P502" t="s">
        <v>47</v>
      </c>
      <c r="Q502" t="s">
        <v>77</v>
      </c>
      <c r="R502" t="s">
        <v>48</v>
      </c>
      <c r="S502">
        <v>3312</v>
      </c>
      <c r="T502" t="str" cm="1">
        <f t="array" ref="T502">_xlfn.IFS(S502&gt;=10000,"High (&gt;10k)",S502&gt;=5000,"Medium (5k-10k)",S502&lt;5000,"Low (&lt;5k)")</f>
        <v>Low (&lt;5k)</v>
      </c>
      <c r="U502">
        <v>18783</v>
      </c>
      <c r="V502">
        <v>3</v>
      </c>
      <c r="W502" t="s">
        <v>43</v>
      </c>
      <c r="X502">
        <v>17</v>
      </c>
      <c r="Y502">
        <v>3</v>
      </c>
      <c r="Z502">
        <v>4</v>
      </c>
      <c r="AA502">
        <v>2</v>
      </c>
      <c r="AB502">
        <v>6</v>
      </c>
      <c r="AC502">
        <v>3</v>
      </c>
      <c r="AD502" t="s">
        <v>74</v>
      </c>
      <c r="AE502">
        <v>3</v>
      </c>
      <c r="AF502" t="str" cm="1">
        <f t="array" ref="AF502">_xlfn.IFS(AE502&gt;=10,"Veteran (10y+)",AE502&gt;=3,"Established (3-10y)",AE502&lt;3,"New Hire (&lt;3y)")</f>
        <v>Established (3-10y)</v>
      </c>
      <c r="AG502">
        <v>2</v>
      </c>
      <c r="AH502">
        <v>0</v>
      </c>
      <c r="AI502">
        <v>2</v>
      </c>
    </row>
    <row r="503" spans="1:35">
      <c r="A503">
        <v>32</v>
      </c>
      <c r="B503" t="str">
        <f t="shared" si="7"/>
        <v>Middle Aged</v>
      </c>
      <c r="C503">
        <v>0</v>
      </c>
      <c r="D503" t="s">
        <v>36</v>
      </c>
      <c r="E503">
        <v>977</v>
      </c>
      <c r="F503" t="s">
        <v>45</v>
      </c>
      <c r="G503">
        <v>2</v>
      </c>
      <c r="H503" t="str" cm="1">
        <f t="array" ref="H503">_xlfn.IFS(G503&gt;15,"Long Commute",G503&gt;5,"Moderate",G503&lt;=5,"Near Office")</f>
        <v>Near Office</v>
      </c>
      <c r="I503" t="s">
        <v>72</v>
      </c>
      <c r="J503" t="s">
        <v>51</v>
      </c>
      <c r="K503">
        <v>4</v>
      </c>
      <c r="L503" t="s">
        <v>46</v>
      </c>
      <c r="M503">
        <v>45</v>
      </c>
      <c r="N503">
        <v>3</v>
      </c>
      <c r="O503">
        <v>2</v>
      </c>
      <c r="P503" t="s">
        <v>47</v>
      </c>
      <c r="Q503" t="s">
        <v>75</v>
      </c>
      <c r="R503" t="s">
        <v>52</v>
      </c>
      <c r="S503">
        <v>5470</v>
      </c>
      <c r="T503" t="str" cm="1">
        <f t="array" ref="T503">_xlfn.IFS(S503&gt;=10000,"High (&gt;10k)",S503&gt;=5000,"Medium (5k-10k)",S503&lt;5000,"Low (&lt;5k)")</f>
        <v>Medium (5k-10k)</v>
      </c>
      <c r="U503">
        <v>25518</v>
      </c>
      <c r="V503">
        <v>0</v>
      </c>
      <c r="W503" t="s">
        <v>43</v>
      </c>
      <c r="X503">
        <v>13</v>
      </c>
      <c r="Y503">
        <v>3</v>
      </c>
      <c r="Z503">
        <v>3</v>
      </c>
      <c r="AA503">
        <v>2</v>
      </c>
      <c r="AB503">
        <v>10</v>
      </c>
      <c r="AC503">
        <v>4</v>
      </c>
      <c r="AD503" t="s">
        <v>81</v>
      </c>
      <c r="AE503">
        <v>9</v>
      </c>
      <c r="AF503" t="str" cm="1">
        <f t="array" ref="AF503">_xlfn.IFS(AE503&gt;=10,"Veteran (10y+)",AE503&gt;=3,"Established (3-10y)",AE503&lt;3,"New Hire (&lt;3y)")</f>
        <v>Established (3-10y)</v>
      </c>
      <c r="AG503">
        <v>5</v>
      </c>
      <c r="AH503">
        <v>1</v>
      </c>
      <c r="AI503">
        <v>6</v>
      </c>
    </row>
    <row r="504" spans="1:35">
      <c r="A504">
        <v>32</v>
      </c>
      <c r="B504" t="str">
        <f t="shared" si="7"/>
        <v>Middle Aged</v>
      </c>
      <c r="C504">
        <v>1</v>
      </c>
      <c r="D504" t="s">
        <v>36</v>
      </c>
      <c r="E504">
        <v>1259</v>
      </c>
      <c r="F504" t="s">
        <v>45</v>
      </c>
      <c r="G504">
        <v>2</v>
      </c>
      <c r="H504" t="str" cm="1">
        <f t="array" ref="H504">_xlfn.IFS(G504&gt;15,"Long Commute",G504&gt;5,"Moderate",G504&lt;=5,"Near Office")</f>
        <v>Near Office</v>
      </c>
      <c r="I504" t="s">
        <v>83</v>
      </c>
      <c r="J504" t="s">
        <v>38</v>
      </c>
      <c r="K504">
        <v>4</v>
      </c>
      <c r="L504" t="s">
        <v>46</v>
      </c>
      <c r="M504">
        <v>95</v>
      </c>
      <c r="N504">
        <v>3</v>
      </c>
      <c r="O504">
        <v>1</v>
      </c>
      <c r="P504" t="s">
        <v>50</v>
      </c>
      <c r="Q504" t="s">
        <v>75</v>
      </c>
      <c r="R504" t="s">
        <v>41</v>
      </c>
      <c r="S504">
        <v>1393</v>
      </c>
      <c r="T504" t="str" cm="1">
        <f t="array" ref="T504">_xlfn.IFS(S504&gt;=10000,"High (&gt;10k)",S504&gt;=5000,"Medium (5k-10k)",S504&lt;5000,"Low (&lt;5k)")</f>
        <v>Low (&lt;5k)</v>
      </c>
      <c r="U504">
        <v>24852</v>
      </c>
      <c r="V504">
        <v>1</v>
      </c>
      <c r="W504" t="s">
        <v>43</v>
      </c>
      <c r="X504">
        <v>12</v>
      </c>
      <c r="Y504">
        <v>3</v>
      </c>
      <c r="Z504">
        <v>1</v>
      </c>
      <c r="AA504">
        <v>0</v>
      </c>
      <c r="AB504">
        <v>1</v>
      </c>
      <c r="AC504">
        <v>2</v>
      </c>
      <c r="AD504" t="s">
        <v>74</v>
      </c>
      <c r="AE504">
        <v>1</v>
      </c>
      <c r="AF504" t="str" cm="1">
        <f t="array" ref="AF504">_xlfn.IFS(AE504&gt;=10,"Veteran (10y+)",AE504&gt;=3,"Established (3-10y)",AE504&lt;3,"New Hire (&lt;3y)")</f>
        <v>New Hire (&lt;3y)</v>
      </c>
      <c r="AG504">
        <v>0</v>
      </c>
      <c r="AH504">
        <v>0</v>
      </c>
      <c r="AI504">
        <v>0</v>
      </c>
    </row>
    <row r="505" spans="1:35">
      <c r="A505">
        <v>32</v>
      </c>
      <c r="B505" t="str">
        <f t="shared" si="7"/>
        <v>Middle Aged</v>
      </c>
      <c r="C505">
        <v>0</v>
      </c>
      <c r="D505" t="s">
        <v>44</v>
      </c>
      <c r="E505">
        <v>585</v>
      </c>
      <c r="F505" t="s">
        <v>45</v>
      </c>
      <c r="G505">
        <v>10</v>
      </c>
      <c r="H505" t="str" cm="1">
        <f t="array" ref="H505">_xlfn.IFS(G505&gt;15,"Long Commute",G505&gt;5,"Moderate",G505&lt;=5,"Near Office")</f>
        <v>Moderate</v>
      </c>
      <c r="I505" t="s">
        <v>72</v>
      </c>
      <c r="J505" t="s">
        <v>38</v>
      </c>
      <c r="K505">
        <v>1</v>
      </c>
      <c r="L505" t="s">
        <v>46</v>
      </c>
      <c r="M505">
        <v>56</v>
      </c>
      <c r="N505">
        <v>3</v>
      </c>
      <c r="O505">
        <v>1</v>
      </c>
      <c r="P505" t="s">
        <v>47</v>
      </c>
      <c r="Q505" t="s">
        <v>73</v>
      </c>
      <c r="R505" t="s">
        <v>48</v>
      </c>
      <c r="S505">
        <v>3433</v>
      </c>
      <c r="T505" t="str" cm="1">
        <f t="array" ref="T505">_xlfn.IFS(S505&gt;=10000,"High (&gt;10k)",S505&gt;=5000,"Medium (5k-10k)",S505&lt;5000,"Low (&lt;5k)")</f>
        <v>Low (&lt;5k)</v>
      </c>
      <c r="U505">
        <v>17360</v>
      </c>
      <c r="V505">
        <v>6</v>
      </c>
      <c r="W505" t="s">
        <v>43</v>
      </c>
      <c r="X505">
        <v>13</v>
      </c>
      <c r="Y505">
        <v>3</v>
      </c>
      <c r="Z505">
        <v>1</v>
      </c>
      <c r="AA505">
        <v>1</v>
      </c>
      <c r="AB505">
        <v>10</v>
      </c>
      <c r="AC505">
        <v>3</v>
      </c>
      <c r="AD505" t="s">
        <v>81</v>
      </c>
      <c r="AE505">
        <v>5</v>
      </c>
      <c r="AF505" t="str" cm="1">
        <f t="array" ref="AF505">_xlfn.IFS(AE505&gt;=10,"Veteran (10y+)",AE505&gt;=3,"Established (3-10y)",AE505&lt;3,"New Hire (&lt;3y)")</f>
        <v>Established (3-10y)</v>
      </c>
      <c r="AG505">
        <v>2</v>
      </c>
      <c r="AH505">
        <v>1</v>
      </c>
      <c r="AI505">
        <v>3</v>
      </c>
    </row>
    <row r="506" spans="1:35">
      <c r="A506">
        <v>32</v>
      </c>
      <c r="B506" t="str">
        <f t="shared" si="7"/>
        <v>Middle Aged</v>
      </c>
      <c r="C506">
        <v>1</v>
      </c>
      <c r="D506" t="s">
        <v>36</v>
      </c>
      <c r="E506">
        <v>964</v>
      </c>
      <c r="F506" t="s">
        <v>37</v>
      </c>
      <c r="G506">
        <v>1</v>
      </c>
      <c r="H506" t="str" cm="1">
        <f t="array" ref="H506">_xlfn.IFS(G506&gt;15,"Long Commute",G506&gt;5,"Moderate",G506&lt;=5,"Near Office")</f>
        <v>Near Office</v>
      </c>
      <c r="I506" t="s">
        <v>76</v>
      </c>
      <c r="J506" t="s">
        <v>38</v>
      </c>
      <c r="K506">
        <v>1</v>
      </c>
      <c r="L506" t="s">
        <v>46</v>
      </c>
      <c r="M506">
        <v>34</v>
      </c>
      <c r="N506">
        <v>1</v>
      </c>
      <c r="O506">
        <v>2</v>
      </c>
      <c r="P506" t="s">
        <v>40</v>
      </c>
      <c r="Q506" t="s">
        <v>75</v>
      </c>
      <c r="R506" t="s">
        <v>41</v>
      </c>
      <c r="S506">
        <v>6735</v>
      </c>
      <c r="T506" t="str" cm="1">
        <f t="array" ref="T506">_xlfn.IFS(S506&gt;=10000,"High (&gt;10k)",S506&gt;=5000,"Medium (5k-10k)",S506&lt;5000,"Low (&lt;5k)")</f>
        <v>Medium (5k-10k)</v>
      </c>
      <c r="U506">
        <v>12147</v>
      </c>
      <c r="V506">
        <v>6</v>
      </c>
      <c r="W506" t="s">
        <v>43</v>
      </c>
      <c r="X506">
        <v>15</v>
      </c>
      <c r="Y506">
        <v>3</v>
      </c>
      <c r="Z506">
        <v>2</v>
      </c>
      <c r="AA506">
        <v>0</v>
      </c>
      <c r="AB506">
        <v>10</v>
      </c>
      <c r="AC506">
        <v>2</v>
      </c>
      <c r="AD506" t="s">
        <v>74</v>
      </c>
      <c r="AE506">
        <v>0</v>
      </c>
      <c r="AF506" t="str" cm="1">
        <f t="array" ref="AF506">_xlfn.IFS(AE506&gt;=10,"Veteran (10y+)",AE506&gt;=3,"Established (3-10y)",AE506&lt;3,"New Hire (&lt;3y)")</f>
        <v>New Hire (&lt;3y)</v>
      </c>
      <c r="AG506">
        <v>0</v>
      </c>
      <c r="AH506">
        <v>0</v>
      </c>
      <c r="AI506">
        <v>0</v>
      </c>
    </row>
    <row r="507" spans="1:35">
      <c r="A507">
        <v>32</v>
      </c>
      <c r="B507" t="str">
        <f t="shared" si="7"/>
        <v>Middle Aged</v>
      </c>
      <c r="C507">
        <v>0</v>
      </c>
      <c r="D507" t="s">
        <v>36</v>
      </c>
      <c r="E507">
        <v>371</v>
      </c>
      <c r="F507" t="s">
        <v>37</v>
      </c>
      <c r="G507">
        <v>19</v>
      </c>
      <c r="H507" t="str" cm="1">
        <f t="array" ref="H507">_xlfn.IFS(G507&gt;15,"Long Commute",G507&gt;5,"Moderate",G507&lt;=5,"Near Office")</f>
        <v>Long Commute</v>
      </c>
      <c r="I507" t="s">
        <v>72</v>
      </c>
      <c r="J507" t="s">
        <v>38</v>
      </c>
      <c r="K507">
        <v>4</v>
      </c>
      <c r="L507" t="s">
        <v>46</v>
      </c>
      <c r="M507">
        <v>80</v>
      </c>
      <c r="N507">
        <v>1</v>
      </c>
      <c r="O507">
        <v>3</v>
      </c>
      <c r="P507" t="s">
        <v>40</v>
      </c>
      <c r="Q507" t="s">
        <v>73</v>
      </c>
      <c r="R507" t="s">
        <v>48</v>
      </c>
      <c r="S507">
        <v>9610</v>
      </c>
      <c r="T507" t="str" cm="1">
        <f t="array" ref="T507">_xlfn.IFS(S507&gt;=10000,"High (&gt;10k)",S507&gt;=5000,"Medium (5k-10k)",S507&lt;5000,"Low (&lt;5k)")</f>
        <v>Medium (5k-10k)</v>
      </c>
      <c r="U507">
        <v>3840</v>
      </c>
      <c r="V507">
        <v>3</v>
      </c>
      <c r="W507" t="s">
        <v>43</v>
      </c>
      <c r="X507">
        <v>13</v>
      </c>
      <c r="Y507">
        <v>3</v>
      </c>
      <c r="Z507">
        <v>3</v>
      </c>
      <c r="AA507">
        <v>1</v>
      </c>
      <c r="AB507">
        <v>10</v>
      </c>
      <c r="AC507">
        <v>2</v>
      </c>
      <c r="AD507" t="s">
        <v>80</v>
      </c>
      <c r="AE507">
        <v>4</v>
      </c>
      <c r="AF507" t="str" cm="1">
        <f t="array" ref="AF507">_xlfn.IFS(AE507&gt;=10,"Veteran (10y+)",AE507&gt;=3,"Established (3-10y)",AE507&lt;3,"New Hire (&lt;3y)")</f>
        <v>Established (3-10y)</v>
      </c>
      <c r="AG507">
        <v>3</v>
      </c>
      <c r="AH507">
        <v>0</v>
      </c>
      <c r="AI507">
        <v>2</v>
      </c>
    </row>
    <row r="508" spans="1:35">
      <c r="A508">
        <v>32</v>
      </c>
      <c r="B508" t="str">
        <f t="shared" si="7"/>
        <v>Middle Aged</v>
      </c>
      <c r="C508">
        <v>0</v>
      </c>
      <c r="D508" t="s">
        <v>55</v>
      </c>
      <c r="E508">
        <v>953</v>
      </c>
      <c r="F508" t="s">
        <v>45</v>
      </c>
      <c r="G508">
        <v>5</v>
      </c>
      <c r="H508" t="str" cm="1">
        <f t="array" ref="H508">_xlfn.IFS(G508&gt;15,"Long Commute",G508&gt;5,"Moderate",G508&lt;=5,"Near Office")</f>
        <v>Near Office</v>
      </c>
      <c r="I508" t="s">
        <v>83</v>
      </c>
      <c r="J508" t="s">
        <v>60</v>
      </c>
      <c r="K508">
        <v>2</v>
      </c>
      <c r="L508" t="s">
        <v>46</v>
      </c>
      <c r="M508">
        <v>65</v>
      </c>
      <c r="N508">
        <v>3</v>
      </c>
      <c r="O508">
        <v>1</v>
      </c>
      <c r="P508" t="s">
        <v>47</v>
      </c>
      <c r="Q508" t="s">
        <v>75</v>
      </c>
      <c r="R508" t="s">
        <v>41</v>
      </c>
      <c r="S508">
        <v>2718</v>
      </c>
      <c r="T508" t="str" cm="1">
        <f t="array" ref="T508">_xlfn.IFS(S508&gt;=10000,"High (&gt;10k)",S508&gt;=5000,"Medium (5k-10k)",S508&lt;5000,"Low (&lt;5k)")</f>
        <v>Low (&lt;5k)</v>
      </c>
      <c r="U508">
        <v>17674</v>
      </c>
      <c r="V508">
        <v>2</v>
      </c>
      <c r="W508" t="s">
        <v>43</v>
      </c>
      <c r="X508">
        <v>14</v>
      </c>
      <c r="Y508">
        <v>3</v>
      </c>
      <c r="Z508">
        <v>2</v>
      </c>
      <c r="AA508">
        <v>0</v>
      </c>
      <c r="AB508">
        <v>12</v>
      </c>
      <c r="AC508">
        <v>3</v>
      </c>
      <c r="AD508" t="s">
        <v>74</v>
      </c>
      <c r="AE508">
        <v>7</v>
      </c>
      <c r="AF508" t="str" cm="1">
        <f t="array" ref="AF508">_xlfn.IFS(AE508&gt;=10,"Veteran (10y+)",AE508&gt;=3,"Established (3-10y)",AE508&lt;3,"New Hire (&lt;3y)")</f>
        <v>Established (3-10y)</v>
      </c>
      <c r="AG508">
        <v>7</v>
      </c>
      <c r="AH508">
        <v>0</v>
      </c>
      <c r="AI508">
        <v>7</v>
      </c>
    </row>
    <row r="509" spans="1:35">
      <c r="A509">
        <v>32</v>
      </c>
      <c r="B509" t="str">
        <f t="shared" si="7"/>
        <v>Middle Aged</v>
      </c>
      <c r="C509">
        <v>0</v>
      </c>
      <c r="D509" t="s">
        <v>44</v>
      </c>
      <c r="E509">
        <v>1318</v>
      </c>
      <c r="F509" t="s">
        <v>37</v>
      </c>
      <c r="G509">
        <v>10</v>
      </c>
      <c r="H509" t="str" cm="1">
        <f t="array" ref="H509">_xlfn.IFS(G509&gt;15,"Long Commute",G509&gt;5,"Moderate",G509&lt;=5,"Near Office")</f>
        <v>Moderate</v>
      </c>
      <c r="I509" t="s">
        <v>83</v>
      </c>
      <c r="J509" t="s">
        <v>59</v>
      </c>
      <c r="K509">
        <v>4</v>
      </c>
      <c r="L509" t="s">
        <v>46</v>
      </c>
      <c r="M509">
        <v>79</v>
      </c>
      <c r="N509">
        <v>3</v>
      </c>
      <c r="O509">
        <v>2</v>
      </c>
      <c r="P509" t="s">
        <v>40</v>
      </c>
      <c r="Q509" t="s">
        <v>77</v>
      </c>
      <c r="R509" t="s">
        <v>41</v>
      </c>
      <c r="S509">
        <v>4648</v>
      </c>
      <c r="T509" t="str" cm="1">
        <f t="array" ref="T509">_xlfn.IFS(S509&gt;=10000,"High (&gt;10k)",S509&gt;=5000,"Medium (5k-10k)",S509&lt;5000,"Low (&lt;5k)")</f>
        <v>Low (&lt;5k)</v>
      </c>
      <c r="U509">
        <v>26075</v>
      </c>
      <c r="V509">
        <v>8</v>
      </c>
      <c r="W509" t="s">
        <v>43</v>
      </c>
      <c r="X509">
        <v>13</v>
      </c>
      <c r="Y509">
        <v>3</v>
      </c>
      <c r="Z509">
        <v>3</v>
      </c>
      <c r="AA509">
        <v>0</v>
      </c>
      <c r="AB509">
        <v>4</v>
      </c>
      <c r="AC509">
        <v>2</v>
      </c>
      <c r="AD509" t="s">
        <v>79</v>
      </c>
      <c r="AE509">
        <v>0</v>
      </c>
      <c r="AF509" t="str" cm="1">
        <f t="array" ref="AF509">_xlfn.IFS(AE509&gt;=10,"Veteran (10y+)",AE509&gt;=3,"Established (3-10y)",AE509&lt;3,"New Hire (&lt;3y)")</f>
        <v>New Hire (&lt;3y)</v>
      </c>
      <c r="AG509">
        <v>0</v>
      </c>
      <c r="AH509">
        <v>0</v>
      </c>
      <c r="AI509">
        <v>0</v>
      </c>
    </row>
    <row r="510" spans="1:35">
      <c r="A510">
        <v>32</v>
      </c>
      <c r="B510" t="str">
        <f t="shared" si="7"/>
        <v>Middle Aged</v>
      </c>
      <c r="C510">
        <v>1</v>
      </c>
      <c r="D510" t="s">
        <v>36</v>
      </c>
      <c r="E510">
        <v>414</v>
      </c>
      <c r="F510" t="s">
        <v>37</v>
      </c>
      <c r="G510">
        <v>2</v>
      </c>
      <c r="H510" t="str" cm="1">
        <f t="array" ref="H510">_xlfn.IFS(G510&gt;15,"Long Commute",G510&gt;5,"Moderate",G510&lt;=5,"Near Office")</f>
        <v>Near Office</v>
      </c>
      <c r="I510" t="s">
        <v>83</v>
      </c>
      <c r="J510" t="s">
        <v>59</v>
      </c>
      <c r="K510">
        <v>3</v>
      </c>
      <c r="L510" t="s">
        <v>46</v>
      </c>
      <c r="M510">
        <v>82</v>
      </c>
      <c r="N510">
        <v>2</v>
      </c>
      <c r="O510">
        <v>2</v>
      </c>
      <c r="P510" t="s">
        <v>40</v>
      </c>
      <c r="Q510" t="s">
        <v>75</v>
      </c>
      <c r="R510" t="s">
        <v>41</v>
      </c>
      <c r="S510">
        <v>9907</v>
      </c>
      <c r="T510" t="str" cm="1">
        <f t="array" ref="T510">_xlfn.IFS(S510&gt;=10000,"High (&gt;10k)",S510&gt;=5000,"Medium (5k-10k)",S510&lt;5000,"Low (&lt;5k)")</f>
        <v>Medium (5k-10k)</v>
      </c>
      <c r="U510">
        <v>26186</v>
      </c>
      <c r="V510">
        <v>7</v>
      </c>
      <c r="W510" t="s">
        <v>35</v>
      </c>
      <c r="X510">
        <v>12</v>
      </c>
      <c r="Y510">
        <v>3</v>
      </c>
      <c r="Z510">
        <v>3</v>
      </c>
      <c r="AA510">
        <v>0</v>
      </c>
      <c r="AB510">
        <v>7</v>
      </c>
      <c r="AC510">
        <v>3</v>
      </c>
      <c r="AD510" t="s">
        <v>81</v>
      </c>
      <c r="AE510">
        <v>2</v>
      </c>
      <c r="AF510" t="str" cm="1">
        <f t="array" ref="AF510">_xlfn.IFS(AE510&gt;=10,"Veteran (10y+)",AE510&gt;=3,"Established (3-10y)",AE510&lt;3,"New Hire (&lt;3y)")</f>
        <v>New Hire (&lt;3y)</v>
      </c>
      <c r="AG510">
        <v>2</v>
      </c>
      <c r="AH510">
        <v>2</v>
      </c>
      <c r="AI510">
        <v>2</v>
      </c>
    </row>
    <row r="511" spans="1:35">
      <c r="A511">
        <v>32</v>
      </c>
      <c r="B511" t="str">
        <f t="shared" si="7"/>
        <v>Middle Aged</v>
      </c>
      <c r="C511">
        <v>1</v>
      </c>
      <c r="D511" t="s">
        <v>44</v>
      </c>
      <c r="E511">
        <v>238</v>
      </c>
      <c r="F511" t="s">
        <v>45</v>
      </c>
      <c r="G511">
        <v>5</v>
      </c>
      <c r="H511" t="str" cm="1">
        <f t="array" ref="H511">_xlfn.IFS(G511&gt;15,"Long Commute",G511&gt;5,"Moderate",G511&lt;=5,"Near Office")</f>
        <v>Near Office</v>
      </c>
      <c r="I511" t="s">
        <v>76</v>
      </c>
      <c r="J511" t="s">
        <v>38</v>
      </c>
      <c r="K511">
        <v>1</v>
      </c>
      <c r="L511" t="s">
        <v>39</v>
      </c>
      <c r="M511">
        <v>47</v>
      </c>
      <c r="N511">
        <v>4</v>
      </c>
      <c r="O511">
        <v>1</v>
      </c>
      <c r="P511" t="s">
        <v>47</v>
      </c>
      <c r="Q511" t="s">
        <v>73</v>
      </c>
      <c r="R511" t="s">
        <v>41</v>
      </c>
      <c r="S511">
        <v>2432</v>
      </c>
      <c r="T511" t="str" cm="1">
        <f t="array" ref="T511">_xlfn.IFS(S511&gt;=10000,"High (&gt;10k)",S511&gt;=5000,"Medium (5k-10k)",S511&lt;5000,"Low (&lt;5k)")</f>
        <v>Low (&lt;5k)</v>
      </c>
      <c r="U511">
        <v>15318</v>
      </c>
      <c r="V511">
        <v>3</v>
      </c>
      <c r="W511" t="s">
        <v>35</v>
      </c>
      <c r="X511">
        <v>14</v>
      </c>
      <c r="Y511">
        <v>3</v>
      </c>
      <c r="Z511">
        <v>1</v>
      </c>
      <c r="AA511">
        <v>0</v>
      </c>
      <c r="AB511">
        <v>8</v>
      </c>
      <c r="AC511">
        <v>2</v>
      </c>
      <c r="AD511" t="s">
        <v>74</v>
      </c>
      <c r="AE511">
        <v>4</v>
      </c>
      <c r="AF511" t="str" cm="1">
        <f t="array" ref="AF511">_xlfn.IFS(AE511&gt;=10,"Veteran (10y+)",AE511&gt;=3,"Established (3-10y)",AE511&lt;3,"New Hire (&lt;3y)")</f>
        <v>Established (3-10y)</v>
      </c>
      <c r="AG511">
        <v>1</v>
      </c>
      <c r="AH511">
        <v>0</v>
      </c>
      <c r="AI511">
        <v>3</v>
      </c>
    </row>
    <row r="512" spans="1:35">
      <c r="A512">
        <v>32</v>
      </c>
      <c r="B512" t="str">
        <f t="shared" si="7"/>
        <v>Middle Aged</v>
      </c>
      <c r="C512">
        <v>0</v>
      </c>
      <c r="D512" t="s">
        <v>55</v>
      </c>
      <c r="E512">
        <v>1146</v>
      </c>
      <c r="F512" t="s">
        <v>45</v>
      </c>
      <c r="G512">
        <v>15</v>
      </c>
      <c r="H512" t="str" cm="1">
        <f t="array" ref="H512">_xlfn.IFS(G512&gt;15,"Long Commute",G512&gt;5,"Moderate",G512&lt;=5,"Near Office")</f>
        <v>Moderate</v>
      </c>
      <c r="I512" t="s">
        <v>83</v>
      </c>
      <c r="J512" t="s">
        <v>51</v>
      </c>
      <c r="K512">
        <v>3</v>
      </c>
      <c r="L512" t="s">
        <v>39</v>
      </c>
      <c r="M512">
        <v>34</v>
      </c>
      <c r="N512">
        <v>3</v>
      </c>
      <c r="O512">
        <v>2</v>
      </c>
      <c r="P512" t="s">
        <v>54</v>
      </c>
      <c r="Q512" t="s">
        <v>77</v>
      </c>
      <c r="R512" t="s">
        <v>52</v>
      </c>
      <c r="S512">
        <v>6667</v>
      </c>
      <c r="T512" t="str" cm="1">
        <f t="array" ref="T512">_xlfn.IFS(S512&gt;=10000,"High (&gt;10k)",S512&gt;=5000,"Medium (5k-10k)",S512&lt;5000,"Low (&lt;5k)")</f>
        <v>Medium (5k-10k)</v>
      </c>
      <c r="U512">
        <v>16542</v>
      </c>
      <c r="V512">
        <v>5</v>
      </c>
      <c r="W512" t="s">
        <v>43</v>
      </c>
      <c r="X512">
        <v>18</v>
      </c>
      <c r="Y512">
        <v>3</v>
      </c>
      <c r="Z512">
        <v>2</v>
      </c>
      <c r="AA512">
        <v>1</v>
      </c>
      <c r="AB512">
        <v>9</v>
      </c>
      <c r="AC512">
        <v>6</v>
      </c>
      <c r="AD512" t="s">
        <v>74</v>
      </c>
      <c r="AE512">
        <v>5</v>
      </c>
      <c r="AF512" t="str" cm="1">
        <f t="array" ref="AF512">_xlfn.IFS(AE512&gt;=10,"Veteran (10y+)",AE512&gt;=3,"Established (3-10y)",AE512&lt;3,"New Hire (&lt;3y)")</f>
        <v>Established (3-10y)</v>
      </c>
      <c r="AG512">
        <v>1</v>
      </c>
      <c r="AH512">
        <v>1</v>
      </c>
      <c r="AI512">
        <v>2</v>
      </c>
    </row>
    <row r="513" spans="1:35">
      <c r="A513">
        <v>32</v>
      </c>
      <c r="B513" t="str">
        <f t="shared" si="7"/>
        <v>Middle Aged</v>
      </c>
      <c r="C513">
        <v>0</v>
      </c>
      <c r="D513" t="s">
        <v>36</v>
      </c>
      <c r="E513">
        <v>1373</v>
      </c>
      <c r="F513" t="s">
        <v>45</v>
      </c>
      <c r="G513">
        <v>5</v>
      </c>
      <c r="H513" t="str" cm="1">
        <f t="array" ref="H513">_xlfn.IFS(G513&gt;15,"Long Commute",G513&gt;5,"Moderate",G513&lt;=5,"Near Office")</f>
        <v>Near Office</v>
      </c>
      <c r="I513" t="s">
        <v>83</v>
      </c>
      <c r="J513" t="s">
        <v>38</v>
      </c>
      <c r="K513">
        <v>4</v>
      </c>
      <c r="L513" t="s">
        <v>46</v>
      </c>
      <c r="M513">
        <v>56</v>
      </c>
      <c r="N513">
        <v>2</v>
      </c>
      <c r="O513">
        <v>2</v>
      </c>
      <c r="P513" t="s">
        <v>53</v>
      </c>
      <c r="Q513" t="s">
        <v>77</v>
      </c>
      <c r="R513" t="s">
        <v>41</v>
      </c>
      <c r="S513">
        <v>9679</v>
      </c>
      <c r="T513" t="str" cm="1">
        <f t="array" ref="T513">_xlfn.IFS(S513&gt;=10000,"High (&gt;10k)",S513&gt;=5000,"Medium (5k-10k)",S513&lt;5000,"Low (&lt;5k)")</f>
        <v>Medium (5k-10k)</v>
      </c>
      <c r="U513">
        <v>10138</v>
      </c>
      <c r="V513">
        <v>8</v>
      </c>
      <c r="W513" t="s">
        <v>43</v>
      </c>
      <c r="X513">
        <v>24</v>
      </c>
      <c r="Y513">
        <v>4</v>
      </c>
      <c r="Z513">
        <v>2</v>
      </c>
      <c r="AA513">
        <v>0</v>
      </c>
      <c r="AB513">
        <v>8</v>
      </c>
      <c r="AC513">
        <v>1</v>
      </c>
      <c r="AD513" t="s">
        <v>74</v>
      </c>
      <c r="AE513">
        <v>1</v>
      </c>
      <c r="AF513" t="str" cm="1">
        <f t="array" ref="AF513">_xlfn.IFS(AE513&gt;=10,"Veteran (10y+)",AE513&gt;=3,"Established (3-10y)",AE513&lt;3,"New Hire (&lt;3y)")</f>
        <v>New Hire (&lt;3y)</v>
      </c>
      <c r="AG513">
        <v>0</v>
      </c>
      <c r="AH513">
        <v>0</v>
      </c>
      <c r="AI513">
        <v>0</v>
      </c>
    </row>
    <row r="514" spans="1:35">
      <c r="A514">
        <v>32</v>
      </c>
      <c r="B514" t="str">
        <f t="shared" si="7"/>
        <v>Middle Aged</v>
      </c>
      <c r="C514">
        <v>0</v>
      </c>
      <c r="D514" t="s">
        <v>36</v>
      </c>
      <c r="E514">
        <v>267</v>
      </c>
      <c r="F514" t="s">
        <v>45</v>
      </c>
      <c r="G514">
        <v>29</v>
      </c>
      <c r="H514" t="str" cm="1">
        <f t="array" ref="H514">_xlfn.IFS(G514&gt;15,"Long Commute",G514&gt;5,"Moderate",G514&lt;=5,"Near Office")</f>
        <v>Long Commute</v>
      </c>
      <c r="I514" t="s">
        <v>83</v>
      </c>
      <c r="J514" t="s">
        <v>38</v>
      </c>
      <c r="K514">
        <v>3</v>
      </c>
      <c r="L514" t="s">
        <v>39</v>
      </c>
      <c r="M514">
        <v>49</v>
      </c>
      <c r="N514">
        <v>2</v>
      </c>
      <c r="O514">
        <v>1</v>
      </c>
      <c r="P514" t="s">
        <v>50</v>
      </c>
      <c r="Q514" t="s">
        <v>75</v>
      </c>
      <c r="R514" t="s">
        <v>41</v>
      </c>
      <c r="S514">
        <v>2837</v>
      </c>
      <c r="T514" t="str" cm="1">
        <f t="array" ref="T514">_xlfn.IFS(S514&gt;=10000,"High (&gt;10k)",S514&gt;=5000,"Medium (5k-10k)",S514&lt;5000,"Low (&lt;5k)")</f>
        <v>Low (&lt;5k)</v>
      </c>
      <c r="U514">
        <v>15919</v>
      </c>
      <c r="V514">
        <v>1</v>
      </c>
      <c r="W514" t="s">
        <v>43</v>
      </c>
      <c r="X514">
        <v>13</v>
      </c>
      <c r="Y514">
        <v>3</v>
      </c>
      <c r="Z514">
        <v>3</v>
      </c>
      <c r="AA514">
        <v>0</v>
      </c>
      <c r="AB514">
        <v>6</v>
      </c>
      <c r="AC514">
        <v>3</v>
      </c>
      <c r="AD514" t="s">
        <v>74</v>
      </c>
      <c r="AE514">
        <v>6</v>
      </c>
      <c r="AF514" t="str" cm="1">
        <f t="array" ref="AF514">_xlfn.IFS(AE514&gt;=10,"Veteran (10y+)",AE514&gt;=3,"Established (3-10y)",AE514&lt;3,"New Hire (&lt;3y)")</f>
        <v>Established (3-10y)</v>
      </c>
      <c r="AG514">
        <v>2</v>
      </c>
      <c r="AH514">
        <v>4</v>
      </c>
      <c r="AI514">
        <v>1</v>
      </c>
    </row>
    <row r="515" spans="1:35">
      <c r="A515">
        <v>32</v>
      </c>
      <c r="B515" t="str">
        <f t="shared" ref="B515:B578" si="8">IF(A515&gt;=46,"Senior",IF(A515&gt;=30,"Middle Aged","Young Adults"))</f>
        <v>Middle Aged</v>
      </c>
      <c r="C515">
        <v>0</v>
      </c>
      <c r="D515" t="s">
        <v>36</v>
      </c>
      <c r="E515">
        <v>234</v>
      </c>
      <c r="F515" t="s">
        <v>37</v>
      </c>
      <c r="G515">
        <v>1</v>
      </c>
      <c r="H515" t="str" cm="1">
        <f t="array" ref="H515">_xlfn.IFS(G515&gt;15,"Long Commute",G515&gt;5,"Moderate",G515&lt;=5,"Near Office")</f>
        <v>Near Office</v>
      </c>
      <c r="I515" t="s">
        <v>83</v>
      </c>
      <c r="J515" t="s">
        <v>51</v>
      </c>
      <c r="K515">
        <v>2</v>
      </c>
      <c r="L515" t="s">
        <v>46</v>
      </c>
      <c r="M515">
        <v>68</v>
      </c>
      <c r="N515">
        <v>2</v>
      </c>
      <c r="O515">
        <v>1</v>
      </c>
      <c r="P515" t="s">
        <v>57</v>
      </c>
      <c r="Q515" t="s">
        <v>75</v>
      </c>
      <c r="R515" t="s">
        <v>48</v>
      </c>
      <c r="S515">
        <v>2269</v>
      </c>
      <c r="T515" t="str" cm="1">
        <f t="array" ref="T515">_xlfn.IFS(S515&gt;=10000,"High (&gt;10k)",S515&gt;=5000,"Medium (5k-10k)",S515&lt;5000,"Low (&lt;5k)")</f>
        <v>Low (&lt;5k)</v>
      </c>
      <c r="U515">
        <v>18024</v>
      </c>
      <c r="V515">
        <v>0</v>
      </c>
      <c r="W515" t="s">
        <v>43</v>
      </c>
      <c r="X515">
        <v>14</v>
      </c>
      <c r="Y515">
        <v>3</v>
      </c>
      <c r="Z515">
        <v>2</v>
      </c>
      <c r="AA515">
        <v>1</v>
      </c>
      <c r="AB515">
        <v>3</v>
      </c>
      <c r="AC515">
        <v>2</v>
      </c>
      <c r="AD515" t="s">
        <v>74</v>
      </c>
      <c r="AE515">
        <v>2</v>
      </c>
      <c r="AF515" t="str" cm="1">
        <f t="array" ref="AF515">_xlfn.IFS(AE515&gt;=10,"Veteran (10y+)",AE515&gt;=3,"Established (3-10y)",AE515&lt;3,"New Hire (&lt;3y)")</f>
        <v>New Hire (&lt;3y)</v>
      </c>
      <c r="AG515">
        <v>2</v>
      </c>
      <c r="AH515">
        <v>2</v>
      </c>
      <c r="AI515">
        <v>2</v>
      </c>
    </row>
    <row r="516" spans="1:35">
      <c r="A516">
        <v>32</v>
      </c>
      <c r="B516" t="str">
        <f t="shared" si="8"/>
        <v>Middle Aged</v>
      </c>
      <c r="C516">
        <v>0</v>
      </c>
      <c r="D516" t="s">
        <v>36</v>
      </c>
      <c r="E516">
        <v>801</v>
      </c>
      <c r="F516" t="s">
        <v>37</v>
      </c>
      <c r="G516">
        <v>1</v>
      </c>
      <c r="H516" t="str" cm="1">
        <f t="array" ref="H516">_xlfn.IFS(G516&gt;15,"Long Commute",G516&gt;5,"Moderate",G516&lt;=5,"Near Office")</f>
        <v>Near Office</v>
      </c>
      <c r="I516" t="s">
        <v>83</v>
      </c>
      <c r="J516" t="s">
        <v>59</v>
      </c>
      <c r="K516">
        <v>3</v>
      </c>
      <c r="L516" t="s">
        <v>39</v>
      </c>
      <c r="M516">
        <v>48</v>
      </c>
      <c r="N516">
        <v>3</v>
      </c>
      <c r="O516">
        <v>3</v>
      </c>
      <c r="P516" t="s">
        <v>40</v>
      </c>
      <c r="Q516" t="s">
        <v>77</v>
      </c>
      <c r="R516" t="s">
        <v>48</v>
      </c>
      <c r="S516">
        <v>10422</v>
      </c>
      <c r="T516" t="str" cm="1">
        <f t="array" ref="T516">_xlfn.IFS(S516&gt;=10000,"High (&gt;10k)",S516&gt;=5000,"Medium (5k-10k)",S516&lt;5000,"Low (&lt;5k)")</f>
        <v>High (&gt;10k)</v>
      </c>
      <c r="U516">
        <v>24032</v>
      </c>
      <c r="V516">
        <v>1</v>
      </c>
      <c r="W516" t="s">
        <v>43</v>
      </c>
      <c r="X516">
        <v>19</v>
      </c>
      <c r="Y516">
        <v>3</v>
      </c>
      <c r="Z516">
        <v>3</v>
      </c>
      <c r="AA516">
        <v>2</v>
      </c>
      <c r="AB516">
        <v>14</v>
      </c>
      <c r="AC516">
        <v>3</v>
      </c>
      <c r="AD516" t="s">
        <v>74</v>
      </c>
      <c r="AE516">
        <v>14</v>
      </c>
      <c r="AF516" t="str" cm="1">
        <f t="array" ref="AF516">_xlfn.IFS(AE516&gt;=10,"Veteran (10y+)",AE516&gt;=3,"Established (3-10y)",AE516&lt;3,"New Hire (&lt;3y)")</f>
        <v>Veteran (10y+)</v>
      </c>
      <c r="AG516">
        <v>10</v>
      </c>
      <c r="AH516">
        <v>5</v>
      </c>
      <c r="AI516">
        <v>7</v>
      </c>
    </row>
    <row r="517" spans="1:35">
      <c r="A517">
        <v>32</v>
      </c>
      <c r="B517" t="str">
        <f t="shared" si="8"/>
        <v>Middle Aged</v>
      </c>
      <c r="C517">
        <v>0</v>
      </c>
      <c r="D517" t="s">
        <v>36</v>
      </c>
      <c r="E517">
        <v>529</v>
      </c>
      <c r="F517" t="s">
        <v>45</v>
      </c>
      <c r="G517">
        <v>2</v>
      </c>
      <c r="H517" t="str" cm="1">
        <f t="array" ref="H517">_xlfn.IFS(G517&gt;15,"Long Commute",G517&gt;5,"Moderate",G517&lt;=5,"Near Office")</f>
        <v>Near Office</v>
      </c>
      <c r="I517" t="s">
        <v>72</v>
      </c>
      <c r="J517" t="s">
        <v>60</v>
      </c>
      <c r="K517">
        <v>4</v>
      </c>
      <c r="L517" t="s">
        <v>46</v>
      </c>
      <c r="M517">
        <v>78</v>
      </c>
      <c r="N517">
        <v>3</v>
      </c>
      <c r="O517">
        <v>1</v>
      </c>
      <c r="P517" t="s">
        <v>47</v>
      </c>
      <c r="Q517" t="s">
        <v>82</v>
      </c>
      <c r="R517" t="s">
        <v>41</v>
      </c>
      <c r="S517">
        <v>2439</v>
      </c>
      <c r="T517" t="str" cm="1">
        <f t="array" ref="T517">_xlfn.IFS(S517&gt;=10000,"High (&gt;10k)",S517&gt;=5000,"Medium (5k-10k)",S517&lt;5000,"Low (&lt;5k)")</f>
        <v>Low (&lt;5k)</v>
      </c>
      <c r="U517">
        <v>11288</v>
      </c>
      <c r="V517">
        <v>1</v>
      </c>
      <c r="W517" t="s">
        <v>43</v>
      </c>
      <c r="X517">
        <v>14</v>
      </c>
      <c r="Y517">
        <v>3</v>
      </c>
      <c r="Z517">
        <v>4</v>
      </c>
      <c r="AA517">
        <v>0</v>
      </c>
      <c r="AB517">
        <v>4</v>
      </c>
      <c r="AC517">
        <v>4</v>
      </c>
      <c r="AD517" t="s">
        <v>74</v>
      </c>
      <c r="AE517">
        <v>4</v>
      </c>
      <c r="AF517" t="str" cm="1">
        <f t="array" ref="AF517">_xlfn.IFS(AE517&gt;=10,"Veteran (10y+)",AE517&gt;=3,"Established (3-10y)",AE517&lt;3,"New Hire (&lt;3y)")</f>
        <v>Established (3-10y)</v>
      </c>
      <c r="AG517">
        <v>2</v>
      </c>
      <c r="AH517">
        <v>1</v>
      </c>
      <c r="AI517">
        <v>2</v>
      </c>
    </row>
    <row r="518" spans="1:35">
      <c r="A518">
        <v>33</v>
      </c>
      <c r="B518" t="str">
        <f t="shared" si="8"/>
        <v>Middle Aged</v>
      </c>
      <c r="C518">
        <v>0</v>
      </c>
      <c r="D518" t="s">
        <v>44</v>
      </c>
      <c r="E518">
        <v>1392</v>
      </c>
      <c r="F518" t="s">
        <v>45</v>
      </c>
      <c r="G518">
        <v>3</v>
      </c>
      <c r="H518" t="str" cm="1">
        <f t="array" ref="H518">_xlfn.IFS(G518&gt;15,"Long Commute",G518&gt;5,"Moderate",G518&lt;=5,"Near Office")</f>
        <v>Near Office</v>
      </c>
      <c r="I518" t="s">
        <v>83</v>
      </c>
      <c r="J518" t="s">
        <v>38</v>
      </c>
      <c r="K518">
        <v>4</v>
      </c>
      <c r="L518" t="s">
        <v>39</v>
      </c>
      <c r="M518">
        <v>56</v>
      </c>
      <c r="N518">
        <v>3</v>
      </c>
      <c r="O518">
        <v>1</v>
      </c>
      <c r="P518" t="s">
        <v>47</v>
      </c>
      <c r="Q518" t="s">
        <v>73</v>
      </c>
      <c r="R518" t="s">
        <v>48</v>
      </c>
      <c r="S518">
        <v>2909</v>
      </c>
      <c r="T518" t="str" cm="1">
        <f t="array" ref="T518">_xlfn.IFS(S518&gt;=10000,"High (&gt;10k)",S518&gt;=5000,"Medium (5k-10k)",S518&lt;5000,"Low (&lt;5k)")</f>
        <v>Low (&lt;5k)</v>
      </c>
      <c r="U518">
        <v>23159</v>
      </c>
      <c r="V518">
        <v>1</v>
      </c>
      <c r="W518" t="s">
        <v>35</v>
      </c>
      <c r="X518">
        <v>11</v>
      </c>
      <c r="Y518">
        <v>3</v>
      </c>
      <c r="Z518">
        <v>3</v>
      </c>
      <c r="AA518">
        <v>0</v>
      </c>
      <c r="AB518">
        <v>8</v>
      </c>
      <c r="AC518">
        <v>3</v>
      </c>
      <c r="AD518" t="s">
        <v>74</v>
      </c>
      <c r="AE518">
        <v>8</v>
      </c>
      <c r="AF518" t="str" cm="1">
        <f t="array" ref="AF518">_xlfn.IFS(AE518&gt;=10,"Veteran (10y+)",AE518&gt;=3,"Established (3-10y)",AE518&lt;3,"New Hire (&lt;3y)")</f>
        <v>Established (3-10y)</v>
      </c>
      <c r="AG518">
        <v>7</v>
      </c>
      <c r="AH518">
        <v>3</v>
      </c>
      <c r="AI518">
        <v>0</v>
      </c>
    </row>
    <row r="519" spans="1:35">
      <c r="A519">
        <v>33</v>
      </c>
      <c r="B519" t="str">
        <f t="shared" si="8"/>
        <v>Middle Aged</v>
      </c>
      <c r="C519">
        <v>0</v>
      </c>
      <c r="D519" t="s">
        <v>36</v>
      </c>
      <c r="E519">
        <v>924</v>
      </c>
      <c r="F519" t="s">
        <v>45</v>
      </c>
      <c r="G519">
        <v>2</v>
      </c>
      <c r="H519" t="str" cm="1">
        <f t="array" ref="H519">_xlfn.IFS(G519&gt;15,"Long Commute",G519&gt;5,"Moderate",G519&lt;=5,"Near Office")</f>
        <v>Near Office</v>
      </c>
      <c r="I519" t="s">
        <v>72</v>
      </c>
      <c r="J519" t="s">
        <v>51</v>
      </c>
      <c r="K519">
        <v>3</v>
      </c>
      <c r="L519" t="s">
        <v>46</v>
      </c>
      <c r="M519">
        <v>78</v>
      </c>
      <c r="N519">
        <v>3</v>
      </c>
      <c r="O519">
        <v>1</v>
      </c>
      <c r="P519" t="s">
        <v>50</v>
      </c>
      <c r="Q519" t="s">
        <v>77</v>
      </c>
      <c r="R519" t="s">
        <v>41</v>
      </c>
      <c r="S519">
        <v>2496</v>
      </c>
      <c r="T519" t="str" cm="1">
        <f t="array" ref="T519">_xlfn.IFS(S519&gt;=10000,"High (&gt;10k)",S519&gt;=5000,"Medium (5k-10k)",S519&lt;5000,"Low (&lt;5k)")</f>
        <v>Low (&lt;5k)</v>
      </c>
      <c r="U519">
        <v>6670</v>
      </c>
      <c r="V519">
        <v>4</v>
      </c>
      <c r="W519" t="s">
        <v>43</v>
      </c>
      <c r="X519">
        <v>11</v>
      </c>
      <c r="Y519">
        <v>3</v>
      </c>
      <c r="Z519">
        <v>4</v>
      </c>
      <c r="AA519">
        <v>0</v>
      </c>
      <c r="AB519">
        <v>7</v>
      </c>
      <c r="AC519">
        <v>3</v>
      </c>
      <c r="AD519" t="s">
        <v>74</v>
      </c>
      <c r="AE519">
        <v>1</v>
      </c>
      <c r="AF519" t="str" cm="1">
        <f t="array" ref="AF519">_xlfn.IFS(AE519&gt;=10,"Veteran (10y+)",AE519&gt;=3,"Established (3-10y)",AE519&lt;3,"New Hire (&lt;3y)")</f>
        <v>New Hire (&lt;3y)</v>
      </c>
      <c r="AG519">
        <v>1</v>
      </c>
      <c r="AH519">
        <v>0</v>
      </c>
      <c r="AI519">
        <v>0</v>
      </c>
    </row>
    <row r="520" spans="1:35">
      <c r="A520">
        <v>33</v>
      </c>
      <c r="B520" t="str">
        <f t="shared" si="8"/>
        <v>Middle Aged</v>
      </c>
      <c r="C520">
        <v>0</v>
      </c>
      <c r="D520" t="s">
        <v>44</v>
      </c>
      <c r="E520">
        <v>1141</v>
      </c>
      <c r="F520" t="s">
        <v>37</v>
      </c>
      <c r="G520">
        <v>1</v>
      </c>
      <c r="H520" t="str" cm="1">
        <f t="array" ref="H520">_xlfn.IFS(G520&gt;15,"Long Commute",G520&gt;5,"Moderate",G520&lt;=5,"Near Office")</f>
        <v>Near Office</v>
      </c>
      <c r="I520" t="s">
        <v>72</v>
      </c>
      <c r="J520" t="s">
        <v>38</v>
      </c>
      <c r="K520">
        <v>3</v>
      </c>
      <c r="L520" t="s">
        <v>39</v>
      </c>
      <c r="M520">
        <v>42</v>
      </c>
      <c r="N520">
        <v>4</v>
      </c>
      <c r="O520">
        <v>2</v>
      </c>
      <c r="P520" t="s">
        <v>40</v>
      </c>
      <c r="Q520" t="s">
        <v>82</v>
      </c>
      <c r="R520" t="s">
        <v>48</v>
      </c>
      <c r="S520">
        <v>5376</v>
      </c>
      <c r="T520" t="str" cm="1">
        <f t="array" ref="T520">_xlfn.IFS(S520&gt;=10000,"High (&gt;10k)",S520&gt;=5000,"Medium (5k-10k)",S520&lt;5000,"Low (&lt;5k)")</f>
        <v>Medium (5k-10k)</v>
      </c>
      <c r="U520">
        <v>3193</v>
      </c>
      <c r="V520">
        <v>2</v>
      </c>
      <c r="W520" t="s">
        <v>43</v>
      </c>
      <c r="X520">
        <v>19</v>
      </c>
      <c r="Y520">
        <v>3</v>
      </c>
      <c r="Z520">
        <v>1</v>
      </c>
      <c r="AA520">
        <v>2</v>
      </c>
      <c r="AB520">
        <v>10</v>
      </c>
      <c r="AC520">
        <v>3</v>
      </c>
      <c r="AD520" t="s">
        <v>74</v>
      </c>
      <c r="AE520">
        <v>5</v>
      </c>
      <c r="AF520" t="str" cm="1">
        <f t="array" ref="AF520">_xlfn.IFS(AE520&gt;=10,"Veteran (10y+)",AE520&gt;=3,"Established (3-10y)",AE520&lt;3,"New Hire (&lt;3y)")</f>
        <v>Established (3-10y)</v>
      </c>
      <c r="AG520">
        <v>3</v>
      </c>
      <c r="AH520">
        <v>1</v>
      </c>
      <c r="AI520">
        <v>3</v>
      </c>
    </row>
    <row r="521" spans="1:35">
      <c r="A521">
        <v>33</v>
      </c>
      <c r="B521" t="str">
        <f t="shared" si="8"/>
        <v>Middle Aged</v>
      </c>
      <c r="C521">
        <v>0</v>
      </c>
      <c r="D521" t="s">
        <v>44</v>
      </c>
      <c r="E521">
        <v>515</v>
      </c>
      <c r="F521" t="s">
        <v>45</v>
      </c>
      <c r="G521">
        <v>1</v>
      </c>
      <c r="H521" t="str" cm="1">
        <f t="array" ref="H521">_xlfn.IFS(G521&gt;15,"Long Commute",G521&gt;5,"Moderate",G521&lt;=5,"Near Office")</f>
        <v>Near Office</v>
      </c>
      <c r="I521" t="s">
        <v>76</v>
      </c>
      <c r="J521" t="s">
        <v>38</v>
      </c>
      <c r="K521">
        <v>1</v>
      </c>
      <c r="L521" t="s">
        <v>39</v>
      </c>
      <c r="M521">
        <v>98</v>
      </c>
      <c r="N521">
        <v>3</v>
      </c>
      <c r="O521">
        <v>3</v>
      </c>
      <c r="P521" t="s">
        <v>58</v>
      </c>
      <c r="Q521" t="s">
        <v>77</v>
      </c>
      <c r="R521" t="s">
        <v>41</v>
      </c>
      <c r="S521">
        <v>13458</v>
      </c>
      <c r="T521" t="str" cm="1">
        <f t="array" ref="T521">_xlfn.IFS(S521&gt;=10000,"High (&gt;10k)",S521&gt;=5000,"Medium (5k-10k)",S521&lt;5000,"Low (&lt;5k)")</f>
        <v>High (&gt;10k)</v>
      </c>
      <c r="U521">
        <v>15146</v>
      </c>
      <c r="V521">
        <v>1</v>
      </c>
      <c r="W521" t="s">
        <v>35</v>
      </c>
      <c r="X521">
        <v>12</v>
      </c>
      <c r="Y521">
        <v>3</v>
      </c>
      <c r="Z521">
        <v>3</v>
      </c>
      <c r="AA521">
        <v>0</v>
      </c>
      <c r="AB521">
        <v>15</v>
      </c>
      <c r="AC521">
        <v>1</v>
      </c>
      <c r="AD521" t="s">
        <v>74</v>
      </c>
      <c r="AE521">
        <v>15</v>
      </c>
      <c r="AF521" t="str" cm="1">
        <f t="array" ref="AF521">_xlfn.IFS(AE521&gt;=10,"Veteran (10y+)",AE521&gt;=3,"Established (3-10y)",AE521&lt;3,"New Hire (&lt;3y)")</f>
        <v>Veteran (10y+)</v>
      </c>
      <c r="AG521">
        <v>14</v>
      </c>
      <c r="AH521">
        <v>8</v>
      </c>
      <c r="AI521">
        <v>12</v>
      </c>
    </row>
    <row r="522" spans="1:35">
      <c r="A522">
        <v>33</v>
      </c>
      <c r="B522" t="str">
        <f t="shared" si="8"/>
        <v>Middle Aged</v>
      </c>
      <c r="C522">
        <v>0</v>
      </c>
      <c r="D522" t="s">
        <v>55</v>
      </c>
      <c r="E522">
        <v>750</v>
      </c>
      <c r="F522" t="s">
        <v>37</v>
      </c>
      <c r="G522">
        <v>22</v>
      </c>
      <c r="H522" t="str" cm="1">
        <f t="array" ref="H522">_xlfn.IFS(G522&gt;15,"Long Commute",G522&gt;5,"Moderate",G522&lt;=5,"Near Office")</f>
        <v>Long Commute</v>
      </c>
      <c r="I522" t="s">
        <v>76</v>
      </c>
      <c r="J522" t="s">
        <v>59</v>
      </c>
      <c r="K522">
        <v>3</v>
      </c>
      <c r="L522" t="s">
        <v>46</v>
      </c>
      <c r="M522">
        <v>95</v>
      </c>
      <c r="N522">
        <v>3</v>
      </c>
      <c r="O522">
        <v>2</v>
      </c>
      <c r="P522" t="s">
        <v>40</v>
      </c>
      <c r="Q522" t="s">
        <v>75</v>
      </c>
      <c r="R522" t="s">
        <v>48</v>
      </c>
      <c r="S522">
        <v>6146</v>
      </c>
      <c r="T522" t="str" cm="1">
        <f t="array" ref="T522">_xlfn.IFS(S522&gt;=10000,"High (&gt;10k)",S522&gt;=5000,"Medium (5k-10k)",S522&lt;5000,"Low (&lt;5k)")</f>
        <v>Medium (5k-10k)</v>
      </c>
      <c r="U522">
        <v>15480</v>
      </c>
      <c r="V522">
        <v>0</v>
      </c>
      <c r="W522" t="s">
        <v>43</v>
      </c>
      <c r="X522">
        <v>13</v>
      </c>
      <c r="Y522">
        <v>3</v>
      </c>
      <c r="Z522">
        <v>1</v>
      </c>
      <c r="AA522">
        <v>1</v>
      </c>
      <c r="AB522">
        <v>8</v>
      </c>
      <c r="AC522">
        <v>2</v>
      </c>
      <c r="AD522" t="s">
        <v>79</v>
      </c>
      <c r="AE522">
        <v>7</v>
      </c>
      <c r="AF522" t="str" cm="1">
        <f t="array" ref="AF522">_xlfn.IFS(AE522&gt;=10,"Veteran (10y+)",AE522&gt;=3,"Established (3-10y)",AE522&lt;3,"New Hire (&lt;3y)")</f>
        <v>Established (3-10y)</v>
      </c>
      <c r="AG522">
        <v>7</v>
      </c>
      <c r="AH522">
        <v>0</v>
      </c>
      <c r="AI522">
        <v>7</v>
      </c>
    </row>
    <row r="523" spans="1:35">
      <c r="A523">
        <v>33</v>
      </c>
      <c r="B523" t="str">
        <f t="shared" si="8"/>
        <v>Middle Aged</v>
      </c>
      <c r="C523">
        <v>0</v>
      </c>
      <c r="D523" t="s">
        <v>36</v>
      </c>
      <c r="E523">
        <v>134</v>
      </c>
      <c r="F523" t="s">
        <v>45</v>
      </c>
      <c r="G523">
        <v>2</v>
      </c>
      <c r="H523" t="str" cm="1">
        <f t="array" ref="H523">_xlfn.IFS(G523&gt;15,"Long Commute",G523&gt;5,"Moderate",G523&lt;=5,"Near Office")</f>
        <v>Near Office</v>
      </c>
      <c r="I523" t="s">
        <v>72</v>
      </c>
      <c r="J523" t="s">
        <v>38</v>
      </c>
      <c r="K523">
        <v>3</v>
      </c>
      <c r="L523" t="s">
        <v>46</v>
      </c>
      <c r="M523">
        <v>90</v>
      </c>
      <c r="N523">
        <v>3</v>
      </c>
      <c r="O523">
        <v>1</v>
      </c>
      <c r="P523" t="s">
        <v>47</v>
      </c>
      <c r="Q523" t="s">
        <v>77</v>
      </c>
      <c r="R523" t="s">
        <v>41</v>
      </c>
      <c r="S523">
        <v>2500</v>
      </c>
      <c r="T523" t="str" cm="1">
        <f t="array" ref="T523">_xlfn.IFS(S523&gt;=10000,"High (&gt;10k)",S523&gt;=5000,"Medium (5k-10k)",S523&lt;5000,"Low (&lt;5k)")</f>
        <v>Low (&lt;5k)</v>
      </c>
      <c r="U523">
        <v>10515</v>
      </c>
      <c r="V523">
        <v>0</v>
      </c>
      <c r="W523" t="s">
        <v>43</v>
      </c>
      <c r="X523">
        <v>14</v>
      </c>
      <c r="Y523">
        <v>3</v>
      </c>
      <c r="Z523">
        <v>1</v>
      </c>
      <c r="AA523">
        <v>0</v>
      </c>
      <c r="AB523">
        <v>4</v>
      </c>
      <c r="AC523">
        <v>2</v>
      </c>
      <c r="AD523" t="s">
        <v>79</v>
      </c>
      <c r="AE523">
        <v>3</v>
      </c>
      <c r="AF523" t="str" cm="1">
        <f t="array" ref="AF523">_xlfn.IFS(AE523&gt;=10,"Veteran (10y+)",AE523&gt;=3,"Established (3-10y)",AE523&lt;3,"New Hire (&lt;3y)")</f>
        <v>Established (3-10y)</v>
      </c>
      <c r="AG523">
        <v>1</v>
      </c>
      <c r="AH523">
        <v>0</v>
      </c>
      <c r="AI523">
        <v>2</v>
      </c>
    </row>
    <row r="524" spans="1:35">
      <c r="A524">
        <v>33</v>
      </c>
      <c r="B524" t="str">
        <f t="shared" si="8"/>
        <v>Middle Aged</v>
      </c>
      <c r="C524">
        <v>0</v>
      </c>
      <c r="D524" t="s">
        <v>36</v>
      </c>
      <c r="E524">
        <v>931</v>
      </c>
      <c r="F524" t="s">
        <v>45</v>
      </c>
      <c r="G524">
        <v>14</v>
      </c>
      <c r="H524" t="str" cm="1">
        <f t="array" ref="H524">_xlfn.IFS(G524&gt;15,"Long Commute",G524&gt;5,"Moderate",G524&lt;=5,"Near Office")</f>
        <v>Moderate</v>
      </c>
      <c r="I524" t="s">
        <v>72</v>
      </c>
      <c r="J524" t="s">
        <v>51</v>
      </c>
      <c r="K524">
        <v>4</v>
      </c>
      <c r="L524" t="s">
        <v>39</v>
      </c>
      <c r="M524">
        <v>72</v>
      </c>
      <c r="N524">
        <v>3</v>
      </c>
      <c r="O524">
        <v>1</v>
      </c>
      <c r="P524" t="s">
        <v>47</v>
      </c>
      <c r="Q524" t="s">
        <v>75</v>
      </c>
      <c r="R524" t="s">
        <v>48</v>
      </c>
      <c r="S524">
        <v>2756</v>
      </c>
      <c r="T524" t="str" cm="1">
        <f t="array" ref="T524">_xlfn.IFS(S524&gt;=10000,"High (&gt;10k)",S524&gt;=5000,"Medium (5k-10k)",S524&lt;5000,"Low (&lt;5k)")</f>
        <v>Low (&lt;5k)</v>
      </c>
      <c r="U524">
        <v>4673</v>
      </c>
      <c r="V524">
        <v>1</v>
      </c>
      <c r="W524" t="s">
        <v>43</v>
      </c>
      <c r="X524">
        <v>13</v>
      </c>
      <c r="Y524">
        <v>3</v>
      </c>
      <c r="Z524">
        <v>4</v>
      </c>
      <c r="AA524">
        <v>1</v>
      </c>
      <c r="AB524">
        <v>8</v>
      </c>
      <c r="AC524">
        <v>5</v>
      </c>
      <c r="AD524" t="s">
        <v>74</v>
      </c>
      <c r="AE524">
        <v>8</v>
      </c>
      <c r="AF524" t="str" cm="1">
        <f t="array" ref="AF524">_xlfn.IFS(AE524&gt;=10,"Veteran (10y+)",AE524&gt;=3,"Established (3-10y)",AE524&lt;3,"New Hire (&lt;3y)")</f>
        <v>Established (3-10y)</v>
      </c>
      <c r="AG524">
        <v>7</v>
      </c>
      <c r="AH524">
        <v>1</v>
      </c>
      <c r="AI524">
        <v>6</v>
      </c>
    </row>
    <row r="525" spans="1:35">
      <c r="A525">
        <v>33</v>
      </c>
      <c r="B525" t="str">
        <f t="shared" si="8"/>
        <v>Middle Aged</v>
      </c>
      <c r="C525">
        <v>0</v>
      </c>
      <c r="D525" t="s">
        <v>36</v>
      </c>
      <c r="E525">
        <v>147</v>
      </c>
      <c r="F525" t="s">
        <v>45</v>
      </c>
      <c r="G525">
        <v>4</v>
      </c>
      <c r="H525" t="str" cm="1">
        <f t="array" ref="H525">_xlfn.IFS(G525&gt;15,"Long Commute",G525&gt;5,"Moderate",G525&lt;=5,"Near Office")</f>
        <v>Near Office</v>
      </c>
      <c r="I525" t="s">
        <v>83</v>
      </c>
      <c r="J525" t="s">
        <v>51</v>
      </c>
      <c r="K525">
        <v>3</v>
      </c>
      <c r="L525" t="s">
        <v>39</v>
      </c>
      <c r="M525">
        <v>47</v>
      </c>
      <c r="N525">
        <v>2</v>
      </c>
      <c r="O525">
        <v>1</v>
      </c>
      <c r="P525" t="s">
        <v>47</v>
      </c>
      <c r="Q525" t="s">
        <v>75</v>
      </c>
      <c r="R525" t="s">
        <v>48</v>
      </c>
      <c r="S525">
        <v>2622</v>
      </c>
      <c r="T525" t="str" cm="1">
        <f t="array" ref="T525">_xlfn.IFS(S525&gt;=10000,"High (&gt;10k)",S525&gt;=5000,"Medium (5k-10k)",S525&lt;5000,"Low (&lt;5k)")</f>
        <v>Low (&lt;5k)</v>
      </c>
      <c r="U525">
        <v>13248</v>
      </c>
      <c r="V525">
        <v>6</v>
      </c>
      <c r="W525" t="s">
        <v>43</v>
      </c>
      <c r="X525">
        <v>21</v>
      </c>
      <c r="Y525">
        <v>4</v>
      </c>
      <c r="Z525">
        <v>4</v>
      </c>
      <c r="AA525">
        <v>0</v>
      </c>
      <c r="AB525">
        <v>7</v>
      </c>
      <c r="AC525">
        <v>3</v>
      </c>
      <c r="AD525" t="s">
        <v>74</v>
      </c>
      <c r="AE525">
        <v>3</v>
      </c>
      <c r="AF525" t="str" cm="1">
        <f t="array" ref="AF525">_xlfn.IFS(AE525&gt;=10,"Veteran (10y+)",AE525&gt;=3,"Established (3-10y)",AE525&lt;3,"New Hire (&lt;3y)")</f>
        <v>Established (3-10y)</v>
      </c>
      <c r="AG525">
        <v>2</v>
      </c>
      <c r="AH525">
        <v>1</v>
      </c>
      <c r="AI525">
        <v>1</v>
      </c>
    </row>
    <row r="526" spans="1:35">
      <c r="A526">
        <v>33</v>
      </c>
      <c r="B526" t="str">
        <f t="shared" si="8"/>
        <v>Middle Aged</v>
      </c>
      <c r="C526">
        <v>1</v>
      </c>
      <c r="D526" t="s">
        <v>36</v>
      </c>
      <c r="E526">
        <v>813</v>
      </c>
      <c r="F526" t="s">
        <v>45</v>
      </c>
      <c r="G526">
        <v>14</v>
      </c>
      <c r="H526" t="str" cm="1">
        <f t="array" ref="H526">_xlfn.IFS(G526&gt;15,"Long Commute",G526&gt;5,"Moderate",G526&lt;=5,"Near Office")</f>
        <v>Moderate</v>
      </c>
      <c r="I526" t="s">
        <v>72</v>
      </c>
      <c r="J526" t="s">
        <v>51</v>
      </c>
      <c r="K526">
        <v>3</v>
      </c>
      <c r="L526" t="s">
        <v>46</v>
      </c>
      <c r="M526">
        <v>58</v>
      </c>
      <c r="N526">
        <v>3</v>
      </c>
      <c r="O526">
        <v>1</v>
      </c>
      <c r="P526" t="s">
        <v>50</v>
      </c>
      <c r="Q526" t="s">
        <v>77</v>
      </c>
      <c r="R526" t="s">
        <v>48</v>
      </c>
      <c r="S526">
        <v>2436</v>
      </c>
      <c r="T526" t="str" cm="1">
        <f t="array" ref="T526">_xlfn.IFS(S526&gt;=10000,"High (&gt;10k)",S526&gt;=5000,"Medium (5k-10k)",S526&lt;5000,"Low (&lt;5k)")</f>
        <v>Low (&lt;5k)</v>
      </c>
      <c r="U526">
        <v>22149</v>
      </c>
      <c r="V526">
        <v>5</v>
      </c>
      <c r="W526" t="s">
        <v>35</v>
      </c>
      <c r="X526">
        <v>13</v>
      </c>
      <c r="Y526">
        <v>3</v>
      </c>
      <c r="Z526">
        <v>3</v>
      </c>
      <c r="AA526">
        <v>1</v>
      </c>
      <c r="AB526">
        <v>8</v>
      </c>
      <c r="AC526">
        <v>2</v>
      </c>
      <c r="AD526" t="s">
        <v>80</v>
      </c>
      <c r="AE526">
        <v>5</v>
      </c>
      <c r="AF526" t="str" cm="1">
        <f t="array" ref="AF526">_xlfn.IFS(AE526&gt;=10,"Veteran (10y+)",AE526&gt;=3,"Established (3-10y)",AE526&lt;3,"New Hire (&lt;3y)")</f>
        <v>Established (3-10y)</v>
      </c>
      <c r="AG526">
        <v>4</v>
      </c>
      <c r="AH526">
        <v>0</v>
      </c>
      <c r="AI526">
        <v>4</v>
      </c>
    </row>
    <row r="527" spans="1:35">
      <c r="A527">
        <v>33</v>
      </c>
      <c r="B527" t="str">
        <f t="shared" si="8"/>
        <v>Middle Aged</v>
      </c>
      <c r="C527">
        <v>1</v>
      </c>
      <c r="D527" t="s">
        <v>36</v>
      </c>
      <c r="E527">
        <v>465</v>
      </c>
      <c r="F527" t="s">
        <v>45</v>
      </c>
      <c r="G527">
        <v>2</v>
      </c>
      <c r="H527" t="str" cm="1">
        <f t="array" ref="H527">_xlfn.IFS(G527&gt;15,"Long Commute",G527&gt;5,"Moderate",G527&lt;=5,"Near Office")</f>
        <v>Near Office</v>
      </c>
      <c r="I527" t="s">
        <v>76</v>
      </c>
      <c r="J527" t="s">
        <v>38</v>
      </c>
      <c r="K527">
        <v>1</v>
      </c>
      <c r="L527" t="s">
        <v>39</v>
      </c>
      <c r="M527">
        <v>39</v>
      </c>
      <c r="N527">
        <v>3</v>
      </c>
      <c r="O527">
        <v>1</v>
      </c>
      <c r="P527" t="s">
        <v>50</v>
      </c>
      <c r="Q527" t="s">
        <v>82</v>
      </c>
      <c r="R527" t="s">
        <v>48</v>
      </c>
      <c r="S527">
        <v>2707</v>
      </c>
      <c r="T527" t="str" cm="1">
        <f t="array" ref="T527">_xlfn.IFS(S527&gt;=10000,"High (&gt;10k)",S527&gt;=5000,"Medium (5k-10k)",S527&lt;5000,"Low (&lt;5k)")</f>
        <v>Low (&lt;5k)</v>
      </c>
      <c r="U527">
        <v>21509</v>
      </c>
      <c r="V527">
        <v>7</v>
      </c>
      <c r="W527" t="s">
        <v>43</v>
      </c>
      <c r="X527">
        <v>20</v>
      </c>
      <c r="Y527">
        <v>4</v>
      </c>
      <c r="Z527">
        <v>1</v>
      </c>
      <c r="AA527">
        <v>0</v>
      </c>
      <c r="AB527">
        <v>13</v>
      </c>
      <c r="AC527">
        <v>3</v>
      </c>
      <c r="AD527" t="s">
        <v>79</v>
      </c>
      <c r="AE527">
        <v>9</v>
      </c>
      <c r="AF527" t="str" cm="1">
        <f t="array" ref="AF527">_xlfn.IFS(AE527&gt;=10,"Veteran (10y+)",AE527&gt;=3,"Established (3-10y)",AE527&lt;3,"New Hire (&lt;3y)")</f>
        <v>Established (3-10y)</v>
      </c>
      <c r="AG527">
        <v>7</v>
      </c>
      <c r="AH527">
        <v>1</v>
      </c>
      <c r="AI527">
        <v>7</v>
      </c>
    </row>
    <row r="528" spans="1:35">
      <c r="A528">
        <v>33</v>
      </c>
      <c r="B528" t="str">
        <f t="shared" si="8"/>
        <v>Middle Aged</v>
      </c>
      <c r="C528">
        <v>0</v>
      </c>
      <c r="D528" t="s">
        <v>36</v>
      </c>
      <c r="E528">
        <v>832</v>
      </c>
      <c r="F528" t="s">
        <v>45</v>
      </c>
      <c r="G528">
        <v>5</v>
      </c>
      <c r="H528" t="str" cm="1">
        <f t="array" ref="H528">_xlfn.IFS(G528&gt;15,"Long Commute",G528&gt;5,"Moderate",G528&lt;=5,"Near Office")</f>
        <v>Near Office</v>
      </c>
      <c r="I528" t="s">
        <v>83</v>
      </c>
      <c r="J528" t="s">
        <v>38</v>
      </c>
      <c r="K528">
        <v>3</v>
      </c>
      <c r="L528" t="s">
        <v>39</v>
      </c>
      <c r="M528">
        <v>63</v>
      </c>
      <c r="N528">
        <v>2</v>
      </c>
      <c r="O528">
        <v>1</v>
      </c>
      <c r="P528" t="s">
        <v>47</v>
      </c>
      <c r="Q528" t="s">
        <v>77</v>
      </c>
      <c r="R528" t="s">
        <v>48</v>
      </c>
      <c r="S528">
        <v>2911</v>
      </c>
      <c r="T528" t="str" cm="1">
        <f t="array" ref="T528">_xlfn.IFS(S528&gt;=10000,"High (&gt;10k)",S528&gt;=5000,"Medium (5k-10k)",S528&lt;5000,"Low (&lt;5k)")</f>
        <v>Low (&lt;5k)</v>
      </c>
      <c r="U528">
        <v>14776</v>
      </c>
      <c r="V528">
        <v>1</v>
      </c>
      <c r="W528" t="s">
        <v>43</v>
      </c>
      <c r="X528">
        <v>13</v>
      </c>
      <c r="Y528">
        <v>3</v>
      </c>
      <c r="Z528">
        <v>3</v>
      </c>
      <c r="AA528">
        <v>1</v>
      </c>
      <c r="AB528">
        <v>2</v>
      </c>
      <c r="AC528">
        <v>2</v>
      </c>
      <c r="AD528" t="s">
        <v>81</v>
      </c>
      <c r="AE528">
        <v>2</v>
      </c>
      <c r="AF528" t="str" cm="1">
        <f t="array" ref="AF528">_xlfn.IFS(AE528&gt;=10,"Veteran (10y+)",AE528&gt;=3,"Established (3-10y)",AE528&lt;3,"New Hire (&lt;3y)")</f>
        <v>New Hire (&lt;3y)</v>
      </c>
      <c r="AG528">
        <v>2</v>
      </c>
      <c r="AH528">
        <v>0</v>
      </c>
      <c r="AI528">
        <v>2</v>
      </c>
    </row>
    <row r="529" spans="1:35">
      <c r="A529">
        <v>33</v>
      </c>
      <c r="B529" t="str">
        <f t="shared" si="8"/>
        <v>Middle Aged</v>
      </c>
      <c r="C529">
        <v>0</v>
      </c>
      <c r="D529" t="s">
        <v>44</v>
      </c>
      <c r="E529">
        <v>553</v>
      </c>
      <c r="F529" t="s">
        <v>45</v>
      </c>
      <c r="G529">
        <v>5</v>
      </c>
      <c r="H529" t="str" cm="1">
        <f t="array" ref="H529">_xlfn.IFS(G529&gt;15,"Long Commute",G529&gt;5,"Moderate",G529&lt;=5,"Near Office")</f>
        <v>Near Office</v>
      </c>
      <c r="I529" t="s">
        <v>83</v>
      </c>
      <c r="J529" t="s">
        <v>38</v>
      </c>
      <c r="K529">
        <v>4</v>
      </c>
      <c r="L529" t="s">
        <v>39</v>
      </c>
      <c r="M529">
        <v>74</v>
      </c>
      <c r="N529">
        <v>3</v>
      </c>
      <c r="O529">
        <v>3</v>
      </c>
      <c r="P529" t="s">
        <v>56</v>
      </c>
      <c r="Q529" t="s">
        <v>75</v>
      </c>
      <c r="R529" t="s">
        <v>48</v>
      </c>
      <c r="S529">
        <v>11878</v>
      </c>
      <c r="T529" t="str" cm="1">
        <f t="array" ref="T529">_xlfn.IFS(S529&gt;=10000,"High (&gt;10k)",S529&gt;=5000,"Medium (5k-10k)",S529&lt;5000,"Low (&lt;5k)")</f>
        <v>High (&gt;10k)</v>
      </c>
      <c r="U529">
        <v>23364</v>
      </c>
      <c r="V529">
        <v>6</v>
      </c>
      <c r="W529" t="s">
        <v>43</v>
      </c>
      <c r="X529">
        <v>11</v>
      </c>
      <c r="Y529">
        <v>3</v>
      </c>
      <c r="Z529">
        <v>2</v>
      </c>
      <c r="AA529">
        <v>2</v>
      </c>
      <c r="AB529">
        <v>12</v>
      </c>
      <c r="AC529">
        <v>2</v>
      </c>
      <c r="AD529" t="s">
        <v>74</v>
      </c>
      <c r="AE529">
        <v>10</v>
      </c>
      <c r="AF529" t="str" cm="1">
        <f t="array" ref="AF529">_xlfn.IFS(AE529&gt;=10,"Veteran (10y+)",AE529&gt;=3,"Established (3-10y)",AE529&lt;3,"New Hire (&lt;3y)")</f>
        <v>Veteran (10y+)</v>
      </c>
      <c r="AG529">
        <v>6</v>
      </c>
      <c r="AH529">
        <v>8</v>
      </c>
      <c r="AI529">
        <v>8</v>
      </c>
    </row>
    <row r="530" spans="1:35">
      <c r="A530">
        <v>33</v>
      </c>
      <c r="B530" t="str">
        <f t="shared" si="8"/>
        <v>Middle Aged</v>
      </c>
      <c r="C530">
        <v>0</v>
      </c>
      <c r="D530" t="s">
        <v>44</v>
      </c>
      <c r="E530">
        <v>508</v>
      </c>
      <c r="F530" t="s">
        <v>37</v>
      </c>
      <c r="G530">
        <v>10</v>
      </c>
      <c r="H530" t="str" cm="1">
        <f t="array" ref="H530">_xlfn.IFS(G530&gt;15,"Long Commute",G530&gt;5,"Moderate",G530&lt;=5,"Near Office")</f>
        <v>Moderate</v>
      </c>
      <c r="I530" t="s">
        <v>72</v>
      </c>
      <c r="J530" t="s">
        <v>59</v>
      </c>
      <c r="K530">
        <v>2</v>
      </c>
      <c r="L530" t="s">
        <v>46</v>
      </c>
      <c r="M530">
        <v>46</v>
      </c>
      <c r="N530">
        <v>2</v>
      </c>
      <c r="O530">
        <v>2</v>
      </c>
      <c r="P530" t="s">
        <v>40</v>
      </c>
      <c r="Q530" t="s">
        <v>77</v>
      </c>
      <c r="R530" t="s">
        <v>41</v>
      </c>
      <c r="S530">
        <v>4682</v>
      </c>
      <c r="T530" t="str" cm="1">
        <f t="array" ref="T530">_xlfn.IFS(S530&gt;=10000,"High (&gt;10k)",S530&gt;=5000,"Medium (5k-10k)",S530&lt;5000,"Low (&lt;5k)")</f>
        <v>Low (&lt;5k)</v>
      </c>
      <c r="U530">
        <v>4317</v>
      </c>
      <c r="V530">
        <v>3</v>
      </c>
      <c r="W530" t="s">
        <v>43</v>
      </c>
      <c r="X530">
        <v>14</v>
      </c>
      <c r="Y530">
        <v>3</v>
      </c>
      <c r="Z530">
        <v>3</v>
      </c>
      <c r="AA530">
        <v>0</v>
      </c>
      <c r="AB530">
        <v>9</v>
      </c>
      <c r="AC530">
        <v>6</v>
      </c>
      <c r="AD530" t="s">
        <v>81</v>
      </c>
      <c r="AE530">
        <v>7</v>
      </c>
      <c r="AF530" t="str" cm="1">
        <f t="array" ref="AF530">_xlfn.IFS(AE530&gt;=10,"Veteran (10y+)",AE530&gt;=3,"Established (3-10y)",AE530&lt;3,"New Hire (&lt;3y)")</f>
        <v>Established (3-10y)</v>
      </c>
      <c r="AG530">
        <v>7</v>
      </c>
      <c r="AH530">
        <v>0</v>
      </c>
      <c r="AI530">
        <v>1</v>
      </c>
    </row>
    <row r="531" spans="1:35">
      <c r="A531">
        <v>33</v>
      </c>
      <c r="B531" t="str">
        <f t="shared" si="8"/>
        <v>Middle Aged</v>
      </c>
      <c r="C531">
        <v>1</v>
      </c>
      <c r="D531" t="s">
        <v>36</v>
      </c>
      <c r="E531">
        <v>350</v>
      </c>
      <c r="F531" t="s">
        <v>37</v>
      </c>
      <c r="G531">
        <v>5</v>
      </c>
      <c r="H531" t="str" cm="1">
        <f t="array" ref="H531">_xlfn.IFS(G531&gt;15,"Long Commute",G531&gt;5,"Moderate",G531&lt;=5,"Near Office")</f>
        <v>Near Office</v>
      </c>
      <c r="I531" t="s">
        <v>72</v>
      </c>
      <c r="J531" t="s">
        <v>59</v>
      </c>
      <c r="K531">
        <v>4</v>
      </c>
      <c r="L531" t="s">
        <v>39</v>
      </c>
      <c r="M531">
        <v>34</v>
      </c>
      <c r="N531">
        <v>3</v>
      </c>
      <c r="O531">
        <v>1</v>
      </c>
      <c r="P531" t="s">
        <v>57</v>
      </c>
      <c r="Q531" t="s">
        <v>73</v>
      </c>
      <c r="R531" t="s">
        <v>41</v>
      </c>
      <c r="S531">
        <v>2851</v>
      </c>
      <c r="T531" t="str" cm="1">
        <f t="array" ref="T531">_xlfn.IFS(S531&gt;=10000,"High (&gt;10k)",S531&gt;=5000,"Medium (5k-10k)",S531&lt;5000,"Low (&lt;5k)")</f>
        <v>Low (&lt;5k)</v>
      </c>
      <c r="U531">
        <v>9150</v>
      </c>
      <c r="V531">
        <v>1</v>
      </c>
      <c r="W531" t="s">
        <v>35</v>
      </c>
      <c r="X531">
        <v>13</v>
      </c>
      <c r="Y531">
        <v>3</v>
      </c>
      <c r="Z531">
        <v>2</v>
      </c>
      <c r="AA531">
        <v>0</v>
      </c>
      <c r="AB531">
        <v>1</v>
      </c>
      <c r="AC531">
        <v>2</v>
      </c>
      <c r="AD531" t="s">
        <v>74</v>
      </c>
      <c r="AE531">
        <v>1</v>
      </c>
      <c r="AF531" t="str" cm="1">
        <f t="array" ref="AF531">_xlfn.IFS(AE531&gt;=10,"Veteran (10y+)",AE531&gt;=3,"Established (3-10y)",AE531&lt;3,"New Hire (&lt;3y)")</f>
        <v>New Hire (&lt;3y)</v>
      </c>
      <c r="AG531">
        <v>0</v>
      </c>
      <c r="AH531">
        <v>0</v>
      </c>
      <c r="AI531">
        <v>0</v>
      </c>
    </row>
    <row r="532" spans="1:35">
      <c r="A532">
        <v>33</v>
      </c>
      <c r="B532" t="str">
        <f t="shared" si="8"/>
        <v>Middle Aged</v>
      </c>
      <c r="C532">
        <v>1</v>
      </c>
      <c r="D532" t="s">
        <v>36</v>
      </c>
      <c r="E532">
        <v>1277</v>
      </c>
      <c r="F532" t="s">
        <v>45</v>
      </c>
      <c r="G532">
        <v>15</v>
      </c>
      <c r="H532" t="str" cm="1">
        <f t="array" ref="H532">_xlfn.IFS(G532&gt;15,"Long Commute",G532&gt;5,"Moderate",G532&lt;=5,"Near Office")</f>
        <v>Moderate</v>
      </c>
      <c r="I532" t="s">
        <v>78</v>
      </c>
      <c r="J532" t="s">
        <v>51</v>
      </c>
      <c r="K532">
        <v>2</v>
      </c>
      <c r="L532" t="s">
        <v>46</v>
      </c>
      <c r="M532">
        <v>56</v>
      </c>
      <c r="N532">
        <v>3</v>
      </c>
      <c r="O532">
        <v>3</v>
      </c>
      <c r="P532" t="s">
        <v>56</v>
      </c>
      <c r="Q532" t="s">
        <v>73</v>
      </c>
      <c r="R532" t="s">
        <v>48</v>
      </c>
      <c r="S532">
        <v>13610</v>
      </c>
      <c r="T532" t="str" cm="1">
        <f t="array" ref="T532">_xlfn.IFS(S532&gt;=10000,"High (&gt;10k)",S532&gt;=5000,"Medium (5k-10k)",S532&lt;5000,"Low (&lt;5k)")</f>
        <v>High (&gt;10k)</v>
      </c>
      <c r="U532">
        <v>24619</v>
      </c>
      <c r="V532">
        <v>7</v>
      </c>
      <c r="W532" t="s">
        <v>35</v>
      </c>
      <c r="X532">
        <v>12</v>
      </c>
      <c r="Y532">
        <v>3</v>
      </c>
      <c r="Z532">
        <v>4</v>
      </c>
      <c r="AA532">
        <v>0</v>
      </c>
      <c r="AB532">
        <v>15</v>
      </c>
      <c r="AC532">
        <v>2</v>
      </c>
      <c r="AD532" t="s">
        <v>79</v>
      </c>
      <c r="AE532">
        <v>7</v>
      </c>
      <c r="AF532" t="str" cm="1">
        <f t="array" ref="AF532">_xlfn.IFS(AE532&gt;=10,"Veteran (10y+)",AE532&gt;=3,"Established (3-10y)",AE532&lt;3,"New Hire (&lt;3y)")</f>
        <v>Established (3-10y)</v>
      </c>
      <c r="AG532">
        <v>6</v>
      </c>
      <c r="AH532">
        <v>7</v>
      </c>
      <c r="AI532">
        <v>7</v>
      </c>
    </row>
    <row r="533" spans="1:35">
      <c r="A533">
        <v>33</v>
      </c>
      <c r="B533" t="str">
        <f t="shared" si="8"/>
        <v>Middle Aged</v>
      </c>
      <c r="C533">
        <v>1</v>
      </c>
      <c r="D533" t="s">
        <v>36</v>
      </c>
      <c r="E533">
        <v>587</v>
      </c>
      <c r="F533" t="s">
        <v>45</v>
      </c>
      <c r="G533">
        <v>10</v>
      </c>
      <c r="H533" t="str" cm="1">
        <f t="array" ref="H533">_xlfn.IFS(G533&gt;15,"Long Commute",G533&gt;5,"Moderate",G533&lt;=5,"Near Office")</f>
        <v>Moderate</v>
      </c>
      <c r="I533" t="s">
        <v>78</v>
      </c>
      <c r="J533" t="s">
        <v>51</v>
      </c>
      <c r="K533">
        <v>1</v>
      </c>
      <c r="L533" t="s">
        <v>46</v>
      </c>
      <c r="M533">
        <v>38</v>
      </c>
      <c r="N533">
        <v>1</v>
      </c>
      <c r="O533">
        <v>1</v>
      </c>
      <c r="P533" t="s">
        <v>50</v>
      </c>
      <c r="Q533" t="s">
        <v>77</v>
      </c>
      <c r="R533" t="s">
        <v>52</v>
      </c>
      <c r="S533">
        <v>3408</v>
      </c>
      <c r="T533" t="str" cm="1">
        <f t="array" ref="T533">_xlfn.IFS(S533&gt;=10000,"High (&gt;10k)",S533&gt;=5000,"Medium (5k-10k)",S533&lt;5000,"Low (&lt;5k)")</f>
        <v>Low (&lt;5k)</v>
      </c>
      <c r="U533">
        <v>6705</v>
      </c>
      <c r="V533">
        <v>7</v>
      </c>
      <c r="W533" t="s">
        <v>43</v>
      </c>
      <c r="X533">
        <v>13</v>
      </c>
      <c r="Y533">
        <v>3</v>
      </c>
      <c r="Z533">
        <v>1</v>
      </c>
      <c r="AA533">
        <v>3</v>
      </c>
      <c r="AB533">
        <v>8</v>
      </c>
      <c r="AC533">
        <v>2</v>
      </c>
      <c r="AD533" t="s">
        <v>74</v>
      </c>
      <c r="AE533">
        <v>4</v>
      </c>
      <c r="AF533" t="str" cm="1">
        <f t="array" ref="AF533">_xlfn.IFS(AE533&gt;=10,"Veteran (10y+)",AE533&gt;=3,"Established (3-10y)",AE533&lt;3,"New Hire (&lt;3y)")</f>
        <v>Established (3-10y)</v>
      </c>
      <c r="AG533">
        <v>3</v>
      </c>
      <c r="AH533">
        <v>1</v>
      </c>
      <c r="AI533">
        <v>3</v>
      </c>
    </row>
    <row r="534" spans="1:35">
      <c r="A534">
        <v>33</v>
      </c>
      <c r="B534" t="str">
        <f t="shared" si="8"/>
        <v>Middle Aged</v>
      </c>
      <c r="C534">
        <v>0</v>
      </c>
      <c r="D534" t="s">
        <v>36</v>
      </c>
      <c r="E534">
        <v>922</v>
      </c>
      <c r="F534" t="s">
        <v>45</v>
      </c>
      <c r="G534">
        <v>1</v>
      </c>
      <c r="H534" t="str" cm="1">
        <f t="array" ref="H534">_xlfn.IFS(G534&gt;15,"Long Commute",G534&gt;5,"Moderate",G534&lt;=5,"Near Office")</f>
        <v>Near Office</v>
      </c>
      <c r="I534" t="s">
        <v>84</v>
      </c>
      <c r="J534" t="s">
        <v>51</v>
      </c>
      <c r="K534">
        <v>1</v>
      </c>
      <c r="L534" t="s">
        <v>39</v>
      </c>
      <c r="M534">
        <v>95</v>
      </c>
      <c r="N534">
        <v>4</v>
      </c>
      <c r="O534">
        <v>4</v>
      </c>
      <c r="P534" t="s">
        <v>58</v>
      </c>
      <c r="Q534" t="s">
        <v>73</v>
      </c>
      <c r="R534" t="s">
        <v>52</v>
      </c>
      <c r="S534">
        <v>16184</v>
      </c>
      <c r="T534" t="str" cm="1">
        <f t="array" ref="T534">_xlfn.IFS(S534&gt;=10000,"High (&gt;10k)",S534&gt;=5000,"Medium (5k-10k)",S534&lt;5000,"Low (&lt;5k)")</f>
        <v>High (&gt;10k)</v>
      </c>
      <c r="U534">
        <v>22578</v>
      </c>
      <c r="V534">
        <v>4</v>
      </c>
      <c r="W534" t="s">
        <v>43</v>
      </c>
      <c r="X534">
        <v>19</v>
      </c>
      <c r="Y534">
        <v>3</v>
      </c>
      <c r="Z534">
        <v>3</v>
      </c>
      <c r="AA534">
        <v>1</v>
      </c>
      <c r="AB534">
        <v>10</v>
      </c>
      <c r="AC534">
        <v>2</v>
      </c>
      <c r="AD534" t="s">
        <v>74</v>
      </c>
      <c r="AE534">
        <v>6</v>
      </c>
      <c r="AF534" t="str" cm="1">
        <f t="array" ref="AF534">_xlfn.IFS(AE534&gt;=10,"Veteran (10y+)",AE534&gt;=3,"Established (3-10y)",AE534&lt;3,"New Hire (&lt;3y)")</f>
        <v>Established (3-10y)</v>
      </c>
      <c r="AG534">
        <v>1</v>
      </c>
      <c r="AH534">
        <v>0</v>
      </c>
      <c r="AI534">
        <v>5</v>
      </c>
    </row>
    <row r="535" spans="1:35">
      <c r="A535">
        <v>33</v>
      </c>
      <c r="B535" t="str">
        <f t="shared" si="8"/>
        <v>Middle Aged</v>
      </c>
      <c r="C535">
        <v>0</v>
      </c>
      <c r="D535" t="s">
        <v>36</v>
      </c>
      <c r="E535">
        <v>1216</v>
      </c>
      <c r="F535" t="s">
        <v>37</v>
      </c>
      <c r="G535">
        <v>8</v>
      </c>
      <c r="H535" t="str" cm="1">
        <f t="array" ref="H535">_xlfn.IFS(G535&gt;15,"Long Commute",G535&gt;5,"Moderate",G535&lt;=5,"Near Office")</f>
        <v>Moderate</v>
      </c>
      <c r="I535" t="s">
        <v>83</v>
      </c>
      <c r="J535" t="s">
        <v>59</v>
      </c>
      <c r="K535">
        <v>3</v>
      </c>
      <c r="L535" t="s">
        <v>46</v>
      </c>
      <c r="M535">
        <v>39</v>
      </c>
      <c r="N535">
        <v>3</v>
      </c>
      <c r="O535">
        <v>2</v>
      </c>
      <c r="P535" t="s">
        <v>40</v>
      </c>
      <c r="Q535" t="s">
        <v>73</v>
      </c>
      <c r="R535" t="s">
        <v>52</v>
      </c>
      <c r="S535">
        <v>7104</v>
      </c>
      <c r="T535" t="str" cm="1">
        <f t="array" ref="T535">_xlfn.IFS(S535&gt;=10000,"High (&gt;10k)",S535&gt;=5000,"Medium (5k-10k)",S535&lt;5000,"Low (&lt;5k)")</f>
        <v>Medium (5k-10k)</v>
      </c>
      <c r="U535">
        <v>20431</v>
      </c>
      <c r="V535">
        <v>0</v>
      </c>
      <c r="W535" t="s">
        <v>43</v>
      </c>
      <c r="X535">
        <v>12</v>
      </c>
      <c r="Y535">
        <v>3</v>
      </c>
      <c r="Z535">
        <v>4</v>
      </c>
      <c r="AA535">
        <v>0</v>
      </c>
      <c r="AB535">
        <v>6</v>
      </c>
      <c r="AC535">
        <v>3</v>
      </c>
      <c r="AD535" t="s">
        <v>74</v>
      </c>
      <c r="AE535">
        <v>5</v>
      </c>
      <c r="AF535" t="str" cm="1">
        <f t="array" ref="AF535">_xlfn.IFS(AE535&gt;=10,"Veteran (10y+)",AE535&gt;=3,"Established (3-10y)",AE535&lt;3,"New Hire (&lt;3y)")</f>
        <v>Established (3-10y)</v>
      </c>
      <c r="AG535">
        <v>0</v>
      </c>
      <c r="AH535">
        <v>1</v>
      </c>
      <c r="AI535">
        <v>2</v>
      </c>
    </row>
    <row r="536" spans="1:35">
      <c r="A536">
        <v>33</v>
      </c>
      <c r="B536" t="str">
        <f t="shared" si="8"/>
        <v>Middle Aged</v>
      </c>
      <c r="C536">
        <v>0</v>
      </c>
      <c r="D536" t="s">
        <v>44</v>
      </c>
      <c r="E536">
        <v>1296</v>
      </c>
      <c r="F536" t="s">
        <v>45</v>
      </c>
      <c r="G536">
        <v>6</v>
      </c>
      <c r="H536" t="str" cm="1">
        <f t="array" ref="H536">_xlfn.IFS(G536&gt;15,"Long Commute",G536&gt;5,"Moderate",G536&lt;=5,"Near Office")</f>
        <v>Moderate</v>
      </c>
      <c r="I536" t="s">
        <v>72</v>
      </c>
      <c r="J536" t="s">
        <v>38</v>
      </c>
      <c r="K536">
        <v>3</v>
      </c>
      <c r="L536" t="s">
        <v>46</v>
      </c>
      <c r="M536">
        <v>30</v>
      </c>
      <c r="N536">
        <v>3</v>
      </c>
      <c r="O536">
        <v>2</v>
      </c>
      <c r="P536" t="s">
        <v>54</v>
      </c>
      <c r="Q536" t="s">
        <v>77</v>
      </c>
      <c r="R536" t="s">
        <v>52</v>
      </c>
      <c r="S536">
        <v>7725</v>
      </c>
      <c r="T536" t="str" cm="1">
        <f t="array" ref="T536">_xlfn.IFS(S536&gt;=10000,"High (&gt;10k)",S536&gt;=5000,"Medium (5k-10k)",S536&lt;5000,"Low (&lt;5k)")</f>
        <v>Medium (5k-10k)</v>
      </c>
      <c r="U536">
        <v>5335</v>
      </c>
      <c r="V536">
        <v>3</v>
      </c>
      <c r="W536" t="s">
        <v>43</v>
      </c>
      <c r="X536">
        <v>23</v>
      </c>
      <c r="Y536">
        <v>4</v>
      </c>
      <c r="Z536">
        <v>3</v>
      </c>
      <c r="AA536">
        <v>1</v>
      </c>
      <c r="AB536">
        <v>15</v>
      </c>
      <c r="AC536">
        <v>2</v>
      </c>
      <c r="AD536" t="s">
        <v>80</v>
      </c>
      <c r="AE536">
        <v>13</v>
      </c>
      <c r="AF536" t="str" cm="1">
        <f t="array" ref="AF536">_xlfn.IFS(AE536&gt;=10,"Veteran (10y+)",AE536&gt;=3,"Established (3-10y)",AE536&lt;3,"New Hire (&lt;3y)")</f>
        <v>Veteran (10y+)</v>
      </c>
      <c r="AG536">
        <v>11</v>
      </c>
      <c r="AH536">
        <v>4</v>
      </c>
      <c r="AI536">
        <v>7</v>
      </c>
    </row>
    <row r="537" spans="1:35">
      <c r="A537">
        <v>33</v>
      </c>
      <c r="B537" t="str">
        <f t="shared" si="8"/>
        <v>Middle Aged</v>
      </c>
      <c r="C537">
        <v>1</v>
      </c>
      <c r="D537" t="s">
        <v>44</v>
      </c>
      <c r="E537">
        <v>1076</v>
      </c>
      <c r="F537" t="s">
        <v>45</v>
      </c>
      <c r="G537">
        <v>3</v>
      </c>
      <c r="H537" t="str" cm="1">
        <f t="array" ref="H537">_xlfn.IFS(G537&gt;15,"Long Commute",G537&gt;5,"Moderate",G537&lt;=5,"Near Office")</f>
        <v>Near Office</v>
      </c>
      <c r="I537" t="s">
        <v>72</v>
      </c>
      <c r="J537" t="s">
        <v>38</v>
      </c>
      <c r="K537">
        <v>1</v>
      </c>
      <c r="L537" t="s">
        <v>46</v>
      </c>
      <c r="M537">
        <v>70</v>
      </c>
      <c r="N537">
        <v>3</v>
      </c>
      <c r="O537">
        <v>1</v>
      </c>
      <c r="P537" t="s">
        <v>47</v>
      </c>
      <c r="Q537" t="s">
        <v>82</v>
      </c>
      <c r="R537" t="s">
        <v>41</v>
      </c>
      <c r="S537">
        <v>3348</v>
      </c>
      <c r="T537" t="str" cm="1">
        <f t="array" ref="T537">_xlfn.IFS(S537&gt;=10000,"High (&gt;10k)",S537&gt;=5000,"Medium (5k-10k)",S537&lt;5000,"Low (&lt;5k)")</f>
        <v>Low (&lt;5k)</v>
      </c>
      <c r="U537">
        <v>3164</v>
      </c>
      <c r="V537">
        <v>1</v>
      </c>
      <c r="W537" t="s">
        <v>35</v>
      </c>
      <c r="X537">
        <v>11</v>
      </c>
      <c r="Y537">
        <v>3</v>
      </c>
      <c r="Z537">
        <v>1</v>
      </c>
      <c r="AA537">
        <v>0</v>
      </c>
      <c r="AB537">
        <v>10</v>
      </c>
      <c r="AC537">
        <v>3</v>
      </c>
      <c r="AD537" t="s">
        <v>74</v>
      </c>
      <c r="AE537">
        <v>10</v>
      </c>
      <c r="AF537" t="str" cm="1">
        <f t="array" ref="AF537">_xlfn.IFS(AE537&gt;=10,"Veteran (10y+)",AE537&gt;=3,"Established (3-10y)",AE537&lt;3,"New Hire (&lt;3y)")</f>
        <v>Veteran (10y+)</v>
      </c>
      <c r="AG537">
        <v>8</v>
      </c>
      <c r="AH537">
        <v>9</v>
      </c>
      <c r="AI537">
        <v>7</v>
      </c>
    </row>
    <row r="538" spans="1:35">
      <c r="A538">
        <v>33</v>
      </c>
      <c r="B538" t="str">
        <f t="shared" si="8"/>
        <v>Middle Aged</v>
      </c>
      <c r="C538">
        <v>1</v>
      </c>
      <c r="D538" t="s">
        <v>36</v>
      </c>
      <c r="E538">
        <v>527</v>
      </c>
      <c r="F538" t="s">
        <v>45</v>
      </c>
      <c r="G538">
        <v>1</v>
      </c>
      <c r="H538" t="str" cm="1">
        <f t="array" ref="H538">_xlfn.IFS(G538&gt;15,"Long Commute",G538&gt;5,"Moderate",G538&lt;=5,"Near Office")</f>
        <v>Near Office</v>
      </c>
      <c r="I538" t="s">
        <v>83</v>
      </c>
      <c r="J538" t="s">
        <v>49</v>
      </c>
      <c r="K538">
        <v>4</v>
      </c>
      <c r="L538" t="s">
        <v>46</v>
      </c>
      <c r="M538">
        <v>63</v>
      </c>
      <c r="N538">
        <v>3</v>
      </c>
      <c r="O538">
        <v>1</v>
      </c>
      <c r="P538" t="s">
        <v>47</v>
      </c>
      <c r="Q538" t="s">
        <v>77</v>
      </c>
      <c r="R538" t="s">
        <v>41</v>
      </c>
      <c r="S538">
        <v>2686</v>
      </c>
      <c r="T538" t="str" cm="1">
        <f t="array" ref="T538">_xlfn.IFS(S538&gt;=10000,"High (&gt;10k)",S538&gt;=5000,"Medium (5k-10k)",S538&lt;5000,"Low (&lt;5k)")</f>
        <v>Low (&lt;5k)</v>
      </c>
      <c r="U538">
        <v>5207</v>
      </c>
      <c r="V538">
        <v>1</v>
      </c>
      <c r="W538" t="s">
        <v>35</v>
      </c>
      <c r="X538">
        <v>13</v>
      </c>
      <c r="Y538">
        <v>3</v>
      </c>
      <c r="Z538">
        <v>3</v>
      </c>
      <c r="AA538">
        <v>0</v>
      </c>
      <c r="AB538">
        <v>10</v>
      </c>
      <c r="AC538">
        <v>2</v>
      </c>
      <c r="AD538" t="s">
        <v>81</v>
      </c>
      <c r="AE538">
        <v>10</v>
      </c>
      <c r="AF538" t="str" cm="1">
        <f t="array" ref="AF538">_xlfn.IFS(AE538&gt;=10,"Veteran (10y+)",AE538&gt;=3,"Established (3-10y)",AE538&lt;3,"New Hire (&lt;3y)")</f>
        <v>Veteran (10y+)</v>
      </c>
      <c r="AG538">
        <v>9</v>
      </c>
      <c r="AH538">
        <v>7</v>
      </c>
      <c r="AI538">
        <v>8</v>
      </c>
    </row>
    <row r="539" spans="1:35">
      <c r="A539">
        <v>33</v>
      </c>
      <c r="B539" t="str">
        <f t="shared" si="8"/>
        <v>Middle Aged</v>
      </c>
      <c r="C539">
        <v>0</v>
      </c>
      <c r="D539" t="s">
        <v>36</v>
      </c>
      <c r="E539">
        <v>213</v>
      </c>
      <c r="F539" t="s">
        <v>45</v>
      </c>
      <c r="G539">
        <v>7</v>
      </c>
      <c r="H539" t="str" cm="1">
        <f t="array" ref="H539">_xlfn.IFS(G539&gt;15,"Long Commute",G539&gt;5,"Moderate",G539&lt;=5,"Near Office")</f>
        <v>Moderate</v>
      </c>
      <c r="I539" t="s">
        <v>72</v>
      </c>
      <c r="J539" t="s">
        <v>51</v>
      </c>
      <c r="K539">
        <v>3</v>
      </c>
      <c r="L539" t="s">
        <v>46</v>
      </c>
      <c r="M539">
        <v>49</v>
      </c>
      <c r="N539">
        <v>3</v>
      </c>
      <c r="O539">
        <v>3</v>
      </c>
      <c r="P539" t="s">
        <v>58</v>
      </c>
      <c r="Q539" t="s">
        <v>73</v>
      </c>
      <c r="R539" t="s">
        <v>48</v>
      </c>
      <c r="S539">
        <v>11691</v>
      </c>
      <c r="T539" t="str" cm="1">
        <f t="array" ref="T539">_xlfn.IFS(S539&gt;=10000,"High (&gt;10k)",S539&gt;=5000,"Medium (5k-10k)",S539&lt;5000,"Low (&lt;5k)")</f>
        <v>High (&gt;10k)</v>
      </c>
      <c r="U539">
        <v>25995</v>
      </c>
      <c r="V539">
        <v>0</v>
      </c>
      <c r="W539" t="s">
        <v>43</v>
      </c>
      <c r="X539">
        <v>11</v>
      </c>
      <c r="Y539">
        <v>3</v>
      </c>
      <c r="Z539">
        <v>4</v>
      </c>
      <c r="AA539">
        <v>0</v>
      </c>
      <c r="AB539">
        <v>14</v>
      </c>
      <c r="AC539">
        <v>3</v>
      </c>
      <c r="AD539" t="s">
        <v>79</v>
      </c>
      <c r="AE539">
        <v>13</v>
      </c>
      <c r="AF539" t="str" cm="1">
        <f t="array" ref="AF539">_xlfn.IFS(AE539&gt;=10,"Veteran (10y+)",AE539&gt;=3,"Established (3-10y)",AE539&lt;3,"New Hire (&lt;3y)")</f>
        <v>Veteran (10y+)</v>
      </c>
      <c r="AG539">
        <v>9</v>
      </c>
      <c r="AH539">
        <v>3</v>
      </c>
      <c r="AI539">
        <v>7</v>
      </c>
    </row>
    <row r="540" spans="1:35">
      <c r="A540">
        <v>33</v>
      </c>
      <c r="B540" t="str">
        <f t="shared" si="8"/>
        <v>Middle Aged</v>
      </c>
      <c r="C540">
        <v>1</v>
      </c>
      <c r="D540" t="s">
        <v>36</v>
      </c>
      <c r="E540">
        <v>118</v>
      </c>
      <c r="F540" t="s">
        <v>37</v>
      </c>
      <c r="G540">
        <v>16</v>
      </c>
      <c r="H540" t="str" cm="1">
        <f t="array" ref="H540">_xlfn.IFS(G540&gt;15,"Long Commute",G540&gt;5,"Moderate",G540&lt;=5,"Near Office")</f>
        <v>Long Commute</v>
      </c>
      <c r="I540" t="s">
        <v>72</v>
      </c>
      <c r="J540" t="s">
        <v>59</v>
      </c>
      <c r="K540">
        <v>1</v>
      </c>
      <c r="L540" t="s">
        <v>39</v>
      </c>
      <c r="M540">
        <v>69</v>
      </c>
      <c r="N540">
        <v>3</v>
      </c>
      <c r="O540">
        <v>2</v>
      </c>
      <c r="P540" t="s">
        <v>40</v>
      </c>
      <c r="Q540" t="s">
        <v>82</v>
      </c>
      <c r="R540" t="s">
        <v>41</v>
      </c>
      <c r="S540">
        <v>5324</v>
      </c>
      <c r="T540" t="str" cm="1">
        <f t="array" ref="T540">_xlfn.IFS(S540&gt;=10000,"High (&gt;10k)",S540&gt;=5000,"Medium (5k-10k)",S540&lt;5000,"Low (&lt;5k)")</f>
        <v>Medium (5k-10k)</v>
      </c>
      <c r="U540">
        <v>26507</v>
      </c>
      <c r="V540">
        <v>5</v>
      </c>
      <c r="W540" t="s">
        <v>43</v>
      </c>
      <c r="X540">
        <v>15</v>
      </c>
      <c r="Y540">
        <v>3</v>
      </c>
      <c r="Z540">
        <v>3</v>
      </c>
      <c r="AA540">
        <v>0</v>
      </c>
      <c r="AB540">
        <v>6</v>
      </c>
      <c r="AC540">
        <v>3</v>
      </c>
      <c r="AD540" t="s">
        <v>74</v>
      </c>
      <c r="AE540">
        <v>3</v>
      </c>
      <c r="AF540" t="str" cm="1">
        <f t="array" ref="AF540">_xlfn.IFS(AE540&gt;=10,"Veteran (10y+)",AE540&gt;=3,"Established (3-10y)",AE540&lt;3,"New Hire (&lt;3y)")</f>
        <v>Established (3-10y)</v>
      </c>
      <c r="AG540">
        <v>2</v>
      </c>
      <c r="AH540">
        <v>0</v>
      </c>
      <c r="AI540">
        <v>2</v>
      </c>
    </row>
    <row r="541" spans="1:35">
      <c r="A541">
        <v>33</v>
      </c>
      <c r="B541" t="str">
        <f t="shared" si="8"/>
        <v>Middle Aged</v>
      </c>
      <c r="C541">
        <v>0</v>
      </c>
      <c r="D541" t="s">
        <v>36</v>
      </c>
      <c r="E541">
        <v>586</v>
      </c>
      <c r="F541" t="s">
        <v>37</v>
      </c>
      <c r="G541">
        <v>1</v>
      </c>
      <c r="H541" t="str" cm="1">
        <f t="array" ref="H541">_xlfn.IFS(G541&gt;15,"Long Commute",G541&gt;5,"Moderate",G541&lt;=5,"Near Office")</f>
        <v>Near Office</v>
      </c>
      <c r="I541" t="s">
        <v>72</v>
      </c>
      <c r="J541" t="s">
        <v>51</v>
      </c>
      <c r="K541">
        <v>1</v>
      </c>
      <c r="L541" t="s">
        <v>46</v>
      </c>
      <c r="M541">
        <v>48</v>
      </c>
      <c r="N541">
        <v>4</v>
      </c>
      <c r="O541">
        <v>2</v>
      </c>
      <c r="P541" t="s">
        <v>40</v>
      </c>
      <c r="Q541" t="s">
        <v>82</v>
      </c>
      <c r="R541" t="s">
        <v>52</v>
      </c>
      <c r="S541">
        <v>4037</v>
      </c>
      <c r="T541" t="str" cm="1">
        <f t="array" ref="T541">_xlfn.IFS(S541&gt;=10000,"High (&gt;10k)",S541&gt;=5000,"Medium (5k-10k)",S541&lt;5000,"Low (&lt;5k)")</f>
        <v>Low (&lt;5k)</v>
      </c>
      <c r="U541">
        <v>21816</v>
      </c>
      <c r="V541">
        <v>1</v>
      </c>
      <c r="W541" t="s">
        <v>43</v>
      </c>
      <c r="X541">
        <v>22</v>
      </c>
      <c r="Y541">
        <v>4</v>
      </c>
      <c r="Z541">
        <v>1</v>
      </c>
      <c r="AA541">
        <v>1</v>
      </c>
      <c r="AB541">
        <v>9</v>
      </c>
      <c r="AC541">
        <v>5</v>
      </c>
      <c r="AD541" t="s">
        <v>74</v>
      </c>
      <c r="AE541">
        <v>9</v>
      </c>
      <c r="AF541" t="str" cm="1">
        <f t="array" ref="AF541">_xlfn.IFS(AE541&gt;=10,"Veteran (10y+)",AE541&gt;=3,"Established (3-10y)",AE541&lt;3,"New Hire (&lt;3y)")</f>
        <v>Established (3-10y)</v>
      </c>
      <c r="AG541">
        <v>8</v>
      </c>
      <c r="AH541">
        <v>0</v>
      </c>
      <c r="AI541">
        <v>8</v>
      </c>
    </row>
    <row r="542" spans="1:35">
      <c r="A542">
        <v>33</v>
      </c>
      <c r="B542" t="str">
        <f t="shared" si="8"/>
        <v>Middle Aged</v>
      </c>
      <c r="C542">
        <v>0</v>
      </c>
      <c r="D542" t="s">
        <v>36</v>
      </c>
      <c r="E542">
        <v>1075</v>
      </c>
      <c r="F542" t="s">
        <v>61</v>
      </c>
      <c r="G542">
        <v>3</v>
      </c>
      <c r="H542" t="str" cm="1">
        <f t="array" ref="H542">_xlfn.IFS(G542&gt;15,"Long Commute",G542&gt;5,"Moderate",G542&lt;=5,"Near Office")</f>
        <v>Near Office</v>
      </c>
      <c r="I542" t="s">
        <v>76</v>
      </c>
      <c r="J542" t="s">
        <v>61</v>
      </c>
      <c r="K542">
        <v>4</v>
      </c>
      <c r="L542" t="s">
        <v>46</v>
      </c>
      <c r="M542">
        <v>57</v>
      </c>
      <c r="N542">
        <v>3</v>
      </c>
      <c r="O542">
        <v>1</v>
      </c>
      <c r="P542" t="s">
        <v>61</v>
      </c>
      <c r="Q542" t="s">
        <v>75</v>
      </c>
      <c r="R542" t="s">
        <v>52</v>
      </c>
      <c r="S542">
        <v>2277</v>
      </c>
      <c r="T542" t="str" cm="1">
        <f t="array" ref="T542">_xlfn.IFS(S542&gt;=10000,"High (&gt;10k)",S542&gt;=5000,"Medium (5k-10k)",S542&lt;5000,"Low (&lt;5k)")</f>
        <v>Low (&lt;5k)</v>
      </c>
      <c r="U542">
        <v>22650</v>
      </c>
      <c r="V542">
        <v>3</v>
      </c>
      <c r="W542" t="s">
        <v>35</v>
      </c>
      <c r="X542">
        <v>11</v>
      </c>
      <c r="Y542">
        <v>3</v>
      </c>
      <c r="Z542">
        <v>3</v>
      </c>
      <c r="AA542">
        <v>1</v>
      </c>
      <c r="AB542">
        <v>7</v>
      </c>
      <c r="AC542">
        <v>4</v>
      </c>
      <c r="AD542" t="s">
        <v>79</v>
      </c>
      <c r="AE542">
        <v>4</v>
      </c>
      <c r="AF542" t="str" cm="1">
        <f t="array" ref="AF542">_xlfn.IFS(AE542&gt;=10,"Veteran (10y+)",AE542&gt;=3,"Established (3-10y)",AE542&lt;3,"New Hire (&lt;3y)")</f>
        <v>Established (3-10y)</v>
      </c>
      <c r="AG542">
        <v>3</v>
      </c>
      <c r="AH542">
        <v>0</v>
      </c>
      <c r="AI542">
        <v>3</v>
      </c>
    </row>
    <row r="543" spans="1:35">
      <c r="A543">
        <v>33</v>
      </c>
      <c r="B543" t="str">
        <f t="shared" si="8"/>
        <v>Middle Aged</v>
      </c>
      <c r="C543">
        <v>0</v>
      </c>
      <c r="D543" t="s">
        <v>36</v>
      </c>
      <c r="E543">
        <v>1198</v>
      </c>
      <c r="F543" t="s">
        <v>45</v>
      </c>
      <c r="G543">
        <v>1</v>
      </c>
      <c r="H543" t="str" cm="1">
        <f t="array" ref="H543">_xlfn.IFS(G543&gt;15,"Long Commute",G543&gt;5,"Moderate",G543&lt;=5,"Near Office")</f>
        <v>Near Office</v>
      </c>
      <c r="I543" t="s">
        <v>83</v>
      </c>
      <c r="J543" t="s">
        <v>49</v>
      </c>
      <c r="K543">
        <v>3</v>
      </c>
      <c r="L543" t="s">
        <v>46</v>
      </c>
      <c r="M543">
        <v>100</v>
      </c>
      <c r="N543">
        <v>2</v>
      </c>
      <c r="O543">
        <v>1</v>
      </c>
      <c r="P543" t="s">
        <v>47</v>
      </c>
      <c r="Q543" t="s">
        <v>82</v>
      </c>
      <c r="R543" t="s">
        <v>41</v>
      </c>
      <c r="S543">
        <v>2799</v>
      </c>
      <c r="T543" t="str" cm="1">
        <f t="array" ref="T543">_xlfn.IFS(S543&gt;=10000,"High (&gt;10k)",S543&gt;=5000,"Medium (5k-10k)",S543&lt;5000,"Low (&lt;5k)")</f>
        <v>Low (&lt;5k)</v>
      </c>
      <c r="U543">
        <v>3339</v>
      </c>
      <c r="V543">
        <v>3</v>
      </c>
      <c r="W543" t="s">
        <v>35</v>
      </c>
      <c r="X543">
        <v>11</v>
      </c>
      <c r="Y543">
        <v>3</v>
      </c>
      <c r="Z543">
        <v>2</v>
      </c>
      <c r="AA543">
        <v>0</v>
      </c>
      <c r="AB543">
        <v>6</v>
      </c>
      <c r="AC543">
        <v>1</v>
      </c>
      <c r="AD543" t="s">
        <v>74</v>
      </c>
      <c r="AE543">
        <v>3</v>
      </c>
      <c r="AF543" t="str" cm="1">
        <f t="array" ref="AF543">_xlfn.IFS(AE543&gt;=10,"Veteran (10y+)",AE543&gt;=3,"Established (3-10y)",AE543&lt;3,"New Hire (&lt;3y)")</f>
        <v>Established (3-10y)</v>
      </c>
      <c r="AG543">
        <v>2</v>
      </c>
      <c r="AH543">
        <v>0</v>
      </c>
      <c r="AI543">
        <v>2</v>
      </c>
    </row>
    <row r="544" spans="1:35">
      <c r="A544">
        <v>33</v>
      </c>
      <c r="B544" t="str">
        <f t="shared" si="8"/>
        <v>Middle Aged</v>
      </c>
      <c r="C544">
        <v>0</v>
      </c>
      <c r="D544" t="s">
        <v>36</v>
      </c>
      <c r="E544">
        <v>1069</v>
      </c>
      <c r="F544" t="s">
        <v>45</v>
      </c>
      <c r="G544">
        <v>1</v>
      </c>
      <c r="H544" t="str" cm="1">
        <f t="array" ref="H544">_xlfn.IFS(G544&gt;15,"Long Commute",G544&gt;5,"Moderate",G544&lt;=5,"Near Office")</f>
        <v>Near Office</v>
      </c>
      <c r="I544" t="s">
        <v>72</v>
      </c>
      <c r="J544" t="s">
        <v>38</v>
      </c>
      <c r="K544">
        <v>2</v>
      </c>
      <c r="L544" t="s">
        <v>39</v>
      </c>
      <c r="M544">
        <v>42</v>
      </c>
      <c r="N544">
        <v>2</v>
      </c>
      <c r="O544">
        <v>2</v>
      </c>
      <c r="P544" t="s">
        <v>54</v>
      </c>
      <c r="Q544" t="s">
        <v>77</v>
      </c>
      <c r="R544" t="s">
        <v>41</v>
      </c>
      <c r="S544">
        <v>6949</v>
      </c>
      <c r="T544" t="str" cm="1">
        <f t="array" ref="T544">_xlfn.IFS(S544&gt;=10000,"High (&gt;10k)",S544&gt;=5000,"Medium (5k-10k)",S544&lt;5000,"Low (&lt;5k)")</f>
        <v>Medium (5k-10k)</v>
      </c>
      <c r="U544">
        <v>12291</v>
      </c>
      <c r="V544">
        <v>0</v>
      </c>
      <c r="W544" t="s">
        <v>43</v>
      </c>
      <c r="X544">
        <v>14</v>
      </c>
      <c r="Y544">
        <v>3</v>
      </c>
      <c r="Z544">
        <v>1</v>
      </c>
      <c r="AA544">
        <v>0</v>
      </c>
      <c r="AB544">
        <v>6</v>
      </c>
      <c r="AC544">
        <v>3</v>
      </c>
      <c r="AD544" t="s">
        <v>74</v>
      </c>
      <c r="AE544">
        <v>5</v>
      </c>
      <c r="AF544" t="str" cm="1">
        <f t="array" ref="AF544">_xlfn.IFS(AE544&gt;=10,"Veteran (10y+)",AE544&gt;=3,"Established (3-10y)",AE544&lt;3,"New Hire (&lt;3y)")</f>
        <v>Established (3-10y)</v>
      </c>
      <c r="AG544">
        <v>0</v>
      </c>
      <c r="AH544">
        <v>1</v>
      </c>
      <c r="AI544">
        <v>4</v>
      </c>
    </row>
    <row r="545" spans="1:35">
      <c r="A545">
        <v>33</v>
      </c>
      <c r="B545" t="str">
        <f t="shared" si="8"/>
        <v>Middle Aged</v>
      </c>
      <c r="C545">
        <v>0</v>
      </c>
      <c r="D545" t="s">
        <v>55</v>
      </c>
      <c r="E545">
        <v>722</v>
      </c>
      <c r="F545" t="s">
        <v>37</v>
      </c>
      <c r="G545">
        <v>17</v>
      </c>
      <c r="H545" t="str" cm="1">
        <f t="array" ref="H545">_xlfn.IFS(G545&gt;15,"Long Commute",G545&gt;5,"Moderate",G545&lt;=5,"Near Office")</f>
        <v>Long Commute</v>
      </c>
      <c r="I545" t="s">
        <v>72</v>
      </c>
      <c r="J545" t="s">
        <v>38</v>
      </c>
      <c r="K545">
        <v>4</v>
      </c>
      <c r="L545" t="s">
        <v>46</v>
      </c>
      <c r="M545">
        <v>38</v>
      </c>
      <c r="N545">
        <v>3</v>
      </c>
      <c r="O545">
        <v>4</v>
      </c>
      <c r="P545" t="s">
        <v>56</v>
      </c>
      <c r="Q545" t="s">
        <v>73</v>
      </c>
      <c r="R545" t="s">
        <v>41</v>
      </c>
      <c r="S545">
        <v>17444</v>
      </c>
      <c r="T545" t="str" cm="1">
        <f t="array" ref="T545">_xlfn.IFS(S545&gt;=10000,"High (&gt;10k)",S545&gt;=5000,"Medium (5k-10k)",S545&lt;5000,"Low (&lt;5k)")</f>
        <v>High (&gt;10k)</v>
      </c>
      <c r="U545">
        <v>20489</v>
      </c>
      <c r="V545">
        <v>1</v>
      </c>
      <c r="W545" t="s">
        <v>43</v>
      </c>
      <c r="X545">
        <v>11</v>
      </c>
      <c r="Y545">
        <v>3</v>
      </c>
      <c r="Z545">
        <v>4</v>
      </c>
      <c r="AA545">
        <v>0</v>
      </c>
      <c r="AB545">
        <v>10</v>
      </c>
      <c r="AC545">
        <v>2</v>
      </c>
      <c r="AD545" t="s">
        <v>74</v>
      </c>
      <c r="AE545">
        <v>10</v>
      </c>
      <c r="AF545" t="str" cm="1">
        <f t="array" ref="AF545">_xlfn.IFS(AE545&gt;=10,"Veteran (10y+)",AE545&gt;=3,"Established (3-10y)",AE545&lt;3,"New Hire (&lt;3y)")</f>
        <v>Veteran (10y+)</v>
      </c>
      <c r="AG545">
        <v>8</v>
      </c>
      <c r="AH545">
        <v>6</v>
      </c>
      <c r="AI545">
        <v>0</v>
      </c>
    </row>
    <row r="546" spans="1:35">
      <c r="A546">
        <v>33</v>
      </c>
      <c r="B546" t="str">
        <f t="shared" si="8"/>
        <v>Middle Aged</v>
      </c>
      <c r="C546">
        <v>0</v>
      </c>
      <c r="D546" t="s">
        <v>36</v>
      </c>
      <c r="E546">
        <v>461</v>
      </c>
      <c r="F546" t="s">
        <v>45</v>
      </c>
      <c r="G546">
        <v>13</v>
      </c>
      <c r="H546" t="str" cm="1">
        <f t="array" ref="H546">_xlfn.IFS(G546&gt;15,"Long Commute",G546&gt;5,"Moderate",G546&lt;=5,"Near Office")</f>
        <v>Moderate</v>
      </c>
      <c r="I546" t="s">
        <v>78</v>
      </c>
      <c r="J546" t="s">
        <v>38</v>
      </c>
      <c r="K546">
        <v>2</v>
      </c>
      <c r="L546" t="s">
        <v>39</v>
      </c>
      <c r="M546">
        <v>53</v>
      </c>
      <c r="N546">
        <v>3</v>
      </c>
      <c r="O546">
        <v>1</v>
      </c>
      <c r="P546" t="s">
        <v>47</v>
      </c>
      <c r="Q546" t="s">
        <v>77</v>
      </c>
      <c r="R546" t="s">
        <v>41</v>
      </c>
      <c r="S546">
        <v>3452</v>
      </c>
      <c r="T546" t="str" cm="1">
        <f t="array" ref="T546">_xlfn.IFS(S546&gt;=10000,"High (&gt;10k)",S546&gt;=5000,"Medium (5k-10k)",S546&lt;5000,"Low (&lt;5k)")</f>
        <v>Low (&lt;5k)</v>
      </c>
      <c r="U546">
        <v>17241</v>
      </c>
      <c r="V546">
        <v>3</v>
      </c>
      <c r="W546" t="s">
        <v>43</v>
      </c>
      <c r="X546">
        <v>18</v>
      </c>
      <c r="Y546">
        <v>3</v>
      </c>
      <c r="Z546">
        <v>1</v>
      </c>
      <c r="AA546">
        <v>0</v>
      </c>
      <c r="AB546">
        <v>5</v>
      </c>
      <c r="AC546">
        <v>4</v>
      </c>
      <c r="AD546" t="s">
        <v>74</v>
      </c>
      <c r="AE546">
        <v>3</v>
      </c>
      <c r="AF546" t="str" cm="1">
        <f t="array" ref="AF546">_xlfn.IFS(AE546&gt;=10,"Veteran (10y+)",AE546&gt;=3,"Established (3-10y)",AE546&lt;3,"New Hire (&lt;3y)")</f>
        <v>Established (3-10y)</v>
      </c>
      <c r="AG546">
        <v>2</v>
      </c>
      <c r="AH546">
        <v>0</v>
      </c>
      <c r="AI546">
        <v>2</v>
      </c>
    </row>
    <row r="547" spans="1:35">
      <c r="A547">
        <v>33</v>
      </c>
      <c r="B547" t="str">
        <f t="shared" si="8"/>
        <v>Middle Aged</v>
      </c>
      <c r="C547">
        <v>0</v>
      </c>
      <c r="D547" t="s">
        <v>44</v>
      </c>
      <c r="E547">
        <v>827</v>
      </c>
      <c r="F547" t="s">
        <v>45</v>
      </c>
      <c r="G547">
        <v>1</v>
      </c>
      <c r="H547" t="str" cm="1">
        <f t="array" ref="H547">_xlfn.IFS(G547&gt;15,"Long Commute",G547&gt;5,"Moderate",G547&lt;=5,"Near Office")</f>
        <v>Near Office</v>
      </c>
      <c r="I547" t="s">
        <v>83</v>
      </c>
      <c r="J547" t="s">
        <v>49</v>
      </c>
      <c r="K547">
        <v>3</v>
      </c>
      <c r="L547" t="s">
        <v>39</v>
      </c>
      <c r="M547">
        <v>84</v>
      </c>
      <c r="N547">
        <v>4</v>
      </c>
      <c r="O547">
        <v>2</v>
      </c>
      <c r="P547" t="s">
        <v>54</v>
      </c>
      <c r="Q547" t="s">
        <v>75</v>
      </c>
      <c r="R547" t="s">
        <v>48</v>
      </c>
      <c r="S547">
        <v>5488</v>
      </c>
      <c r="T547" t="str" cm="1">
        <f t="array" ref="T547">_xlfn.IFS(S547&gt;=10000,"High (&gt;10k)",S547&gt;=5000,"Medium (5k-10k)",S547&lt;5000,"Low (&lt;5k)")</f>
        <v>Medium (5k-10k)</v>
      </c>
      <c r="U547">
        <v>20161</v>
      </c>
      <c r="V547">
        <v>1</v>
      </c>
      <c r="W547" t="s">
        <v>35</v>
      </c>
      <c r="X547">
        <v>13</v>
      </c>
      <c r="Y547">
        <v>3</v>
      </c>
      <c r="Z547">
        <v>1</v>
      </c>
      <c r="AA547">
        <v>1</v>
      </c>
      <c r="AB547">
        <v>6</v>
      </c>
      <c r="AC547">
        <v>2</v>
      </c>
      <c r="AD547" t="s">
        <v>74</v>
      </c>
      <c r="AE547">
        <v>6</v>
      </c>
      <c r="AF547" t="str" cm="1">
        <f t="array" ref="AF547">_xlfn.IFS(AE547&gt;=10,"Veteran (10y+)",AE547&gt;=3,"Established (3-10y)",AE547&lt;3,"New Hire (&lt;3y)")</f>
        <v>Established (3-10y)</v>
      </c>
      <c r="AG547">
        <v>5</v>
      </c>
      <c r="AH547">
        <v>1</v>
      </c>
      <c r="AI547">
        <v>2</v>
      </c>
    </row>
    <row r="548" spans="1:35">
      <c r="A548">
        <v>33</v>
      </c>
      <c r="B548" t="str">
        <f t="shared" si="8"/>
        <v>Middle Aged</v>
      </c>
      <c r="C548">
        <v>0</v>
      </c>
      <c r="D548" t="s">
        <v>55</v>
      </c>
      <c r="E548">
        <v>1038</v>
      </c>
      <c r="F548" t="s">
        <v>37</v>
      </c>
      <c r="G548">
        <v>8</v>
      </c>
      <c r="H548" t="str" cm="1">
        <f t="array" ref="H548">_xlfn.IFS(G548&gt;15,"Long Commute",G548&gt;5,"Moderate",G548&lt;=5,"Near Office")</f>
        <v>Moderate</v>
      </c>
      <c r="I548" t="s">
        <v>78</v>
      </c>
      <c r="J548" t="s">
        <v>38</v>
      </c>
      <c r="K548">
        <v>2</v>
      </c>
      <c r="L548" t="s">
        <v>39</v>
      </c>
      <c r="M548">
        <v>88</v>
      </c>
      <c r="N548">
        <v>2</v>
      </c>
      <c r="O548">
        <v>1</v>
      </c>
      <c r="P548" t="s">
        <v>57</v>
      </c>
      <c r="Q548" t="s">
        <v>77</v>
      </c>
      <c r="R548" t="s">
        <v>41</v>
      </c>
      <c r="S548">
        <v>2342</v>
      </c>
      <c r="T548" t="str" cm="1">
        <f t="array" ref="T548">_xlfn.IFS(S548&gt;=10000,"High (&gt;10k)",S548&gt;=5000,"Medium (5k-10k)",S548&lt;5000,"Low (&lt;5k)")</f>
        <v>Low (&lt;5k)</v>
      </c>
      <c r="U548">
        <v>21437</v>
      </c>
      <c r="V548">
        <v>0</v>
      </c>
      <c r="W548" t="s">
        <v>43</v>
      </c>
      <c r="X548">
        <v>19</v>
      </c>
      <c r="Y548">
        <v>3</v>
      </c>
      <c r="Z548">
        <v>4</v>
      </c>
      <c r="AA548">
        <v>0</v>
      </c>
      <c r="AB548">
        <v>3</v>
      </c>
      <c r="AC548">
        <v>2</v>
      </c>
      <c r="AD548" t="s">
        <v>81</v>
      </c>
      <c r="AE548">
        <v>2</v>
      </c>
      <c r="AF548" t="str" cm="1">
        <f t="array" ref="AF548">_xlfn.IFS(AE548&gt;=10,"Veteran (10y+)",AE548&gt;=3,"Established (3-10y)",AE548&lt;3,"New Hire (&lt;3y)")</f>
        <v>New Hire (&lt;3y)</v>
      </c>
      <c r="AG548">
        <v>2</v>
      </c>
      <c r="AH548">
        <v>2</v>
      </c>
      <c r="AI548">
        <v>2</v>
      </c>
    </row>
    <row r="549" spans="1:35">
      <c r="A549">
        <v>33</v>
      </c>
      <c r="B549" t="str">
        <f t="shared" si="8"/>
        <v>Middle Aged</v>
      </c>
      <c r="C549">
        <v>0</v>
      </c>
      <c r="D549" t="s">
        <v>36</v>
      </c>
      <c r="E549">
        <v>654</v>
      </c>
      <c r="F549" t="s">
        <v>45</v>
      </c>
      <c r="G549">
        <v>5</v>
      </c>
      <c r="H549" t="str" cm="1">
        <f t="array" ref="H549">_xlfn.IFS(G549&gt;15,"Long Commute",G549&gt;5,"Moderate",G549&lt;=5,"Near Office")</f>
        <v>Near Office</v>
      </c>
      <c r="I549" t="s">
        <v>72</v>
      </c>
      <c r="J549" t="s">
        <v>38</v>
      </c>
      <c r="K549">
        <v>4</v>
      </c>
      <c r="L549" t="s">
        <v>46</v>
      </c>
      <c r="M549">
        <v>34</v>
      </c>
      <c r="N549">
        <v>2</v>
      </c>
      <c r="O549">
        <v>3</v>
      </c>
      <c r="P549" t="s">
        <v>54</v>
      </c>
      <c r="Q549" t="s">
        <v>77</v>
      </c>
      <c r="R549" t="s">
        <v>52</v>
      </c>
      <c r="S549">
        <v>7119</v>
      </c>
      <c r="T549" t="str" cm="1">
        <f t="array" ref="T549">_xlfn.IFS(S549&gt;=10000,"High (&gt;10k)",S549&gt;=5000,"Medium (5k-10k)",S549&lt;5000,"Low (&lt;5k)")</f>
        <v>Medium (5k-10k)</v>
      </c>
      <c r="U549">
        <v>21214</v>
      </c>
      <c r="V549">
        <v>4</v>
      </c>
      <c r="W549" t="s">
        <v>43</v>
      </c>
      <c r="X549">
        <v>15</v>
      </c>
      <c r="Y549">
        <v>3</v>
      </c>
      <c r="Z549">
        <v>3</v>
      </c>
      <c r="AA549">
        <v>1</v>
      </c>
      <c r="AB549">
        <v>9</v>
      </c>
      <c r="AC549">
        <v>2</v>
      </c>
      <c r="AD549" t="s">
        <v>74</v>
      </c>
      <c r="AE549">
        <v>3</v>
      </c>
      <c r="AF549" t="str" cm="1">
        <f t="array" ref="AF549">_xlfn.IFS(AE549&gt;=10,"Veteran (10y+)",AE549&gt;=3,"Established (3-10y)",AE549&lt;3,"New Hire (&lt;3y)")</f>
        <v>Established (3-10y)</v>
      </c>
      <c r="AG549">
        <v>2</v>
      </c>
      <c r="AH549">
        <v>1</v>
      </c>
      <c r="AI549">
        <v>2</v>
      </c>
    </row>
    <row r="550" spans="1:35">
      <c r="A550">
        <v>33</v>
      </c>
      <c r="B550" t="str">
        <f t="shared" si="8"/>
        <v>Middle Aged</v>
      </c>
      <c r="C550">
        <v>1</v>
      </c>
      <c r="D550" t="s">
        <v>44</v>
      </c>
      <c r="E550">
        <v>827</v>
      </c>
      <c r="F550" t="s">
        <v>45</v>
      </c>
      <c r="G550">
        <v>29</v>
      </c>
      <c r="H550" t="str" cm="1">
        <f t="array" ref="H550">_xlfn.IFS(G550&gt;15,"Long Commute",G550&gt;5,"Moderate",G550&lt;=5,"Near Office")</f>
        <v>Long Commute</v>
      </c>
      <c r="I550" t="s">
        <v>83</v>
      </c>
      <c r="J550" t="s">
        <v>51</v>
      </c>
      <c r="K550">
        <v>1</v>
      </c>
      <c r="L550" t="s">
        <v>39</v>
      </c>
      <c r="M550">
        <v>54</v>
      </c>
      <c r="N550">
        <v>2</v>
      </c>
      <c r="O550">
        <v>2</v>
      </c>
      <c r="P550" t="s">
        <v>47</v>
      </c>
      <c r="Q550" t="s">
        <v>73</v>
      </c>
      <c r="R550" t="s">
        <v>41</v>
      </c>
      <c r="S550">
        <v>4508</v>
      </c>
      <c r="T550" t="str" cm="1">
        <f t="array" ref="T550">_xlfn.IFS(S550&gt;=10000,"High (&gt;10k)",S550&gt;=5000,"Medium (5k-10k)",S550&lt;5000,"Low (&lt;5k)")</f>
        <v>Low (&lt;5k)</v>
      </c>
      <c r="U550">
        <v>3129</v>
      </c>
      <c r="V550">
        <v>1</v>
      </c>
      <c r="W550" t="s">
        <v>43</v>
      </c>
      <c r="X550">
        <v>22</v>
      </c>
      <c r="Y550">
        <v>4</v>
      </c>
      <c r="Z550">
        <v>2</v>
      </c>
      <c r="AA550">
        <v>0</v>
      </c>
      <c r="AB550">
        <v>14</v>
      </c>
      <c r="AC550">
        <v>4</v>
      </c>
      <c r="AD550" t="s">
        <v>74</v>
      </c>
      <c r="AE550">
        <v>13</v>
      </c>
      <c r="AF550" t="str" cm="1">
        <f t="array" ref="AF550">_xlfn.IFS(AE550&gt;=10,"Veteran (10y+)",AE550&gt;=3,"Established (3-10y)",AE550&lt;3,"New Hire (&lt;3y)")</f>
        <v>Veteran (10y+)</v>
      </c>
      <c r="AG550">
        <v>7</v>
      </c>
      <c r="AH550">
        <v>3</v>
      </c>
      <c r="AI550">
        <v>8</v>
      </c>
    </row>
    <row r="551" spans="1:35">
      <c r="A551">
        <v>33</v>
      </c>
      <c r="B551" t="str">
        <f t="shared" si="8"/>
        <v>Middle Aged</v>
      </c>
      <c r="C551">
        <v>1</v>
      </c>
      <c r="D551" t="s">
        <v>36</v>
      </c>
      <c r="E551">
        <v>1017</v>
      </c>
      <c r="F551" t="s">
        <v>45</v>
      </c>
      <c r="G551">
        <v>25</v>
      </c>
      <c r="H551" t="str" cm="1">
        <f t="array" ref="H551">_xlfn.IFS(G551&gt;15,"Long Commute",G551&gt;5,"Moderate",G551&lt;=5,"Near Office")</f>
        <v>Long Commute</v>
      </c>
      <c r="I551" t="s">
        <v>72</v>
      </c>
      <c r="J551" t="s">
        <v>51</v>
      </c>
      <c r="K551">
        <v>1</v>
      </c>
      <c r="L551" t="s">
        <v>46</v>
      </c>
      <c r="M551">
        <v>55</v>
      </c>
      <c r="N551">
        <v>2</v>
      </c>
      <c r="O551">
        <v>1</v>
      </c>
      <c r="P551" t="s">
        <v>47</v>
      </c>
      <c r="Q551" t="s">
        <v>75</v>
      </c>
      <c r="R551" t="s">
        <v>41</v>
      </c>
      <c r="S551">
        <v>2313</v>
      </c>
      <c r="T551" t="str" cm="1">
        <f t="array" ref="T551">_xlfn.IFS(S551&gt;=10000,"High (&gt;10k)",S551&gt;=5000,"Medium (5k-10k)",S551&lt;5000,"Low (&lt;5k)")</f>
        <v>Low (&lt;5k)</v>
      </c>
      <c r="U551">
        <v>2993</v>
      </c>
      <c r="V551">
        <v>4</v>
      </c>
      <c r="W551" t="s">
        <v>35</v>
      </c>
      <c r="X551">
        <v>20</v>
      </c>
      <c r="Y551">
        <v>4</v>
      </c>
      <c r="Z551">
        <v>2</v>
      </c>
      <c r="AA551">
        <v>0</v>
      </c>
      <c r="AB551">
        <v>5</v>
      </c>
      <c r="AC551">
        <v>0</v>
      </c>
      <c r="AD551" t="s">
        <v>74</v>
      </c>
      <c r="AE551">
        <v>2</v>
      </c>
      <c r="AF551" t="str" cm="1">
        <f t="array" ref="AF551">_xlfn.IFS(AE551&gt;=10,"Veteran (10y+)",AE551&gt;=3,"Established (3-10y)",AE551&lt;3,"New Hire (&lt;3y)")</f>
        <v>New Hire (&lt;3y)</v>
      </c>
      <c r="AG551">
        <v>2</v>
      </c>
      <c r="AH551">
        <v>2</v>
      </c>
      <c r="AI551">
        <v>2</v>
      </c>
    </row>
    <row r="552" spans="1:35">
      <c r="A552">
        <v>33</v>
      </c>
      <c r="B552" t="str">
        <f t="shared" si="8"/>
        <v>Middle Aged</v>
      </c>
      <c r="C552">
        <v>0</v>
      </c>
      <c r="D552" t="s">
        <v>44</v>
      </c>
      <c r="E552">
        <v>970</v>
      </c>
      <c r="F552" t="s">
        <v>37</v>
      </c>
      <c r="G552">
        <v>7</v>
      </c>
      <c r="H552" t="str" cm="1">
        <f t="array" ref="H552">_xlfn.IFS(G552&gt;15,"Long Commute",G552&gt;5,"Moderate",G552&lt;=5,"Near Office")</f>
        <v>Moderate</v>
      </c>
      <c r="I552" t="s">
        <v>72</v>
      </c>
      <c r="J552" t="s">
        <v>38</v>
      </c>
      <c r="K552">
        <v>4</v>
      </c>
      <c r="L552" t="s">
        <v>39</v>
      </c>
      <c r="M552">
        <v>30</v>
      </c>
      <c r="N552">
        <v>3</v>
      </c>
      <c r="O552">
        <v>2</v>
      </c>
      <c r="P552" t="s">
        <v>40</v>
      </c>
      <c r="Q552" t="s">
        <v>75</v>
      </c>
      <c r="R552" t="s">
        <v>48</v>
      </c>
      <c r="S552">
        <v>4302</v>
      </c>
      <c r="T552" t="str" cm="1">
        <f t="array" ref="T552">_xlfn.IFS(S552&gt;=10000,"High (&gt;10k)",S552&gt;=5000,"Medium (5k-10k)",S552&lt;5000,"Low (&lt;5k)")</f>
        <v>Low (&lt;5k)</v>
      </c>
      <c r="U552">
        <v>13401</v>
      </c>
      <c r="V552">
        <v>0</v>
      </c>
      <c r="W552" t="s">
        <v>43</v>
      </c>
      <c r="X552">
        <v>17</v>
      </c>
      <c r="Y552">
        <v>3</v>
      </c>
      <c r="Z552">
        <v>3</v>
      </c>
      <c r="AA552">
        <v>1</v>
      </c>
      <c r="AB552">
        <v>4</v>
      </c>
      <c r="AC552">
        <v>3</v>
      </c>
      <c r="AD552" t="s">
        <v>74</v>
      </c>
      <c r="AE552">
        <v>3</v>
      </c>
      <c r="AF552" t="str" cm="1">
        <f t="array" ref="AF552">_xlfn.IFS(AE552&gt;=10,"Veteran (10y+)",AE552&gt;=3,"Established (3-10y)",AE552&lt;3,"New Hire (&lt;3y)")</f>
        <v>Established (3-10y)</v>
      </c>
      <c r="AG552">
        <v>2</v>
      </c>
      <c r="AH552">
        <v>0</v>
      </c>
      <c r="AI552">
        <v>2</v>
      </c>
    </row>
    <row r="553" spans="1:35">
      <c r="A553">
        <v>33</v>
      </c>
      <c r="B553" t="str">
        <f t="shared" si="8"/>
        <v>Middle Aged</v>
      </c>
      <c r="C553">
        <v>1</v>
      </c>
      <c r="D553" t="s">
        <v>36</v>
      </c>
      <c r="E553">
        <v>603</v>
      </c>
      <c r="F553" t="s">
        <v>37</v>
      </c>
      <c r="G553">
        <v>9</v>
      </c>
      <c r="H553" t="str" cm="1">
        <f t="array" ref="H553">_xlfn.IFS(G553&gt;15,"Long Commute",G553&gt;5,"Moderate",G553&lt;=5,"Near Office")</f>
        <v>Moderate</v>
      </c>
      <c r="I553" t="s">
        <v>83</v>
      </c>
      <c r="J553" t="s">
        <v>59</v>
      </c>
      <c r="K553">
        <v>1</v>
      </c>
      <c r="L553" t="s">
        <v>39</v>
      </c>
      <c r="M553">
        <v>77</v>
      </c>
      <c r="N553">
        <v>3</v>
      </c>
      <c r="O553">
        <v>2</v>
      </c>
      <c r="P553" t="s">
        <v>40</v>
      </c>
      <c r="Q553" t="s">
        <v>82</v>
      </c>
      <c r="R553" t="s">
        <v>41</v>
      </c>
      <c r="S553">
        <v>8224</v>
      </c>
      <c r="T553" t="str" cm="1">
        <f t="array" ref="T553">_xlfn.IFS(S553&gt;=10000,"High (&gt;10k)",S553&gt;=5000,"Medium (5k-10k)",S553&lt;5000,"Low (&lt;5k)")</f>
        <v>Medium (5k-10k)</v>
      </c>
      <c r="U553">
        <v>18385</v>
      </c>
      <c r="V553">
        <v>0</v>
      </c>
      <c r="W553" t="s">
        <v>35</v>
      </c>
      <c r="X553">
        <v>17</v>
      </c>
      <c r="Y553">
        <v>3</v>
      </c>
      <c r="Z553">
        <v>1</v>
      </c>
      <c r="AA553">
        <v>0</v>
      </c>
      <c r="AB553">
        <v>6</v>
      </c>
      <c r="AC553">
        <v>3</v>
      </c>
      <c r="AD553" t="s">
        <v>74</v>
      </c>
      <c r="AE553">
        <v>5</v>
      </c>
      <c r="AF553" t="str" cm="1">
        <f t="array" ref="AF553">_xlfn.IFS(AE553&gt;=10,"Veteran (10y+)",AE553&gt;=3,"Established (3-10y)",AE553&lt;3,"New Hire (&lt;3y)")</f>
        <v>Established (3-10y)</v>
      </c>
      <c r="AG553">
        <v>2</v>
      </c>
      <c r="AH553">
        <v>0</v>
      </c>
      <c r="AI553">
        <v>3</v>
      </c>
    </row>
    <row r="554" spans="1:35">
      <c r="A554">
        <v>33</v>
      </c>
      <c r="B554" t="str">
        <f t="shared" si="8"/>
        <v>Middle Aged</v>
      </c>
      <c r="C554">
        <v>0</v>
      </c>
      <c r="D554" t="s">
        <v>36</v>
      </c>
      <c r="E554">
        <v>147</v>
      </c>
      <c r="F554" t="s">
        <v>61</v>
      </c>
      <c r="G554">
        <v>2</v>
      </c>
      <c r="H554" t="str" cm="1">
        <f t="array" ref="H554">_xlfn.IFS(G554&gt;15,"Long Commute",G554&gt;5,"Moderate",G554&lt;=5,"Near Office")</f>
        <v>Near Office</v>
      </c>
      <c r="I554" t="s">
        <v>72</v>
      </c>
      <c r="J554" t="s">
        <v>61</v>
      </c>
      <c r="K554">
        <v>2</v>
      </c>
      <c r="L554" t="s">
        <v>46</v>
      </c>
      <c r="M554">
        <v>99</v>
      </c>
      <c r="N554">
        <v>3</v>
      </c>
      <c r="O554">
        <v>1</v>
      </c>
      <c r="P554" t="s">
        <v>61</v>
      </c>
      <c r="Q554" t="s">
        <v>73</v>
      </c>
      <c r="R554" t="s">
        <v>48</v>
      </c>
      <c r="S554">
        <v>3600</v>
      </c>
      <c r="T554" t="str" cm="1">
        <f t="array" ref="T554">_xlfn.IFS(S554&gt;=10000,"High (&gt;10k)",S554&gt;=5000,"Medium (5k-10k)",S554&lt;5000,"Low (&lt;5k)")</f>
        <v>Low (&lt;5k)</v>
      </c>
      <c r="U554">
        <v>8429</v>
      </c>
      <c r="V554">
        <v>1</v>
      </c>
      <c r="W554" t="s">
        <v>43</v>
      </c>
      <c r="X554">
        <v>13</v>
      </c>
      <c r="Y554">
        <v>3</v>
      </c>
      <c r="Z554">
        <v>4</v>
      </c>
      <c r="AA554">
        <v>1</v>
      </c>
      <c r="AB554">
        <v>5</v>
      </c>
      <c r="AC554">
        <v>2</v>
      </c>
      <c r="AD554" t="s">
        <v>74</v>
      </c>
      <c r="AE554">
        <v>5</v>
      </c>
      <c r="AF554" t="str" cm="1">
        <f t="array" ref="AF554">_xlfn.IFS(AE554&gt;=10,"Veteran (10y+)",AE554&gt;=3,"Established (3-10y)",AE554&lt;3,"New Hire (&lt;3y)")</f>
        <v>Established (3-10y)</v>
      </c>
      <c r="AG554">
        <v>4</v>
      </c>
      <c r="AH554">
        <v>1</v>
      </c>
      <c r="AI554">
        <v>4</v>
      </c>
    </row>
    <row r="555" spans="1:35">
      <c r="A555">
        <v>33</v>
      </c>
      <c r="B555" t="str">
        <f t="shared" si="8"/>
        <v>Middle Aged</v>
      </c>
      <c r="C555">
        <v>0</v>
      </c>
      <c r="D555" t="s">
        <v>44</v>
      </c>
      <c r="E555">
        <v>1146</v>
      </c>
      <c r="F555" t="s">
        <v>37</v>
      </c>
      <c r="G555">
        <v>25</v>
      </c>
      <c r="H555" t="str" cm="1">
        <f t="array" ref="H555">_xlfn.IFS(G555&gt;15,"Long Commute",G555&gt;5,"Moderate",G555&lt;=5,"Near Office")</f>
        <v>Long Commute</v>
      </c>
      <c r="I555" t="s">
        <v>72</v>
      </c>
      <c r="J555" t="s">
        <v>51</v>
      </c>
      <c r="K555">
        <v>2</v>
      </c>
      <c r="L555" t="s">
        <v>39</v>
      </c>
      <c r="M555">
        <v>82</v>
      </c>
      <c r="N555">
        <v>3</v>
      </c>
      <c r="O555">
        <v>2</v>
      </c>
      <c r="P555" t="s">
        <v>40</v>
      </c>
      <c r="Q555" t="s">
        <v>73</v>
      </c>
      <c r="R555" t="s">
        <v>48</v>
      </c>
      <c r="S555">
        <v>4539</v>
      </c>
      <c r="T555" t="str" cm="1">
        <f t="array" ref="T555">_xlfn.IFS(S555&gt;=10000,"High (&gt;10k)",S555&gt;=5000,"Medium (5k-10k)",S555&lt;5000,"Low (&lt;5k)")</f>
        <v>Low (&lt;5k)</v>
      </c>
      <c r="U555">
        <v>4905</v>
      </c>
      <c r="V555">
        <v>1</v>
      </c>
      <c r="W555" t="s">
        <v>43</v>
      </c>
      <c r="X555">
        <v>12</v>
      </c>
      <c r="Y555">
        <v>3</v>
      </c>
      <c r="Z555">
        <v>1</v>
      </c>
      <c r="AA555">
        <v>1</v>
      </c>
      <c r="AB555">
        <v>10</v>
      </c>
      <c r="AC555">
        <v>3</v>
      </c>
      <c r="AD555" t="s">
        <v>81</v>
      </c>
      <c r="AE555">
        <v>10</v>
      </c>
      <c r="AF555" t="str" cm="1">
        <f t="array" ref="AF555">_xlfn.IFS(AE555&gt;=10,"Veteran (10y+)",AE555&gt;=3,"Established (3-10y)",AE555&lt;3,"New Hire (&lt;3y)")</f>
        <v>Veteran (10y+)</v>
      </c>
      <c r="AG555">
        <v>7</v>
      </c>
      <c r="AH555">
        <v>0</v>
      </c>
      <c r="AI555">
        <v>1</v>
      </c>
    </row>
    <row r="556" spans="1:35">
      <c r="A556">
        <v>33</v>
      </c>
      <c r="B556" t="str">
        <f t="shared" si="8"/>
        <v>Middle Aged</v>
      </c>
      <c r="C556">
        <v>0</v>
      </c>
      <c r="D556" t="s">
        <v>36</v>
      </c>
      <c r="E556">
        <v>117</v>
      </c>
      <c r="F556" t="s">
        <v>45</v>
      </c>
      <c r="G556">
        <v>9</v>
      </c>
      <c r="H556" t="str" cm="1">
        <f t="array" ref="H556">_xlfn.IFS(G556&gt;15,"Long Commute",G556&gt;5,"Moderate",G556&lt;=5,"Near Office")</f>
        <v>Moderate</v>
      </c>
      <c r="I556" t="s">
        <v>72</v>
      </c>
      <c r="J556" t="s">
        <v>51</v>
      </c>
      <c r="K556">
        <v>1</v>
      </c>
      <c r="L556" t="s">
        <v>46</v>
      </c>
      <c r="M556">
        <v>60</v>
      </c>
      <c r="N556">
        <v>3</v>
      </c>
      <c r="O556">
        <v>1</v>
      </c>
      <c r="P556" t="s">
        <v>47</v>
      </c>
      <c r="Q556" t="s">
        <v>77</v>
      </c>
      <c r="R556" t="s">
        <v>48</v>
      </c>
      <c r="S556">
        <v>2781</v>
      </c>
      <c r="T556" t="str" cm="1">
        <f t="array" ref="T556">_xlfn.IFS(S556&gt;=10000,"High (&gt;10k)",S556&gt;=5000,"Medium (5k-10k)",S556&lt;5000,"Low (&lt;5k)")</f>
        <v>Low (&lt;5k)</v>
      </c>
      <c r="U556">
        <v>6311</v>
      </c>
      <c r="V556">
        <v>0</v>
      </c>
      <c r="W556" t="s">
        <v>43</v>
      </c>
      <c r="X556">
        <v>13</v>
      </c>
      <c r="Y556">
        <v>3</v>
      </c>
      <c r="Z556">
        <v>2</v>
      </c>
      <c r="AA556">
        <v>1</v>
      </c>
      <c r="AB556">
        <v>15</v>
      </c>
      <c r="AC556">
        <v>5</v>
      </c>
      <c r="AD556" t="s">
        <v>74</v>
      </c>
      <c r="AE556">
        <v>14</v>
      </c>
      <c r="AF556" t="str" cm="1">
        <f t="array" ref="AF556">_xlfn.IFS(AE556&gt;=10,"Veteran (10y+)",AE556&gt;=3,"Established (3-10y)",AE556&lt;3,"New Hire (&lt;3y)")</f>
        <v>Veteran (10y+)</v>
      </c>
      <c r="AG556">
        <v>10</v>
      </c>
      <c r="AH556">
        <v>4</v>
      </c>
      <c r="AI556">
        <v>10</v>
      </c>
    </row>
    <row r="557" spans="1:35">
      <c r="A557">
        <v>33</v>
      </c>
      <c r="B557" t="str">
        <f t="shared" si="8"/>
        <v>Middle Aged</v>
      </c>
      <c r="C557">
        <v>0</v>
      </c>
      <c r="D557" t="s">
        <v>36</v>
      </c>
      <c r="E557">
        <v>536</v>
      </c>
      <c r="F557" t="s">
        <v>37</v>
      </c>
      <c r="G557">
        <v>10</v>
      </c>
      <c r="H557" t="str" cm="1">
        <f t="array" ref="H557">_xlfn.IFS(G557&gt;15,"Long Commute",G557&gt;5,"Moderate",G557&lt;=5,"Near Office")</f>
        <v>Moderate</v>
      </c>
      <c r="I557" t="s">
        <v>84</v>
      </c>
      <c r="J557" t="s">
        <v>59</v>
      </c>
      <c r="K557">
        <v>4</v>
      </c>
      <c r="L557" t="s">
        <v>46</v>
      </c>
      <c r="M557">
        <v>82</v>
      </c>
      <c r="N557">
        <v>4</v>
      </c>
      <c r="O557">
        <v>3</v>
      </c>
      <c r="P557" t="s">
        <v>40</v>
      </c>
      <c r="Q557" t="s">
        <v>73</v>
      </c>
      <c r="R557" t="s">
        <v>52</v>
      </c>
      <c r="S557">
        <v>8380</v>
      </c>
      <c r="T557" t="str" cm="1">
        <f t="array" ref="T557">_xlfn.IFS(S557&gt;=10000,"High (&gt;10k)",S557&gt;=5000,"Medium (5k-10k)",S557&lt;5000,"Low (&lt;5k)")</f>
        <v>Medium (5k-10k)</v>
      </c>
      <c r="U557">
        <v>21708</v>
      </c>
      <c r="V557">
        <v>0</v>
      </c>
      <c r="W557" t="s">
        <v>35</v>
      </c>
      <c r="X557">
        <v>14</v>
      </c>
      <c r="Y557">
        <v>3</v>
      </c>
      <c r="Z557">
        <v>4</v>
      </c>
      <c r="AA557">
        <v>2</v>
      </c>
      <c r="AB557">
        <v>10</v>
      </c>
      <c r="AC557">
        <v>3</v>
      </c>
      <c r="AD557" t="s">
        <v>74</v>
      </c>
      <c r="AE557">
        <v>9</v>
      </c>
      <c r="AF557" t="str" cm="1">
        <f t="array" ref="AF557">_xlfn.IFS(AE557&gt;=10,"Veteran (10y+)",AE557&gt;=3,"Established (3-10y)",AE557&lt;3,"New Hire (&lt;3y)")</f>
        <v>Established (3-10y)</v>
      </c>
      <c r="AG557">
        <v>8</v>
      </c>
      <c r="AH557">
        <v>0</v>
      </c>
      <c r="AI557">
        <v>8</v>
      </c>
    </row>
    <row r="558" spans="1:35">
      <c r="A558">
        <v>33</v>
      </c>
      <c r="B558" t="str">
        <f t="shared" si="8"/>
        <v>Middle Aged</v>
      </c>
      <c r="C558">
        <v>0</v>
      </c>
      <c r="D558" t="s">
        <v>44</v>
      </c>
      <c r="E558">
        <v>1111</v>
      </c>
      <c r="F558" t="s">
        <v>37</v>
      </c>
      <c r="G558">
        <v>5</v>
      </c>
      <c r="H558" t="str" cm="1">
        <f t="array" ref="H558">_xlfn.IFS(G558&gt;15,"Long Commute",G558&gt;5,"Moderate",G558&lt;=5,"Near Office")</f>
        <v>Near Office</v>
      </c>
      <c r="I558" t="s">
        <v>78</v>
      </c>
      <c r="J558" t="s">
        <v>38</v>
      </c>
      <c r="K558">
        <v>2</v>
      </c>
      <c r="L558" t="s">
        <v>46</v>
      </c>
      <c r="M558">
        <v>61</v>
      </c>
      <c r="N558">
        <v>3</v>
      </c>
      <c r="O558">
        <v>2</v>
      </c>
      <c r="P558" t="s">
        <v>40</v>
      </c>
      <c r="Q558" t="s">
        <v>77</v>
      </c>
      <c r="R558" t="s">
        <v>48</v>
      </c>
      <c r="S558">
        <v>9998</v>
      </c>
      <c r="T558" t="str" cm="1">
        <f t="array" ref="T558">_xlfn.IFS(S558&gt;=10000,"High (&gt;10k)",S558&gt;=5000,"Medium (5k-10k)",S558&lt;5000,"Low (&lt;5k)")</f>
        <v>Medium (5k-10k)</v>
      </c>
      <c r="U558">
        <v>19293</v>
      </c>
      <c r="V558">
        <v>6</v>
      </c>
      <c r="W558" t="s">
        <v>43</v>
      </c>
      <c r="X558">
        <v>13</v>
      </c>
      <c r="Y558">
        <v>3</v>
      </c>
      <c r="Z558">
        <v>1</v>
      </c>
      <c r="AA558">
        <v>0</v>
      </c>
      <c r="AB558">
        <v>8</v>
      </c>
      <c r="AC558">
        <v>2</v>
      </c>
      <c r="AD558" t="s">
        <v>79</v>
      </c>
      <c r="AE558">
        <v>5</v>
      </c>
      <c r="AF558" t="str" cm="1">
        <f t="array" ref="AF558">_xlfn.IFS(AE558&gt;=10,"Veteran (10y+)",AE558&gt;=3,"Established (3-10y)",AE558&lt;3,"New Hire (&lt;3y)")</f>
        <v>Established (3-10y)</v>
      </c>
      <c r="AG558">
        <v>4</v>
      </c>
      <c r="AH558">
        <v>1</v>
      </c>
      <c r="AI558">
        <v>2</v>
      </c>
    </row>
    <row r="559" spans="1:35">
      <c r="A559">
        <v>33</v>
      </c>
      <c r="B559" t="str">
        <f t="shared" si="8"/>
        <v>Middle Aged</v>
      </c>
      <c r="C559">
        <v>0</v>
      </c>
      <c r="D559" t="s">
        <v>44</v>
      </c>
      <c r="E559">
        <v>430</v>
      </c>
      <c r="F559" t="s">
        <v>37</v>
      </c>
      <c r="G559">
        <v>7</v>
      </c>
      <c r="H559" t="str" cm="1">
        <f t="array" ref="H559">_xlfn.IFS(G559&gt;15,"Long Commute",G559&gt;5,"Moderate",G559&lt;=5,"Near Office")</f>
        <v>Moderate</v>
      </c>
      <c r="I559" t="s">
        <v>72</v>
      </c>
      <c r="J559" t="s">
        <v>51</v>
      </c>
      <c r="K559">
        <v>4</v>
      </c>
      <c r="L559" t="s">
        <v>46</v>
      </c>
      <c r="M559">
        <v>54</v>
      </c>
      <c r="N559">
        <v>3</v>
      </c>
      <c r="O559">
        <v>2</v>
      </c>
      <c r="P559" t="s">
        <v>40</v>
      </c>
      <c r="Q559" t="s">
        <v>82</v>
      </c>
      <c r="R559" t="s">
        <v>48</v>
      </c>
      <c r="S559">
        <v>4373</v>
      </c>
      <c r="T559" t="str" cm="1">
        <f t="array" ref="T559">_xlfn.IFS(S559&gt;=10000,"High (&gt;10k)",S559&gt;=5000,"Medium (5k-10k)",S559&lt;5000,"Low (&lt;5k)")</f>
        <v>Low (&lt;5k)</v>
      </c>
      <c r="U559">
        <v>17456</v>
      </c>
      <c r="V559">
        <v>0</v>
      </c>
      <c r="W559" t="s">
        <v>43</v>
      </c>
      <c r="X559">
        <v>14</v>
      </c>
      <c r="Y559">
        <v>3</v>
      </c>
      <c r="Z559">
        <v>1</v>
      </c>
      <c r="AA559">
        <v>2</v>
      </c>
      <c r="AB559">
        <v>5</v>
      </c>
      <c r="AC559">
        <v>2</v>
      </c>
      <c r="AD559" t="s">
        <v>74</v>
      </c>
      <c r="AE559">
        <v>4</v>
      </c>
      <c r="AF559" t="str" cm="1">
        <f t="array" ref="AF559">_xlfn.IFS(AE559&gt;=10,"Veteran (10y+)",AE559&gt;=3,"Established (3-10y)",AE559&lt;3,"New Hire (&lt;3y)")</f>
        <v>Established (3-10y)</v>
      </c>
      <c r="AG559">
        <v>3</v>
      </c>
      <c r="AH559">
        <v>0</v>
      </c>
      <c r="AI559">
        <v>3</v>
      </c>
    </row>
    <row r="560" spans="1:35">
      <c r="A560">
        <v>33</v>
      </c>
      <c r="B560" t="str">
        <f t="shared" si="8"/>
        <v>Middle Aged</v>
      </c>
      <c r="C560">
        <v>0</v>
      </c>
      <c r="D560" t="s">
        <v>36</v>
      </c>
      <c r="E560">
        <v>1099</v>
      </c>
      <c r="F560" t="s">
        <v>45</v>
      </c>
      <c r="G560">
        <v>4</v>
      </c>
      <c r="H560" t="str" cm="1">
        <f t="array" ref="H560">_xlfn.IFS(G560&gt;15,"Long Commute",G560&gt;5,"Moderate",G560&lt;=5,"Near Office")</f>
        <v>Near Office</v>
      </c>
      <c r="I560" t="s">
        <v>83</v>
      </c>
      <c r="J560" t="s">
        <v>51</v>
      </c>
      <c r="K560">
        <v>1</v>
      </c>
      <c r="L560" t="s">
        <v>39</v>
      </c>
      <c r="M560">
        <v>82</v>
      </c>
      <c r="N560">
        <v>2</v>
      </c>
      <c r="O560">
        <v>1</v>
      </c>
      <c r="P560" t="s">
        <v>50</v>
      </c>
      <c r="Q560" t="s">
        <v>75</v>
      </c>
      <c r="R560" t="s">
        <v>48</v>
      </c>
      <c r="S560">
        <v>3838</v>
      </c>
      <c r="T560" t="str" cm="1">
        <f t="array" ref="T560">_xlfn.IFS(S560&gt;=10000,"High (&gt;10k)",S560&gt;=5000,"Medium (5k-10k)",S560&lt;5000,"Low (&lt;5k)")</f>
        <v>Low (&lt;5k)</v>
      </c>
      <c r="U560">
        <v>8192</v>
      </c>
      <c r="V560">
        <v>8</v>
      </c>
      <c r="W560" t="s">
        <v>43</v>
      </c>
      <c r="X560">
        <v>11</v>
      </c>
      <c r="Y560">
        <v>3</v>
      </c>
      <c r="Z560">
        <v>4</v>
      </c>
      <c r="AA560">
        <v>0</v>
      </c>
      <c r="AB560">
        <v>8</v>
      </c>
      <c r="AC560">
        <v>5</v>
      </c>
      <c r="AD560" t="s">
        <v>74</v>
      </c>
      <c r="AE560">
        <v>5</v>
      </c>
      <c r="AF560" t="str" cm="1">
        <f t="array" ref="AF560">_xlfn.IFS(AE560&gt;=10,"Veteran (10y+)",AE560&gt;=3,"Established (3-10y)",AE560&lt;3,"New Hire (&lt;3y)")</f>
        <v>Established (3-10y)</v>
      </c>
      <c r="AG560">
        <v>4</v>
      </c>
      <c r="AH560">
        <v>0</v>
      </c>
      <c r="AI560">
        <v>2</v>
      </c>
    </row>
    <row r="561" spans="1:35">
      <c r="A561">
        <v>33</v>
      </c>
      <c r="B561" t="str">
        <f t="shared" si="8"/>
        <v>Middle Aged</v>
      </c>
      <c r="C561">
        <v>0</v>
      </c>
      <c r="D561" t="s">
        <v>36</v>
      </c>
      <c r="E561">
        <v>516</v>
      </c>
      <c r="F561" t="s">
        <v>45</v>
      </c>
      <c r="G561">
        <v>8</v>
      </c>
      <c r="H561" t="str" cm="1">
        <f t="array" ref="H561">_xlfn.IFS(G561&gt;15,"Long Commute",G561&gt;5,"Moderate",G561&lt;=5,"Near Office")</f>
        <v>Moderate</v>
      </c>
      <c r="I561" t="s">
        <v>84</v>
      </c>
      <c r="J561" t="s">
        <v>38</v>
      </c>
      <c r="K561">
        <v>4</v>
      </c>
      <c r="L561" t="s">
        <v>46</v>
      </c>
      <c r="M561">
        <v>69</v>
      </c>
      <c r="N561">
        <v>3</v>
      </c>
      <c r="O561">
        <v>2</v>
      </c>
      <c r="P561" t="s">
        <v>54</v>
      </c>
      <c r="Q561" t="s">
        <v>73</v>
      </c>
      <c r="R561" t="s">
        <v>41</v>
      </c>
      <c r="S561">
        <v>6388</v>
      </c>
      <c r="T561" t="str" cm="1">
        <f t="array" ref="T561">_xlfn.IFS(S561&gt;=10000,"High (&gt;10k)",S561&gt;=5000,"Medium (5k-10k)",S561&lt;5000,"Low (&lt;5k)")</f>
        <v>Medium (5k-10k)</v>
      </c>
      <c r="U561">
        <v>22049</v>
      </c>
      <c r="V561">
        <v>2</v>
      </c>
      <c r="W561" t="s">
        <v>35</v>
      </c>
      <c r="X561">
        <v>17</v>
      </c>
      <c r="Y561">
        <v>3</v>
      </c>
      <c r="Z561">
        <v>1</v>
      </c>
      <c r="AA561">
        <v>0</v>
      </c>
      <c r="AB561">
        <v>14</v>
      </c>
      <c r="AC561">
        <v>6</v>
      </c>
      <c r="AD561" t="s">
        <v>74</v>
      </c>
      <c r="AE561">
        <v>0</v>
      </c>
      <c r="AF561" t="str" cm="1">
        <f t="array" ref="AF561">_xlfn.IFS(AE561&gt;=10,"Veteran (10y+)",AE561&gt;=3,"Established (3-10y)",AE561&lt;3,"New Hire (&lt;3y)")</f>
        <v>New Hire (&lt;3y)</v>
      </c>
      <c r="AG561">
        <v>0</v>
      </c>
      <c r="AH561">
        <v>0</v>
      </c>
      <c r="AI561">
        <v>0</v>
      </c>
    </row>
    <row r="562" spans="1:35">
      <c r="A562">
        <v>33</v>
      </c>
      <c r="B562" t="str">
        <f t="shared" si="8"/>
        <v>Middle Aged</v>
      </c>
      <c r="C562">
        <v>0</v>
      </c>
      <c r="D562" t="s">
        <v>36</v>
      </c>
      <c r="E562">
        <v>575</v>
      </c>
      <c r="F562" t="s">
        <v>45</v>
      </c>
      <c r="G562">
        <v>25</v>
      </c>
      <c r="H562" t="str" cm="1">
        <f t="array" ref="H562">_xlfn.IFS(G562&gt;15,"Long Commute",G562&gt;5,"Moderate",G562&lt;=5,"Near Office")</f>
        <v>Long Commute</v>
      </c>
      <c r="I562" t="s">
        <v>72</v>
      </c>
      <c r="J562" t="s">
        <v>38</v>
      </c>
      <c r="K562">
        <v>4</v>
      </c>
      <c r="L562" t="s">
        <v>46</v>
      </c>
      <c r="M562">
        <v>44</v>
      </c>
      <c r="N562">
        <v>2</v>
      </c>
      <c r="O562">
        <v>2</v>
      </c>
      <c r="P562" t="s">
        <v>53</v>
      </c>
      <c r="Q562" t="s">
        <v>75</v>
      </c>
      <c r="R562" t="s">
        <v>41</v>
      </c>
      <c r="S562">
        <v>4320</v>
      </c>
      <c r="T562" t="str" cm="1">
        <f t="array" ref="T562">_xlfn.IFS(S562&gt;=10000,"High (&gt;10k)",S562&gt;=5000,"Medium (5k-10k)",S562&lt;5000,"Low (&lt;5k)")</f>
        <v>Low (&lt;5k)</v>
      </c>
      <c r="U562">
        <v>24152</v>
      </c>
      <c r="V562">
        <v>1</v>
      </c>
      <c r="W562" t="s">
        <v>43</v>
      </c>
      <c r="X562">
        <v>13</v>
      </c>
      <c r="Y562">
        <v>3</v>
      </c>
      <c r="Z562">
        <v>4</v>
      </c>
      <c r="AA562">
        <v>0</v>
      </c>
      <c r="AB562">
        <v>5</v>
      </c>
      <c r="AC562">
        <v>2</v>
      </c>
      <c r="AD562" t="s">
        <v>74</v>
      </c>
      <c r="AE562">
        <v>5</v>
      </c>
      <c r="AF562" t="str" cm="1">
        <f t="array" ref="AF562">_xlfn.IFS(AE562&gt;=10,"Veteran (10y+)",AE562&gt;=3,"Established (3-10y)",AE562&lt;3,"New Hire (&lt;3y)")</f>
        <v>Established (3-10y)</v>
      </c>
      <c r="AG562">
        <v>3</v>
      </c>
      <c r="AH562">
        <v>0</v>
      </c>
      <c r="AI562">
        <v>2</v>
      </c>
    </row>
    <row r="563" spans="1:35">
      <c r="A563">
        <v>33</v>
      </c>
      <c r="B563" t="str">
        <f t="shared" si="8"/>
        <v>Middle Aged</v>
      </c>
      <c r="C563">
        <v>0</v>
      </c>
      <c r="D563" t="s">
        <v>36</v>
      </c>
      <c r="E563">
        <v>589</v>
      </c>
      <c r="F563" t="s">
        <v>45</v>
      </c>
      <c r="G563">
        <v>28</v>
      </c>
      <c r="H563" t="str" cm="1">
        <f t="array" ref="H563">_xlfn.IFS(G563&gt;15,"Long Commute",G563&gt;5,"Moderate",G563&lt;=5,"Near Office")</f>
        <v>Long Commute</v>
      </c>
      <c r="I563" t="s">
        <v>83</v>
      </c>
      <c r="J563" t="s">
        <v>38</v>
      </c>
      <c r="K563">
        <v>2</v>
      </c>
      <c r="L563" t="s">
        <v>46</v>
      </c>
      <c r="M563">
        <v>79</v>
      </c>
      <c r="N563">
        <v>3</v>
      </c>
      <c r="O563">
        <v>2</v>
      </c>
      <c r="P563" t="s">
        <v>50</v>
      </c>
      <c r="Q563" t="s">
        <v>73</v>
      </c>
      <c r="R563" t="s">
        <v>48</v>
      </c>
      <c r="S563">
        <v>5207</v>
      </c>
      <c r="T563" t="str" cm="1">
        <f t="array" ref="T563">_xlfn.IFS(S563&gt;=10000,"High (&gt;10k)",S563&gt;=5000,"Medium (5k-10k)",S563&lt;5000,"Low (&lt;5k)")</f>
        <v>Medium (5k-10k)</v>
      </c>
      <c r="U563">
        <v>22949</v>
      </c>
      <c r="V563">
        <v>1</v>
      </c>
      <c r="W563" t="s">
        <v>35</v>
      </c>
      <c r="X563">
        <v>12</v>
      </c>
      <c r="Y563">
        <v>3</v>
      </c>
      <c r="Z563">
        <v>2</v>
      </c>
      <c r="AA563">
        <v>1</v>
      </c>
      <c r="AB563">
        <v>15</v>
      </c>
      <c r="AC563">
        <v>3</v>
      </c>
      <c r="AD563" t="s">
        <v>74</v>
      </c>
      <c r="AE563">
        <v>15</v>
      </c>
      <c r="AF563" t="str" cm="1">
        <f t="array" ref="AF563">_xlfn.IFS(AE563&gt;=10,"Veteran (10y+)",AE563&gt;=3,"Established (3-10y)",AE563&lt;3,"New Hire (&lt;3y)")</f>
        <v>Veteran (10y+)</v>
      </c>
      <c r="AG563">
        <v>14</v>
      </c>
      <c r="AH563">
        <v>5</v>
      </c>
      <c r="AI563">
        <v>7</v>
      </c>
    </row>
    <row r="564" spans="1:35">
      <c r="A564">
        <v>33</v>
      </c>
      <c r="B564" t="str">
        <f t="shared" si="8"/>
        <v>Middle Aged</v>
      </c>
      <c r="C564">
        <v>0</v>
      </c>
      <c r="D564" t="s">
        <v>36</v>
      </c>
      <c r="E564">
        <v>1242</v>
      </c>
      <c r="F564" t="s">
        <v>37</v>
      </c>
      <c r="G564">
        <v>8</v>
      </c>
      <c r="H564" t="str" cm="1">
        <f t="array" ref="H564">_xlfn.IFS(G564&gt;15,"Long Commute",G564&gt;5,"Moderate",G564&lt;=5,"Near Office")</f>
        <v>Moderate</v>
      </c>
      <c r="I564" t="s">
        <v>83</v>
      </c>
      <c r="J564" t="s">
        <v>38</v>
      </c>
      <c r="K564">
        <v>1</v>
      </c>
      <c r="L564" t="s">
        <v>46</v>
      </c>
      <c r="M564">
        <v>46</v>
      </c>
      <c r="N564">
        <v>3</v>
      </c>
      <c r="O564">
        <v>2</v>
      </c>
      <c r="P564" t="s">
        <v>40</v>
      </c>
      <c r="Q564" t="s">
        <v>82</v>
      </c>
      <c r="R564" t="s">
        <v>48</v>
      </c>
      <c r="S564">
        <v>6392</v>
      </c>
      <c r="T564" t="str" cm="1">
        <f t="array" ref="T564">_xlfn.IFS(S564&gt;=10000,"High (&gt;10k)",S564&gt;=5000,"Medium (5k-10k)",S564&lt;5000,"Low (&lt;5k)")</f>
        <v>Medium (5k-10k)</v>
      </c>
      <c r="U564">
        <v>10589</v>
      </c>
      <c r="V564">
        <v>2</v>
      </c>
      <c r="W564" t="s">
        <v>43</v>
      </c>
      <c r="X564">
        <v>13</v>
      </c>
      <c r="Y564">
        <v>3</v>
      </c>
      <c r="Z564">
        <v>4</v>
      </c>
      <c r="AA564">
        <v>1</v>
      </c>
      <c r="AB564">
        <v>8</v>
      </c>
      <c r="AC564">
        <v>6</v>
      </c>
      <c r="AD564" t="s">
        <v>80</v>
      </c>
      <c r="AE564">
        <v>2</v>
      </c>
      <c r="AF564" t="str" cm="1">
        <f t="array" ref="AF564">_xlfn.IFS(AE564&gt;=10,"Veteran (10y+)",AE564&gt;=3,"Established (3-10y)",AE564&lt;3,"New Hire (&lt;3y)")</f>
        <v>New Hire (&lt;3y)</v>
      </c>
      <c r="AG564">
        <v>2</v>
      </c>
      <c r="AH564">
        <v>2</v>
      </c>
      <c r="AI564">
        <v>2</v>
      </c>
    </row>
    <row r="565" spans="1:35">
      <c r="A565">
        <v>33</v>
      </c>
      <c r="B565" t="str">
        <f t="shared" si="8"/>
        <v>Middle Aged</v>
      </c>
      <c r="C565">
        <v>0</v>
      </c>
      <c r="D565" t="s">
        <v>36</v>
      </c>
      <c r="E565">
        <v>392</v>
      </c>
      <c r="F565" t="s">
        <v>37</v>
      </c>
      <c r="G565">
        <v>2</v>
      </c>
      <c r="H565" t="str" cm="1">
        <f t="array" ref="H565">_xlfn.IFS(G565&gt;15,"Long Commute",G565&gt;5,"Moderate",G565&lt;=5,"Near Office")</f>
        <v>Near Office</v>
      </c>
      <c r="I565" t="s">
        <v>83</v>
      </c>
      <c r="J565" t="s">
        <v>51</v>
      </c>
      <c r="K565">
        <v>4</v>
      </c>
      <c r="L565" t="s">
        <v>46</v>
      </c>
      <c r="M565">
        <v>93</v>
      </c>
      <c r="N565">
        <v>3</v>
      </c>
      <c r="O565">
        <v>2</v>
      </c>
      <c r="P565" t="s">
        <v>40</v>
      </c>
      <c r="Q565" t="s">
        <v>77</v>
      </c>
      <c r="R565" t="s">
        <v>52</v>
      </c>
      <c r="S565">
        <v>5505</v>
      </c>
      <c r="T565" t="str" cm="1">
        <f t="array" ref="T565">_xlfn.IFS(S565&gt;=10000,"High (&gt;10k)",S565&gt;=5000,"Medium (5k-10k)",S565&lt;5000,"Low (&lt;5k)")</f>
        <v>Medium (5k-10k)</v>
      </c>
      <c r="U565">
        <v>3921</v>
      </c>
      <c r="V565">
        <v>1</v>
      </c>
      <c r="W565" t="s">
        <v>43</v>
      </c>
      <c r="X565">
        <v>14</v>
      </c>
      <c r="Y565">
        <v>3</v>
      </c>
      <c r="Z565">
        <v>3</v>
      </c>
      <c r="AA565">
        <v>2</v>
      </c>
      <c r="AB565">
        <v>6</v>
      </c>
      <c r="AC565">
        <v>5</v>
      </c>
      <c r="AD565" t="s">
        <v>74</v>
      </c>
      <c r="AE565">
        <v>6</v>
      </c>
      <c r="AF565" t="str" cm="1">
        <f t="array" ref="AF565">_xlfn.IFS(AE565&gt;=10,"Veteran (10y+)",AE565&gt;=3,"Established (3-10y)",AE565&lt;3,"New Hire (&lt;3y)")</f>
        <v>Established (3-10y)</v>
      </c>
      <c r="AG565">
        <v>2</v>
      </c>
      <c r="AH565">
        <v>0</v>
      </c>
      <c r="AI565">
        <v>4</v>
      </c>
    </row>
    <row r="566" spans="1:35">
      <c r="A566">
        <v>33</v>
      </c>
      <c r="B566" t="str">
        <f t="shared" si="8"/>
        <v>Middle Aged</v>
      </c>
      <c r="C566">
        <v>0</v>
      </c>
      <c r="D566" t="s">
        <v>55</v>
      </c>
      <c r="E566">
        <v>530</v>
      </c>
      <c r="F566" t="s">
        <v>37</v>
      </c>
      <c r="G566">
        <v>16</v>
      </c>
      <c r="H566" t="str" cm="1">
        <f t="array" ref="H566">_xlfn.IFS(G566&gt;15,"Long Commute",G566&gt;5,"Moderate",G566&lt;=5,"Near Office")</f>
        <v>Long Commute</v>
      </c>
      <c r="I566" t="s">
        <v>72</v>
      </c>
      <c r="J566" t="s">
        <v>38</v>
      </c>
      <c r="K566">
        <v>3</v>
      </c>
      <c r="L566" t="s">
        <v>39</v>
      </c>
      <c r="M566">
        <v>36</v>
      </c>
      <c r="N566">
        <v>3</v>
      </c>
      <c r="O566">
        <v>2</v>
      </c>
      <c r="P566" t="s">
        <v>40</v>
      </c>
      <c r="Q566" t="s">
        <v>77</v>
      </c>
      <c r="R566" t="s">
        <v>52</v>
      </c>
      <c r="S566">
        <v>5368</v>
      </c>
      <c r="T566" t="str" cm="1">
        <f t="array" ref="T566">_xlfn.IFS(S566&gt;=10000,"High (&gt;10k)",S566&gt;=5000,"Medium (5k-10k)",S566&lt;5000,"Low (&lt;5k)")</f>
        <v>Medium (5k-10k)</v>
      </c>
      <c r="U566">
        <v>16130</v>
      </c>
      <c r="V566">
        <v>1</v>
      </c>
      <c r="W566" t="s">
        <v>35</v>
      </c>
      <c r="X566">
        <v>25</v>
      </c>
      <c r="Y566">
        <v>4</v>
      </c>
      <c r="Z566">
        <v>3</v>
      </c>
      <c r="AA566">
        <v>1</v>
      </c>
      <c r="AB566">
        <v>7</v>
      </c>
      <c r="AC566">
        <v>2</v>
      </c>
      <c r="AD566" t="s">
        <v>74</v>
      </c>
      <c r="AE566">
        <v>6</v>
      </c>
      <c r="AF566" t="str" cm="1">
        <f t="array" ref="AF566">_xlfn.IFS(AE566&gt;=10,"Veteran (10y+)",AE566&gt;=3,"Established (3-10y)",AE566&lt;3,"New Hire (&lt;3y)")</f>
        <v>Established (3-10y)</v>
      </c>
      <c r="AG566">
        <v>5</v>
      </c>
      <c r="AH566">
        <v>1</v>
      </c>
      <c r="AI566">
        <v>2</v>
      </c>
    </row>
    <row r="567" spans="1:35">
      <c r="A567">
        <v>33</v>
      </c>
      <c r="B567" t="str">
        <f t="shared" si="8"/>
        <v>Middle Aged</v>
      </c>
      <c r="C567">
        <v>0</v>
      </c>
      <c r="D567" t="s">
        <v>36</v>
      </c>
      <c r="E567">
        <v>267</v>
      </c>
      <c r="F567" t="s">
        <v>45</v>
      </c>
      <c r="G567">
        <v>21</v>
      </c>
      <c r="H567" t="str" cm="1">
        <f t="array" ref="H567">_xlfn.IFS(G567&gt;15,"Long Commute",G567&gt;5,"Moderate",G567&lt;=5,"Near Office")</f>
        <v>Long Commute</v>
      </c>
      <c r="I567" t="s">
        <v>72</v>
      </c>
      <c r="J567" t="s">
        <v>51</v>
      </c>
      <c r="K567">
        <v>2</v>
      </c>
      <c r="L567" t="s">
        <v>46</v>
      </c>
      <c r="M567">
        <v>79</v>
      </c>
      <c r="N567">
        <v>4</v>
      </c>
      <c r="O567">
        <v>1</v>
      </c>
      <c r="P567" t="s">
        <v>50</v>
      </c>
      <c r="Q567" t="s">
        <v>75</v>
      </c>
      <c r="R567" t="s">
        <v>48</v>
      </c>
      <c r="S567">
        <v>2028</v>
      </c>
      <c r="T567" t="str" cm="1">
        <f t="array" ref="T567">_xlfn.IFS(S567&gt;=10000,"High (&gt;10k)",S567&gt;=5000,"Medium (5k-10k)",S567&lt;5000,"Low (&lt;5k)")</f>
        <v>Low (&lt;5k)</v>
      </c>
      <c r="U567">
        <v>13637</v>
      </c>
      <c r="V567">
        <v>1</v>
      </c>
      <c r="W567" t="s">
        <v>43</v>
      </c>
      <c r="X567">
        <v>18</v>
      </c>
      <c r="Y567">
        <v>3</v>
      </c>
      <c r="Z567">
        <v>4</v>
      </c>
      <c r="AA567">
        <v>3</v>
      </c>
      <c r="AB567">
        <v>14</v>
      </c>
      <c r="AC567">
        <v>6</v>
      </c>
      <c r="AD567" t="s">
        <v>74</v>
      </c>
      <c r="AE567">
        <v>14</v>
      </c>
      <c r="AF567" t="str" cm="1">
        <f t="array" ref="AF567">_xlfn.IFS(AE567&gt;=10,"Veteran (10y+)",AE567&gt;=3,"Established (3-10y)",AE567&lt;3,"New Hire (&lt;3y)")</f>
        <v>Veteran (10y+)</v>
      </c>
      <c r="AG567">
        <v>11</v>
      </c>
      <c r="AH567">
        <v>2</v>
      </c>
      <c r="AI567">
        <v>13</v>
      </c>
    </row>
    <row r="568" spans="1:35">
      <c r="A568">
        <v>33</v>
      </c>
      <c r="B568" t="str">
        <f t="shared" si="8"/>
        <v>Middle Aged</v>
      </c>
      <c r="C568">
        <v>0</v>
      </c>
      <c r="D568" t="s">
        <v>55</v>
      </c>
      <c r="E568">
        <v>1283</v>
      </c>
      <c r="F568" t="s">
        <v>37</v>
      </c>
      <c r="G568">
        <v>2</v>
      </c>
      <c r="H568" t="str" cm="1">
        <f t="array" ref="H568">_xlfn.IFS(G568&gt;15,"Long Commute",G568&gt;5,"Moderate",G568&lt;=5,"Near Office")</f>
        <v>Near Office</v>
      </c>
      <c r="I568" t="s">
        <v>72</v>
      </c>
      <c r="J568" t="s">
        <v>59</v>
      </c>
      <c r="K568">
        <v>4</v>
      </c>
      <c r="L568" t="s">
        <v>39</v>
      </c>
      <c r="M568">
        <v>62</v>
      </c>
      <c r="N568">
        <v>3</v>
      </c>
      <c r="O568">
        <v>2</v>
      </c>
      <c r="P568" t="s">
        <v>40</v>
      </c>
      <c r="Q568" t="s">
        <v>75</v>
      </c>
      <c r="R568" t="s">
        <v>41</v>
      </c>
      <c r="S568">
        <v>5147</v>
      </c>
      <c r="T568" t="str" cm="1">
        <f t="array" ref="T568">_xlfn.IFS(S568&gt;=10000,"High (&gt;10k)",S568&gt;=5000,"Medium (5k-10k)",S568&lt;5000,"Low (&lt;5k)")</f>
        <v>Medium (5k-10k)</v>
      </c>
      <c r="U568">
        <v>10697</v>
      </c>
      <c r="V568">
        <v>8</v>
      </c>
      <c r="W568" t="s">
        <v>43</v>
      </c>
      <c r="X568">
        <v>15</v>
      </c>
      <c r="Y568">
        <v>3</v>
      </c>
      <c r="Z568">
        <v>4</v>
      </c>
      <c r="AA568">
        <v>0</v>
      </c>
      <c r="AB568">
        <v>13</v>
      </c>
      <c r="AC568">
        <v>2</v>
      </c>
      <c r="AD568" t="s">
        <v>81</v>
      </c>
      <c r="AE568">
        <v>11</v>
      </c>
      <c r="AF568" t="str" cm="1">
        <f t="array" ref="AF568">_xlfn.IFS(AE568&gt;=10,"Veteran (10y+)",AE568&gt;=3,"Established (3-10y)",AE568&lt;3,"New Hire (&lt;3y)")</f>
        <v>Veteran (10y+)</v>
      </c>
      <c r="AG568">
        <v>7</v>
      </c>
      <c r="AH568">
        <v>1</v>
      </c>
      <c r="AI568">
        <v>7</v>
      </c>
    </row>
    <row r="569" spans="1:35">
      <c r="A569">
        <v>33</v>
      </c>
      <c r="B569" t="str">
        <f t="shared" si="8"/>
        <v>Middle Aged</v>
      </c>
      <c r="C569">
        <v>1</v>
      </c>
      <c r="D569" t="s">
        <v>36</v>
      </c>
      <c r="E569">
        <v>211</v>
      </c>
      <c r="F569" t="s">
        <v>37</v>
      </c>
      <c r="G569">
        <v>16</v>
      </c>
      <c r="H569" t="str" cm="1">
        <f t="array" ref="H569">_xlfn.IFS(G569&gt;15,"Long Commute",G569&gt;5,"Moderate",G569&lt;=5,"Near Office")</f>
        <v>Long Commute</v>
      </c>
      <c r="I569" t="s">
        <v>72</v>
      </c>
      <c r="J569" t="s">
        <v>38</v>
      </c>
      <c r="K569">
        <v>1</v>
      </c>
      <c r="L569" t="s">
        <v>39</v>
      </c>
      <c r="M569">
        <v>74</v>
      </c>
      <c r="N569">
        <v>3</v>
      </c>
      <c r="O569">
        <v>3</v>
      </c>
      <c r="P569" t="s">
        <v>40</v>
      </c>
      <c r="Q569" t="s">
        <v>82</v>
      </c>
      <c r="R569" t="s">
        <v>41</v>
      </c>
      <c r="S569">
        <v>8564</v>
      </c>
      <c r="T569" t="str" cm="1">
        <f t="array" ref="T569">_xlfn.IFS(S569&gt;=10000,"High (&gt;10k)",S569&gt;=5000,"Medium (5k-10k)",S569&lt;5000,"Low (&lt;5k)")</f>
        <v>Medium (5k-10k)</v>
      </c>
      <c r="U569">
        <v>10092</v>
      </c>
      <c r="V569">
        <v>2</v>
      </c>
      <c r="W569" t="s">
        <v>35</v>
      </c>
      <c r="X569">
        <v>20</v>
      </c>
      <c r="Y569">
        <v>4</v>
      </c>
      <c r="Z569">
        <v>3</v>
      </c>
      <c r="AA569">
        <v>0</v>
      </c>
      <c r="AB569">
        <v>11</v>
      </c>
      <c r="AC569">
        <v>2</v>
      </c>
      <c r="AD569" t="s">
        <v>81</v>
      </c>
      <c r="AE569">
        <v>0</v>
      </c>
      <c r="AF569" t="str" cm="1">
        <f t="array" ref="AF569">_xlfn.IFS(AE569&gt;=10,"Veteran (10y+)",AE569&gt;=3,"Established (3-10y)",AE569&lt;3,"New Hire (&lt;3y)")</f>
        <v>New Hire (&lt;3y)</v>
      </c>
      <c r="AG569">
        <v>0</v>
      </c>
      <c r="AH569">
        <v>0</v>
      </c>
      <c r="AI569">
        <v>0</v>
      </c>
    </row>
    <row r="570" spans="1:35">
      <c r="A570">
        <v>33</v>
      </c>
      <c r="B570" t="str">
        <f t="shared" si="8"/>
        <v>Middle Aged</v>
      </c>
      <c r="C570">
        <v>0</v>
      </c>
      <c r="D570" t="s">
        <v>55</v>
      </c>
      <c r="E570">
        <v>775</v>
      </c>
      <c r="F570" t="s">
        <v>45</v>
      </c>
      <c r="G570">
        <v>4</v>
      </c>
      <c r="H570" t="str" cm="1">
        <f t="array" ref="H570">_xlfn.IFS(G570&gt;15,"Long Commute",G570&gt;5,"Moderate",G570&lt;=5,"Near Office")</f>
        <v>Near Office</v>
      </c>
      <c r="I570" t="s">
        <v>72</v>
      </c>
      <c r="J570" t="s">
        <v>60</v>
      </c>
      <c r="K570">
        <v>4</v>
      </c>
      <c r="L570" t="s">
        <v>46</v>
      </c>
      <c r="M570">
        <v>90</v>
      </c>
      <c r="N570">
        <v>3</v>
      </c>
      <c r="O570">
        <v>2</v>
      </c>
      <c r="P570" t="s">
        <v>47</v>
      </c>
      <c r="Q570" t="s">
        <v>75</v>
      </c>
      <c r="R570" t="s">
        <v>52</v>
      </c>
      <c r="S570">
        <v>3055</v>
      </c>
      <c r="T570" t="str" cm="1">
        <f t="array" ref="T570">_xlfn.IFS(S570&gt;=10000,"High (&gt;10k)",S570&gt;=5000,"Medium (5k-10k)",S570&lt;5000,"Low (&lt;5k)")</f>
        <v>Low (&lt;5k)</v>
      </c>
      <c r="U570">
        <v>6194</v>
      </c>
      <c r="V570">
        <v>5</v>
      </c>
      <c r="W570" t="s">
        <v>43</v>
      </c>
      <c r="X570">
        <v>15</v>
      </c>
      <c r="Y570">
        <v>3</v>
      </c>
      <c r="Z570">
        <v>4</v>
      </c>
      <c r="AA570">
        <v>2</v>
      </c>
      <c r="AB570">
        <v>11</v>
      </c>
      <c r="AC570">
        <v>2</v>
      </c>
      <c r="AD570" t="s">
        <v>81</v>
      </c>
      <c r="AE570">
        <v>9</v>
      </c>
      <c r="AF570" t="str" cm="1">
        <f t="array" ref="AF570">_xlfn.IFS(AE570&gt;=10,"Veteran (10y+)",AE570&gt;=3,"Established (3-10y)",AE570&lt;3,"New Hire (&lt;3y)")</f>
        <v>Established (3-10y)</v>
      </c>
      <c r="AG570">
        <v>8</v>
      </c>
      <c r="AH570">
        <v>1</v>
      </c>
      <c r="AI570">
        <v>7</v>
      </c>
    </row>
    <row r="571" spans="1:35">
      <c r="A571">
        <v>33</v>
      </c>
      <c r="B571" t="str">
        <f t="shared" si="8"/>
        <v>Middle Aged</v>
      </c>
      <c r="C571">
        <v>0</v>
      </c>
      <c r="D571" t="s">
        <v>36</v>
      </c>
      <c r="E571">
        <v>867</v>
      </c>
      <c r="F571" t="s">
        <v>45</v>
      </c>
      <c r="G571">
        <v>8</v>
      </c>
      <c r="H571" t="str" cm="1">
        <f t="array" ref="H571">_xlfn.IFS(G571&gt;15,"Long Commute",G571&gt;5,"Moderate",G571&lt;=5,"Near Office")</f>
        <v>Moderate</v>
      </c>
      <c r="I571" t="s">
        <v>83</v>
      </c>
      <c r="J571" t="s">
        <v>38</v>
      </c>
      <c r="K571">
        <v>4</v>
      </c>
      <c r="L571" t="s">
        <v>46</v>
      </c>
      <c r="M571">
        <v>90</v>
      </c>
      <c r="N571">
        <v>4</v>
      </c>
      <c r="O571">
        <v>1</v>
      </c>
      <c r="P571" t="s">
        <v>47</v>
      </c>
      <c r="Q571" t="s">
        <v>82</v>
      </c>
      <c r="R571" t="s">
        <v>48</v>
      </c>
      <c r="S571">
        <v>3143</v>
      </c>
      <c r="T571" t="str" cm="1">
        <f t="array" ref="T571">_xlfn.IFS(S571&gt;=10000,"High (&gt;10k)",S571&gt;=5000,"Medium (5k-10k)",S571&lt;5000,"Low (&lt;5k)")</f>
        <v>Low (&lt;5k)</v>
      </c>
      <c r="U571">
        <v>6076</v>
      </c>
      <c r="V571">
        <v>6</v>
      </c>
      <c r="W571" t="s">
        <v>43</v>
      </c>
      <c r="X571">
        <v>19</v>
      </c>
      <c r="Y571">
        <v>3</v>
      </c>
      <c r="Z571">
        <v>2</v>
      </c>
      <c r="AA571">
        <v>1</v>
      </c>
      <c r="AB571">
        <v>14</v>
      </c>
      <c r="AC571">
        <v>1</v>
      </c>
      <c r="AD571" t="s">
        <v>74</v>
      </c>
      <c r="AE571">
        <v>10</v>
      </c>
      <c r="AF571" t="str" cm="1">
        <f t="array" ref="AF571">_xlfn.IFS(AE571&gt;=10,"Veteran (10y+)",AE571&gt;=3,"Established (3-10y)",AE571&lt;3,"New Hire (&lt;3y)")</f>
        <v>Veteran (10y+)</v>
      </c>
      <c r="AG571">
        <v>8</v>
      </c>
      <c r="AH571">
        <v>7</v>
      </c>
      <c r="AI571">
        <v>6</v>
      </c>
    </row>
    <row r="572" spans="1:35">
      <c r="A572">
        <v>33</v>
      </c>
      <c r="B572" t="str">
        <f t="shared" si="8"/>
        <v>Middle Aged</v>
      </c>
      <c r="C572">
        <v>0</v>
      </c>
      <c r="D572" t="s">
        <v>36</v>
      </c>
      <c r="E572">
        <v>217</v>
      </c>
      <c r="F572" t="s">
        <v>37</v>
      </c>
      <c r="G572">
        <v>10</v>
      </c>
      <c r="H572" t="str" cm="1">
        <f t="array" ref="H572">_xlfn.IFS(G572&gt;15,"Long Commute",G572&gt;5,"Moderate",G572&lt;=5,"Near Office")</f>
        <v>Moderate</v>
      </c>
      <c r="I572" t="s">
        <v>83</v>
      </c>
      <c r="J572" t="s">
        <v>59</v>
      </c>
      <c r="K572">
        <v>2</v>
      </c>
      <c r="L572" t="s">
        <v>46</v>
      </c>
      <c r="M572">
        <v>43</v>
      </c>
      <c r="N572">
        <v>3</v>
      </c>
      <c r="O572">
        <v>2</v>
      </c>
      <c r="P572" t="s">
        <v>40</v>
      </c>
      <c r="Q572" t="s">
        <v>73</v>
      </c>
      <c r="R572" t="s">
        <v>41</v>
      </c>
      <c r="S572">
        <v>5487</v>
      </c>
      <c r="T572" t="str" cm="1">
        <f t="array" ref="T572">_xlfn.IFS(S572&gt;=10000,"High (&gt;10k)",S572&gt;=5000,"Medium (5k-10k)",S572&lt;5000,"Low (&lt;5k)")</f>
        <v>Medium (5k-10k)</v>
      </c>
      <c r="U572">
        <v>10410</v>
      </c>
      <c r="V572">
        <v>1</v>
      </c>
      <c r="W572" t="s">
        <v>43</v>
      </c>
      <c r="X572">
        <v>14</v>
      </c>
      <c r="Y572">
        <v>3</v>
      </c>
      <c r="Z572">
        <v>2</v>
      </c>
      <c r="AA572">
        <v>0</v>
      </c>
      <c r="AB572">
        <v>10</v>
      </c>
      <c r="AC572">
        <v>2</v>
      </c>
      <c r="AD572" t="s">
        <v>81</v>
      </c>
      <c r="AE572">
        <v>10</v>
      </c>
      <c r="AF572" t="str" cm="1">
        <f t="array" ref="AF572">_xlfn.IFS(AE572&gt;=10,"Veteran (10y+)",AE572&gt;=3,"Established (3-10y)",AE572&lt;3,"New Hire (&lt;3y)")</f>
        <v>Veteran (10y+)</v>
      </c>
      <c r="AG572">
        <v>4</v>
      </c>
      <c r="AH572">
        <v>0</v>
      </c>
      <c r="AI572">
        <v>9</v>
      </c>
    </row>
    <row r="573" spans="1:35">
      <c r="A573">
        <v>33</v>
      </c>
      <c r="B573" t="str">
        <f t="shared" si="8"/>
        <v>Middle Aged</v>
      </c>
      <c r="C573">
        <v>0</v>
      </c>
      <c r="D573" t="s">
        <v>44</v>
      </c>
      <c r="E573">
        <v>1303</v>
      </c>
      <c r="F573" t="s">
        <v>45</v>
      </c>
      <c r="G573">
        <v>7</v>
      </c>
      <c r="H573" t="str" cm="1">
        <f t="array" ref="H573">_xlfn.IFS(G573&gt;15,"Long Commute",G573&gt;5,"Moderate",G573&lt;=5,"Near Office")</f>
        <v>Moderate</v>
      </c>
      <c r="I573" t="s">
        <v>76</v>
      </c>
      <c r="J573" t="s">
        <v>38</v>
      </c>
      <c r="K573">
        <v>4</v>
      </c>
      <c r="L573" t="s">
        <v>46</v>
      </c>
      <c r="M573">
        <v>36</v>
      </c>
      <c r="N573">
        <v>3</v>
      </c>
      <c r="O573">
        <v>2</v>
      </c>
      <c r="P573" t="s">
        <v>54</v>
      </c>
      <c r="Q573" t="s">
        <v>73</v>
      </c>
      <c r="R573" t="s">
        <v>52</v>
      </c>
      <c r="S573">
        <v>5968</v>
      </c>
      <c r="T573" t="str" cm="1">
        <f t="array" ref="T573">_xlfn.IFS(S573&gt;=10000,"High (&gt;10k)",S573&gt;=5000,"Medium (5k-10k)",S573&lt;5000,"Low (&lt;5k)")</f>
        <v>Medium (5k-10k)</v>
      </c>
      <c r="U573">
        <v>18079</v>
      </c>
      <c r="V573">
        <v>1</v>
      </c>
      <c r="W573" t="s">
        <v>43</v>
      </c>
      <c r="X573">
        <v>20</v>
      </c>
      <c r="Y573">
        <v>4</v>
      </c>
      <c r="Z573">
        <v>3</v>
      </c>
      <c r="AA573">
        <v>3</v>
      </c>
      <c r="AB573">
        <v>9</v>
      </c>
      <c r="AC573">
        <v>2</v>
      </c>
      <c r="AD573" t="s">
        <v>74</v>
      </c>
      <c r="AE573">
        <v>9</v>
      </c>
      <c r="AF573" t="str" cm="1">
        <f t="array" ref="AF573">_xlfn.IFS(AE573&gt;=10,"Veteran (10y+)",AE573&gt;=3,"Established (3-10y)",AE573&lt;3,"New Hire (&lt;3y)")</f>
        <v>Established (3-10y)</v>
      </c>
      <c r="AG573">
        <v>7</v>
      </c>
      <c r="AH573">
        <v>2</v>
      </c>
      <c r="AI573">
        <v>8</v>
      </c>
    </row>
    <row r="574" spans="1:35">
      <c r="A574">
        <v>33</v>
      </c>
      <c r="B574" t="str">
        <f t="shared" si="8"/>
        <v>Middle Aged</v>
      </c>
      <c r="C574">
        <v>0</v>
      </c>
      <c r="D574" t="s">
        <v>55</v>
      </c>
      <c r="E574">
        <v>1313</v>
      </c>
      <c r="F574" t="s">
        <v>45</v>
      </c>
      <c r="G574">
        <v>1</v>
      </c>
      <c r="H574" t="str" cm="1">
        <f t="array" ref="H574">_xlfn.IFS(G574&gt;15,"Long Commute",G574&gt;5,"Moderate",G574&lt;=5,"Near Office")</f>
        <v>Near Office</v>
      </c>
      <c r="I574" t="s">
        <v>76</v>
      </c>
      <c r="J574" t="s">
        <v>51</v>
      </c>
      <c r="K574">
        <v>2</v>
      </c>
      <c r="L574" t="s">
        <v>46</v>
      </c>
      <c r="M574">
        <v>59</v>
      </c>
      <c r="N574">
        <v>2</v>
      </c>
      <c r="O574">
        <v>1</v>
      </c>
      <c r="P574" t="s">
        <v>50</v>
      </c>
      <c r="Q574" t="s">
        <v>73</v>
      </c>
      <c r="R574" t="s">
        <v>52</v>
      </c>
      <c r="S574">
        <v>2008</v>
      </c>
      <c r="T574" t="str" cm="1">
        <f t="array" ref="T574">_xlfn.IFS(S574&gt;=10000,"High (&gt;10k)",S574&gt;=5000,"Medium (5k-10k)",S574&lt;5000,"Low (&lt;5k)")</f>
        <v>Low (&lt;5k)</v>
      </c>
      <c r="U574">
        <v>20439</v>
      </c>
      <c r="V574">
        <v>1</v>
      </c>
      <c r="W574" t="s">
        <v>43</v>
      </c>
      <c r="X574">
        <v>12</v>
      </c>
      <c r="Y574">
        <v>3</v>
      </c>
      <c r="Z574">
        <v>3</v>
      </c>
      <c r="AA574">
        <v>3</v>
      </c>
      <c r="AB574">
        <v>1</v>
      </c>
      <c r="AC574">
        <v>2</v>
      </c>
      <c r="AD574" t="s">
        <v>81</v>
      </c>
      <c r="AE574">
        <v>1</v>
      </c>
      <c r="AF574" t="str" cm="1">
        <f t="array" ref="AF574">_xlfn.IFS(AE574&gt;=10,"Veteran (10y+)",AE574&gt;=3,"Established (3-10y)",AE574&lt;3,"New Hire (&lt;3y)")</f>
        <v>New Hire (&lt;3y)</v>
      </c>
      <c r="AG574">
        <v>1</v>
      </c>
      <c r="AH574">
        <v>0</v>
      </c>
      <c r="AI574">
        <v>0</v>
      </c>
    </row>
    <row r="575" spans="1:35">
      <c r="A575">
        <v>33</v>
      </c>
      <c r="B575" t="str">
        <f t="shared" si="8"/>
        <v>Middle Aged</v>
      </c>
      <c r="C575">
        <v>0</v>
      </c>
      <c r="D575" t="s">
        <v>36</v>
      </c>
      <c r="E575">
        <v>501</v>
      </c>
      <c r="F575" t="s">
        <v>45</v>
      </c>
      <c r="G575">
        <v>15</v>
      </c>
      <c r="H575" t="str" cm="1">
        <f t="array" ref="H575">_xlfn.IFS(G575&gt;15,"Long Commute",G575&gt;5,"Moderate",G575&lt;=5,"Near Office")</f>
        <v>Moderate</v>
      </c>
      <c r="I575" t="s">
        <v>76</v>
      </c>
      <c r="J575" t="s">
        <v>51</v>
      </c>
      <c r="K575">
        <v>2</v>
      </c>
      <c r="L575" t="s">
        <v>39</v>
      </c>
      <c r="M575">
        <v>95</v>
      </c>
      <c r="N575">
        <v>3</v>
      </c>
      <c r="O575">
        <v>2</v>
      </c>
      <c r="P575" t="s">
        <v>54</v>
      </c>
      <c r="Q575" t="s">
        <v>77</v>
      </c>
      <c r="R575" t="s">
        <v>48</v>
      </c>
      <c r="S575">
        <v>4878</v>
      </c>
      <c r="T575" t="str" cm="1">
        <f t="array" ref="T575">_xlfn.IFS(S575&gt;=10000,"High (&gt;10k)",S575&gt;=5000,"Medium (5k-10k)",S575&lt;5000,"Low (&lt;5k)")</f>
        <v>Low (&lt;5k)</v>
      </c>
      <c r="U575">
        <v>21653</v>
      </c>
      <c r="V575">
        <v>0</v>
      </c>
      <c r="W575" t="s">
        <v>35</v>
      </c>
      <c r="X575">
        <v>13</v>
      </c>
      <c r="Y575">
        <v>3</v>
      </c>
      <c r="Z575">
        <v>1</v>
      </c>
      <c r="AA575">
        <v>1</v>
      </c>
      <c r="AB575">
        <v>10</v>
      </c>
      <c r="AC575">
        <v>6</v>
      </c>
      <c r="AD575" t="s">
        <v>74</v>
      </c>
      <c r="AE575">
        <v>9</v>
      </c>
      <c r="AF575" t="str" cm="1">
        <f t="array" ref="AF575">_xlfn.IFS(AE575&gt;=10,"Veteran (10y+)",AE575&gt;=3,"Established (3-10y)",AE575&lt;3,"New Hire (&lt;3y)")</f>
        <v>Established (3-10y)</v>
      </c>
      <c r="AG575">
        <v>7</v>
      </c>
      <c r="AH575">
        <v>8</v>
      </c>
      <c r="AI575">
        <v>1</v>
      </c>
    </row>
    <row r="576" spans="1:35">
      <c r="A576">
        <v>34</v>
      </c>
      <c r="B576" t="str">
        <f t="shared" si="8"/>
        <v>Middle Aged</v>
      </c>
      <c r="C576">
        <v>0</v>
      </c>
      <c r="D576" t="s">
        <v>36</v>
      </c>
      <c r="E576">
        <v>1346</v>
      </c>
      <c r="F576" t="s">
        <v>45</v>
      </c>
      <c r="G576">
        <v>19</v>
      </c>
      <c r="H576" t="str" cm="1">
        <f t="array" ref="H576">_xlfn.IFS(G576&gt;15,"Long Commute",G576&gt;5,"Moderate",G576&lt;=5,"Near Office")</f>
        <v>Long Commute</v>
      </c>
      <c r="I576" t="s">
        <v>76</v>
      </c>
      <c r="J576" t="s">
        <v>51</v>
      </c>
      <c r="K576">
        <v>2</v>
      </c>
      <c r="L576" t="s">
        <v>46</v>
      </c>
      <c r="M576">
        <v>93</v>
      </c>
      <c r="N576">
        <v>3</v>
      </c>
      <c r="O576">
        <v>1</v>
      </c>
      <c r="P576" t="s">
        <v>50</v>
      </c>
      <c r="Q576" t="s">
        <v>77</v>
      </c>
      <c r="R576" t="s">
        <v>52</v>
      </c>
      <c r="S576">
        <v>2661</v>
      </c>
      <c r="T576" t="str" cm="1">
        <f t="array" ref="T576">_xlfn.IFS(S576&gt;=10000,"High (&gt;10k)",S576&gt;=5000,"Medium (5k-10k)",S576&lt;5000,"Low (&lt;5k)")</f>
        <v>Low (&lt;5k)</v>
      </c>
      <c r="U576">
        <v>8758</v>
      </c>
      <c r="V576">
        <v>0</v>
      </c>
      <c r="W576" t="s">
        <v>43</v>
      </c>
      <c r="X576">
        <v>11</v>
      </c>
      <c r="Y576">
        <v>3</v>
      </c>
      <c r="Z576">
        <v>3</v>
      </c>
      <c r="AA576">
        <v>1</v>
      </c>
      <c r="AB576">
        <v>3</v>
      </c>
      <c r="AC576">
        <v>2</v>
      </c>
      <c r="AD576" t="s">
        <v>74</v>
      </c>
      <c r="AE576">
        <v>2</v>
      </c>
      <c r="AF576" t="str" cm="1">
        <f t="array" ref="AF576">_xlfn.IFS(AE576&gt;=10,"Veteran (10y+)",AE576&gt;=3,"Established (3-10y)",AE576&lt;3,"New Hire (&lt;3y)")</f>
        <v>New Hire (&lt;3y)</v>
      </c>
      <c r="AG576">
        <v>2</v>
      </c>
      <c r="AH576">
        <v>1</v>
      </c>
      <c r="AI576">
        <v>2</v>
      </c>
    </row>
    <row r="577" spans="1:35">
      <c r="A577">
        <v>34</v>
      </c>
      <c r="B577" t="str">
        <f t="shared" si="8"/>
        <v>Middle Aged</v>
      </c>
      <c r="C577">
        <v>0</v>
      </c>
      <c r="D577" t="s">
        <v>36</v>
      </c>
      <c r="E577">
        <v>419</v>
      </c>
      <c r="F577" t="s">
        <v>45</v>
      </c>
      <c r="G577">
        <v>7</v>
      </c>
      <c r="H577" t="str" cm="1">
        <f t="array" ref="H577">_xlfn.IFS(G577&gt;15,"Long Commute",G577&gt;5,"Moderate",G577&lt;=5,"Near Office")</f>
        <v>Moderate</v>
      </c>
      <c r="I577" t="s">
        <v>83</v>
      </c>
      <c r="J577" t="s">
        <v>38</v>
      </c>
      <c r="K577">
        <v>1</v>
      </c>
      <c r="L577" t="s">
        <v>39</v>
      </c>
      <c r="M577">
        <v>53</v>
      </c>
      <c r="N577">
        <v>3</v>
      </c>
      <c r="O577">
        <v>3</v>
      </c>
      <c r="P577" t="s">
        <v>58</v>
      </c>
      <c r="Q577" t="s">
        <v>75</v>
      </c>
      <c r="R577" t="s">
        <v>41</v>
      </c>
      <c r="S577">
        <v>11994</v>
      </c>
      <c r="T577" t="str" cm="1">
        <f t="array" ref="T577">_xlfn.IFS(S577&gt;=10000,"High (&gt;10k)",S577&gt;=5000,"Medium (5k-10k)",S577&lt;5000,"Low (&lt;5k)")</f>
        <v>High (&gt;10k)</v>
      </c>
      <c r="U577">
        <v>21293</v>
      </c>
      <c r="V577">
        <v>0</v>
      </c>
      <c r="W577" t="s">
        <v>43</v>
      </c>
      <c r="X577">
        <v>11</v>
      </c>
      <c r="Y577">
        <v>3</v>
      </c>
      <c r="Z577">
        <v>3</v>
      </c>
      <c r="AA577">
        <v>0</v>
      </c>
      <c r="AB577">
        <v>13</v>
      </c>
      <c r="AC577">
        <v>4</v>
      </c>
      <c r="AD577" t="s">
        <v>74</v>
      </c>
      <c r="AE577">
        <v>12</v>
      </c>
      <c r="AF577" t="str" cm="1">
        <f t="array" ref="AF577">_xlfn.IFS(AE577&gt;=10,"Veteran (10y+)",AE577&gt;=3,"Established (3-10y)",AE577&lt;3,"New Hire (&lt;3y)")</f>
        <v>Veteran (10y+)</v>
      </c>
      <c r="AG577">
        <v>6</v>
      </c>
      <c r="AH577">
        <v>2</v>
      </c>
      <c r="AI577">
        <v>11</v>
      </c>
    </row>
    <row r="578" spans="1:35">
      <c r="A578">
        <v>34</v>
      </c>
      <c r="B578" t="str">
        <f t="shared" si="8"/>
        <v>Middle Aged</v>
      </c>
      <c r="C578">
        <v>1</v>
      </c>
      <c r="D578" t="s">
        <v>36</v>
      </c>
      <c r="E578">
        <v>699</v>
      </c>
      <c r="F578" t="s">
        <v>45</v>
      </c>
      <c r="G578">
        <v>6</v>
      </c>
      <c r="H578" t="str" cm="1">
        <f t="array" ref="H578">_xlfn.IFS(G578&gt;15,"Long Commute",G578&gt;5,"Moderate",G578&lt;=5,"Near Office")</f>
        <v>Moderate</v>
      </c>
      <c r="I578" t="s">
        <v>78</v>
      </c>
      <c r="J578" t="s">
        <v>51</v>
      </c>
      <c r="K578">
        <v>2</v>
      </c>
      <c r="L578" t="s">
        <v>46</v>
      </c>
      <c r="M578">
        <v>83</v>
      </c>
      <c r="N578">
        <v>3</v>
      </c>
      <c r="O578">
        <v>1</v>
      </c>
      <c r="P578" t="s">
        <v>47</v>
      </c>
      <c r="Q578" t="s">
        <v>82</v>
      </c>
      <c r="R578" t="s">
        <v>41</v>
      </c>
      <c r="S578">
        <v>2960</v>
      </c>
      <c r="T578" t="str" cm="1">
        <f t="array" ref="T578">_xlfn.IFS(S578&gt;=10000,"High (&gt;10k)",S578&gt;=5000,"Medium (5k-10k)",S578&lt;5000,"Low (&lt;5k)")</f>
        <v>Low (&lt;5k)</v>
      </c>
      <c r="U578">
        <v>17102</v>
      </c>
      <c r="V578">
        <v>2</v>
      </c>
      <c r="W578" t="s">
        <v>43</v>
      </c>
      <c r="X578">
        <v>11</v>
      </c>
      <c r="Y578">
        <v>3</v>
      </c>
      <c r="Z578">
        <v>3</v>
      </c>
      <c r="AA578">
        <v>0</v>
      </c>
      <c r="AB578">
        <v>8</v>
      </c>
      <c r="AC578">
        <v>2</v>
      </c>
      <c r="AD578" t="s">
        <v>74</v>
      </c>
      <c r="AE578">
        <v>4</v>
      </c>
      <c r="AF578" t="str" cm="1">
        <f t="array" ref="AF578">_xlfn.IFS(AE578&gt;=10,"Veteran (10y+)",AE578&gt;=3,"Established (3-10y)",AE578&lt;3,"New Hire (&lt;3y)")</f>
        <v>Established (3-10y)</v>
      </c>
      <c r="AG578">
        <v>2</v>
      </c>
      <c r="AH578">
        <v>1</v>
      </c>
      <c r="AI578">
        <v>3</v>
      </c>
    </row>
    <row r="579" spans="1:35">
      <c r="A579">
        <v>34</v>
      </c>
      <c r="B579" t="str">
        <f t="shared" ref="B579:B642" si="9">IF(A579&gt;=46,"Senior",IF(A579&gt;=30,"Middle Aged","Young Adults"))</f>
        <v>Middle Aged</v>
      </c>
      <c r="C579">
        <v>0</v>
      </c>
      <c r="D579" t="s">
        <v>55</v>
      </c>
      <c r="E579">
        <v>1065</v>
      </c>
      <c r="F579" t="s">
        <v>37</v>
      </c>
      <c r="G579">
        <v>23</v>
      </c>
      <c r="H579" t="str" cm="1">
        <f t="array" ref="H579">_xlfn.IFS(G579&gt;15,"Long Commute",G579&gt;5,"Moderate",G579&lt;=5,"Near Office")</f>
        <v>Long Commute</v>
      </c>
      <c r="I579" t="s">
        <v>83</v>
      </c>
      <c r="J579" t="s">
        <v>59</v>
      </c>
      <c r="K579">
        <v>2</v>
      </c>
      <c r="L579" t="s">
        <v>46</v>
      </c>
      <c r="M579">
        <v>72</v>
      </c>
      <c r="N579">
        <v>3</v>
      </c>
      <c r="O579">
        <v>2</v>
      </c>
      <c r="P579" t="s">
        <v>40</v>
      </c>
      <c r="Q579" t="s">
        <v>73</v>
      </c>
      <c r="R579" t="s">
        <v>41</v>
      </c>
      <c r="S579">
        <v>4568</v>
      </c>
      <c r="T579" t="str" cm="1">
        <f t="array" ref="T579">_xlfn.IFS(S579&gt;=10000,"High (&gt;10k)",S579&gt;=5000,"Medium (5k-10k)",S579&lt;5000,"Low (&lt;5k)")</f>
        <v>Low (&lt;5k)</v>
      </c>
      <c r="U579">
        <v>10034</v>
      </c>
      <c r="V579">
        <v>0</v>
      </c>
      <c r="W579" t="s">
        <v>43</v>
      </c>
      <c r="X579">
        <v>20</v>
      </c>
      <c r="Y579">
        <v>4</v>
      </c>
      <c r="Z579">
        <v>3</v>
      </c>
      <c r="AA579">
        <v>0</v>
      </c>
      <c r="AB579">
        <v>10</v>
      </c>
      <c r="AC579">
        <v>2</v>
      </c>
      <c r="AD579" t="s">
        <v>74</v>
      </c>
      <c r="AE579">
        <v>9</v>
      </c>
      <c r="AF579" t="str" cm="1">
        <f t="array" ref="AF579">_xlfn.IFS(AE579&gt;=10,"Veteran (10y+)",AE579&gt;=3,"Established (3-10y)",AE579&lt;3,"New Hire (&lt;3y)")</f>
        <v>Established (3-10y)</v>
      </c>
      <c r="AG579">
        <v>5</v>
      </c>
      <c r="AH579">
        <v>8</v>
      </c>
      <c r="AI579">
        <v>7</v>
      </c>
    </row>
    <row r="580" spans="1:35">
      <c r="A580">
        <v>34</v>
      </c>
      <c r="B580" t="str">
        <f t="shared" si="9"/>
        <v>Middle Aged</v>
      </c>
      <c r="C580">
        <v>0</v>
      </c>
      <c r="D580" t="s">
        <v>36</v>
      </c>
      <c r="E580">
        <v>1153</v>
      </c>
      <c r="F580" t="s">
        <v>45</v>
      </c>
      <c r="G580">
        <v>1</v>
      </c>
      <c r="H580" t="str" cm="1">
        <f t="array" ref="H580">_xlfn.IFS(G580&gt;15,"Long Commute",G580&gt;5,"Moderate",G580&lt;=5,"Near Office")</f>
        <v>Near Office</v>
      </c>
      <c r="I580" t="s">
        <v>76</v>
      </c>
      <c r="J580" t="s">
        <v>51</v>
      </c>
      <c r="K580">
        <v>1</v>
      </c>
      <c r="L580" t="s">
        <v>46</v>
      </c>
      <c r="M580">
        <v>94</v>
      </c>
      <c r="N580">
        <v>3</v>
      </c>
      <c r="O580">
        <v>2</v>
      </c>
      <c r="P580" t="s">
        <v>53</v>
      </c>
      <c r="Q580" t="s">
        <v>75</v>
      </c>
      <c r="R580" t="s">
        <v>48</v>
      </c>
      <c r="S580">
        <v>4325</v>
      </c>
      <c r="T580" t="str" cm="1">
        <f t="array" ref="T580">_xlfn.IFS(S580&gt;=10000,"High (&gt;10k)",S580&gt;=5000,"Medium (5k-10k)",S580&lt;5000,"Low (&lt;5k)")</f>
        <v>Low (&lt;5k)</v>
      </c>
      <c r="U580">
        <v>17736</v>
      </c>
      <c r="V580">
        <v>1</v>
      </c>
      <c r="W580" t="s">
        <v>43</v>
      </c>
      <c r="X580">
        <v>15</v>
      </c>
      <c r="Y580">
        <v>3</v>
      </c>
      <c r="Z580">
        <v>3</v>
      </c>
      <c r="AA580">
        <v>0</v>
      </c>
      <c r="AB580">
        <v>5</v>
      </c>
      <c r="AC580">
        <v>2</v>
      </c>
      <c r="AD580" t="s">
        <v>74</v>
      </c>
      <c r="AE580">
        <v>5</v>
      </c>
      <c r="AF580" t="str" cm="1">
        <f t="array" ref="AF580">_xlfn.IFS(AE580&gt;=10,"Veteran (10y+)",AE580&gt;=3,"Established (3-10y)",AE580&lt;3,"New Hire (&lt;3y)")</f>
        <v>Established (3-10y)</v>
      </c>
      <c r="AG580">
        <v>2</v>
      </c>
      <c r="AH580">
        <v>1</v>
      </c>
      <c r="AI580">
        <v>3</v>
      </c>
    </row>
    <row r="581" spans="1:35">
      <c r="A581">
        <v>34</v>
      </c>
      <c r="B581" t="str">
        <f t="shared" si="9"/>
        <v>Middle Aged</v>
      </c>
      <c r="C581">
        <v>0</v>
      </c>
      <c r="D581" t="s">
        <v>36</v>
      </c>
      <c r="E581">
        <v>665</v>
      </c>
      <c r="F581" t="s">
        <v>45</v>
      </c>
      <c r="G581">
        <v>6</v>
      </c>
      <c r="H581" t="str" cm="1">
        <f t="array" ref="H581">_xlfn.IFS(G581&gt;15,"Long Commute",G581&gt;5,"Moderate",G581&lt;=5,"Near Office")</f>
        <v>Moderate</v>
      </c>
      <c r="I581" t="s">
        <v>83</v>
      </c>
      <c r="J581" t="s">
        <v>49</v>
      </c>
      <c r="K581">
        <v>1</v>
      </c>
      <c r="L581" t="s">
        <v>39</v>
      </c>
      <c r="M581">
        <v>41</v>
      </c>
      <c r="N581">
        <v>3</v>
      </c>
      <c r="O581">
        <v>2</v>
      </c>
      <c r="P581" t="s">
        <v>47</v>
      </c>
      <c r="Q581" t="s">
        <v>73</v>
      </c>
      <c r="R581" t="s">
        <v>41</v>
      </c>
      <c r="S581">
        <v>4809</v>
      </c>
      <c r="T581" t="str" cm="1">
        <f t="array" ref="T581">_xlfn.IFS(S581&gt;=10000,"High (&gt;10k)",S581&gt;=5000,"Medium (5k-10k)",S581&lt;5000,"Low (&lt;5k)")</f>
        <v>Low (&lt;5k)</v>
      </c>
      <c r="U581">
        <v>12482</v>
      </c>
      <c r="V581">
        <v>1</v>
      </c>
      <c r="W581" t="s">
        <v>43</v>
      </c>
      <c r="X581">
        <v>14</v>
      </c>
      <c r="Y581">
        <v>3</v>
      </c>
      <c r="Z581">
        <v>3</v>
      </c>
      <c r="AA581">
        <v>0</v>
      </c>
      <c r="AB581">
        <v>16</v>
      </c>
      <c r="AC581">
        <v>3</v>
      </c>
      <c r="AD581" t="s">
        <v>74</v>
      </c>
      <c r="AE581">
        <v>16</v>
      </c>
      <c r="AF581" t="str" cm="1">
        <f t="array" ref="AF581">_xlfn.IFS(AE581&gt;=10,"Veteran (10y+)",AE581&gt;=3,"Established (3-10y)",AE581&lt;3,"New Hire (&lt;3y)")</f>
        <v>Veteran (10y+)</v>
      </c>
      <c r="AG581">
        <v>13</v>
      </c>
      <c r="AH581">
        <v>2</v>
      </c>
      <c r="AI581">
        <v>10</v>
      </c>
    </row>
    <row r="582" spans="1:35">
      <c r="A582">
        <v>34</v>
      </c>
      <c r="B582" t="str">
        <f t="shared" si="9"/>
        <v>Middle Aged</v>
      </c>
      <c r="C582">
        <v>1</v>
      </c>
      <c r="D582" t="s">
        <v>44</v>
      </c>
      <c r="E582">
        <v>658</v>
      </c>
      <c r="F582" t="s">
        <v>45</v>
      </c>
      <c r="G582">
        <v>7</v>
      </c>
      <c r="H582" t="str" cm="1">
        <f t="array" ref="H582">_xlfn.IFS(G582&gt;15,"Long Commute",G582&gt;5,"Moderate",G582&lt;=5,"Near Office")</f>
        <v>Moderate</v>
      </c>
      <c r="I582" t="s">
        <v>72</v>
      </c>
      <c r="J582" t="s">
        <v>38</v>
      </c>
      <c r="K582">
        <v>1</v>
      </c>
      <c r="L582" t="s">
        <v>46</v>
      </c>
      <c r="M582">
        <v>66</v>
      </c>
      <c r="N582">
        <v>1</v>
      </c>
      <c r="O582">
        <v>2</v>
      </c>
      <c r="P582" t="s">
        <v>50</v>
      </c>
      <c r="Q582" t="s">
        <v>73</v>
      </c>
      <c r="R582" t="s">
        <v>41</v>
      </c>
      <c r="S582">
        <v>6074</v>
      </c>
      <c r="T582" t="str" cm="1">
        <f t="array" ref="T582">_xlfn.IFS(S582&gt;=10000,"High (&gt;10k)",S582&gt;=5000,"Medium (5k-10k)",S582&lt;5000,"Low (&lt;5k)")</f>
        <v>Medium (5k-10k)</v>
      </c>
      <c r="U582">
        <v>22887</v>
      </c>
      <c r="V582">
        <v>1</v>
      </c>
      <c r="W582" t="s">
        <v>35</v>
      </c>
      <c r="X582">
        <v>24</v>
      </c>
      <c r="Y582">
        <v>4</v>
      </c>
      <c r="Z582">
        <v>4</v>
      </c>
      <c r="AA582">
        <v>0</v>
      </c>
      <c r="AB582">
        <v>9</v>
      </c>
      <c r="AC582">
        <v>3</v>
      </c>
      <c r="AD582" t="s">
        <v>74</v>
      </c>
      <c r="AE582">
        <v>9</v>
      </c>
      <c r="AF582" t="str" cm="1">
        <f t="array" ref="AF582">_xlfn.IFS(AE582&gt;=10,"Veteran (10y+)",AE582&gt;=3,"Established (3-10y)",AE582&lt;3,"New Hire (&lt;3y)")</f>
        <v>Established (3-10y)</v>
      </c>
      <c r="AG582">
        <v>7</v>
      </c>
      <c r="AH582">
        <v>0</v>
      </c>
      <c r="AI582">
        <v>6</v>
      </c>
    </row>
    <row r="583" spans="1:35">
      <c r="A583">
        <v>34</v>
      </c>
      <c r="B583" t="str">
        <f t="shared" si="9"/>
        <v>Middle Aged</v>
      </c>
      <c r="C583">
        <v>0</v>
      </c>
      <c r="D583" t="s">
        <v>36</v>
      </c>
      <c r="E583">
        <v>1031</v>
      </c>
      <c r="F583" t="s">
        <v>45</v>
      </c>
      <c r="G583">
        <v>6</v>
      </c>
      <c r="H583" t="str" cm="1">
        <f t="array" ref="H583">_xlfn.IFS(G583&gt;15,"Long Commute",G583&gt;5,"Moderate",G583&lt;=5,"Near Office")</f>
        <v>Moderate</v>
      </c>
      <c r="I583" t="s">
        <v>83</v>
      </c>
      <c r="J583" t="s">
        <v>38</v>
      </c>
      <c r="K583">
        <v>3</v>
      </c>
      <c r="L583" t="s">
        <v>39</v>
      </c>
      <c r="M583">
        <v>45</v>
      </c>
      <c r="N583">
        <v>2</v>
      </c>
      <c r="O583">
        <v>2</v>
      </c>
      <c r="P583" t="s">
        <v>47</v>
      </c>
      <c r="Q583" t="s">
        <v>75</v>
      </c>
      <c r="R583" t="s">
        <v>52</v>
      </c>
      <c r="S583">
        <v>4505</v>
      </c>
      <c r="T583" t="str" cm="1">
        <f t="array" ref="T583">_xlfn.IFS(S583&gt;=10000,"High (&gt;10k)",S583&gt;=5000,"Medium (5k-10k)",S583&lt;5000,"Low (&lt;5k)")</f>
        <v>Low (&lt;5k)</v>
      </c>
      <c r="U583">
        <v>15000</v>
      </c>
      <c r="V583">
        <v>6</v>
      </c>
      <c r="W583" t="s">
        <v>43</v>
      </c>
      <c r="X583">
        <v>15</v>
      </c>
      <c r="Y583">
        <v>3</v>
      </c>
      <c r="Z583">
        <v>3</v>
      </c>
      <c r="AA583">
        <v>1</v>
      </c>
      <c r="AB583">
        <v>12</v>
      </c>
      <c r="AC583">
        <v>3</v>
      </c>
      <c r="AD583" t="s">
        <v>74</v>
      </c>
      <c r="AE583">
        <v>1</v>
      </c>
      <c r="AF583" t="str" cm="1">
        <f t="array" ref="AF583">_xlfn.IFS(AE583&gt;=10,"Veteran (10y+)",AE583&gt;=3,"Established (3-10y)",AE583&lt;3,"New Hire (&lt;3y)")</f>
        <v>New Hire (&lt;3y)</v>
      </c>
      <c r="AG583">
        <v>0</v>
      </c>
      <c r="AH583">
        <v>0</v>
      </c>
      <c r="AI583">
        <v>0</v>
      </c>
    </row>
    <row r="584" spans="1:35">
      <c r="A584">
        <v>34</v>
      </c>
      <c r="B584" t="str">
        <f t="shared" si="9"/>
        <v>Middle Aged</v>
      </c>
      <c r="C584">
        <v>0</v>
      </c>
      <c r="D584" t="s">
        <v>36</v>
      </c>
      <c r="E584">
        <v>1354</v>
      </c>
      <c r="F584" t="s">
        <v>45</v>
      </c>
      <c r="G584">
        <v>5</v>
      </c>
      <c r="H584" t="str" cm="1">
        <f t="array" ref="H584">_xlfn.IFS(G584&gt;15,"Long Commute",G584&gt;5,"Moderate",G584&lt;=5,"Near Office")</f>
        <v>Near Office</v>
      </c>
      <c r="I584" t="s">
        <v>72</v>
      </c>
      <c r="J584" t="s">
        <v>51</v>
      </c>
      <c r="K584">
        <v>3</v>
      </c>
      <c r="L584" t="s">
        <v>39</v>
      </c>
      <c r="M584">
        <v>45</v>
      </c>
      <c r="N584">
        <v>2</v>
      </c>
      <c r="O584">
        <v>3</v>
      </c>
      <c r="P584" t="s">
        <v>56</v>
      </c>
      <c r="Q584" t="s">
        <v>82</v>
      </c>
      <c r="R584" t="s">
        <v>41</v>
      </c>
      <c r="S584">
        <v>11631</v>
      </c>
      <c r="T584" t="str" cm="1">
        <f t="array" ref="T584">_xlfn.IFS(S584&gt;=10000,"High (&gt;10k)",S584&gt;=5000,"Medium (5k-10k)",S584&lt;5000,"Low (&lt;5k)")</f>
        <v>High (&gt;10k)</v>
      </c>
      <c r="U584">
        <v>5615</v>
      </c>
      <c r="V584">
        <v>2</v>
      </c>
      <c r="W584" t="s">
        <v>43</v>
      </c>
      <c r="X584">
        <v>12</v>
      </c>
      <c r="Y584">
        <v>3</v>
      </c>
      <c r="Z584">
        <v>4</v>
      </c>
      <c r="AA584">
        <v>0</v>
      </c>
      <c r="AB584">
        <v>14</v>
      </c>
      <c r="AC584">
        <v>6</v>
      </c>
      <c r="AD584" t="s">
        <v>74</v>
      </c>
      <c r="AE584">
        <v>11</v>
      </c>
      <c r="AF584" t="str" cm="1">
        <f t="array" ref="AF584">_xlfn.IFS(AE584&gt;=10,"Veteran (10y+)",AE584&gt;=3,"Established (3-10y)",AE584&lt;3,"New Hire (&lt;3y)")</f>
        <v>Veteran (10y+)</v>
      </c>
      <c r="AG584">
        <v>10</v>
      </c>
      <c r="AH584">
        <v>5</v>
      </c>
      <c r="AI584">
        <v>8</v>
      </c>
    </row>
    <row r="585" spans="1:35">
      <c r="A585">
        <v>34</v>
      </c>
      <c r="B585" t="str">
        <f t="shared" si="9"/>
        <v>Middle Aged</v>
      </c>
      <c r="C585">
        <v>0</v>
      </c>
      <c r="D585" t="s">
        <v>44</v>
      </c>
      <c r="E585">
        <v>303</v>
      </c>
      <c r="F585" t="s">
        <v>37</v>
      </c>
      <c r="G585">
        <v>2</v>
      </c>
      <c r="H585" t="str" cm="1">
        <f t="array" ref="H585">_xlfn.IFS(G585&gt;15,"Long Commute",G585&gt;5,"Moderate",G585&lt;=5,"Near Office")</f>
        <v>Near Office</v>
      </c>
      <c r="I585" t="s">
        <v>83</v>
      </c>
      <c r="J585" t="s">
        <v>59</v>
      </c>
      <c r="K585">
        <v>3</v>
      </c>
      <c r="L585" t="s">
        <v>39</v>
      </c>
      <c r="M585">
        <v>75</v>
      </c>
      <c r="N585">
        <v>3</v>
      </c>
      <c r="O585">
        <v>1</v>
      </c>
      <c r="P585" t="s">
        <v>57</v>
      </c>
      <c r="Q585" t="s">
        <v>73</v>
      </c>
      <c r="R585" t="s">
        <v>48</v>
      </c>
      <c r="S585">
        <v>2231</v>
      </c>
      <c r="T585" t="str" cm="1">
        <f t="array" ref="T585">_xlfn.IFS(S585&gt;=10000,"High (&gt;10k)",S585&gt;=5000,"Medium (5k-10k)",S585&lt;5000,"Low (&lt;5k)")</f>
        <v>Low (&lt;5k)</v>
      </c>
      <c r="U585">
        <v>11314</v>
      </c>
      <c r="V585">
        <v>6</v>
      </c>
      <c r="W585" t="s">
        <v>43</v>
      </c>
      <c r="X585">
        <v>18</v>
      </c>
      <c r="Y585">
        <v>3</v>
      </c>
      <c r="Z585">
        <v>4</v>
      </c>
      <c r="AA585">
        <v>1</v>
      </c>
      <c r="AB585">
        <v>6</v>
      </c>
      <c r="AC585">
        <v>3</v>
      </c>
      <c r="AD585" t="s">
        <v>74</v>
      </c>
      <c r="AE585">
        <v>4</v>
      </c>
      <c r="AF585" t="str" cm="1">
        <f t="array" ref="AF585">_xlfn.IFS(AE585&gt;=10,"Veteran (10y+)",AE585&gt;=3,"Established (3-10y)",AE585&lt;3,"New Hire (&lt;3y)")</f>
        <v>Established (3-10y)</v>
      </c>
      <c r="AG585">
        <v>3</v>
      </c>
      <c r="AH585">
        <v>1</v>
      </c>
      <c r="AI585">
        <v>2</v>
      </c>
    </row>
    <row r="586" spans="1:35">
      <c r="A586">
        <v>34</v>
      </c>
      <c r="B586" t="str">
        <f t="shared" si="9"/>
        <v>Middle Aged</v>
      </c>
      <c r="C586">
        <v>0</v>
      </c>
      <c r="D586" t="s">
        <v>36</v>
      </c>
      <c r="E586">
        <v>629</v>
      </c>
      <c r="F586" t="s">
        <v>45</v>
      </c>
      <c r="G586">
        <v>27</v>
      </c>
      <c r="H586" t="str" cm="1">
        <f t="array" ref="H586">_xlfn.IFS(G586&gt;15,"Long Commute",G586&gt;5,"Moderate",G586&lt;=5,"Near Office")</f>
        <v>Long Commute</v>
      </c>
      <c r="I586" t="s">
        <v>76</v>
      </c>
      <c r="J586" t="s">
        <v>51</v>
      </c>
      <c r="K586">
        <v>4</v>
      </c>
      <c r="L586" t="s">
        <v>39</v>
      </c>
      <c r="M586">
        <v>95</v>
      </c>
      <c r="N586">
        <v>3</v>
      </c>
      <c r="O586">
        <v>1</v>
      </c>
      <c r="P586" t="s">
        <v>47</v>
      </c>
      <c r="Q586" t="s">
        <v>75</v>
      </c>
      <c r="R586" t="s">
        <v>41</v>
      </c>
      <c r="S586">
        <v>2311</v>
      </c>
      <c r="T586" t="str" cm="1">
        <f t="array" ref="T586">_xlfn.IFS(S586&gt;=10000,"High (&gt;10k)",S586&gt;=5000,"Medium (5k-10k)",S586&lt;5000,"Low (&lt;5k)")</f>
        <v>Low (&lt;5k)</v>
      </c>
      <c r="U586">
        <v>5711</v>
      </c>
      <c r="V586">
        <v>2</v>
      </c>
      <c r="W586" t="s">
        <v>43</v>
      </c>
      <c r="X586">
        <v>15</v>
      </c>
      <c r="Y586">
        <v>3</v>
      </c>
      <c r="Z586">
        <v>4</v>
      </c>
      <c r="AA586">
        <v>0</v>
      </c>
      <c r="AB586">
        <v>9</v>
      </c>
      <c r="AC586">
        <v>3</v>
      </c>
      <c r="AD586" t="s">
        <v>74</v>
      </c>
      <c r="AE586">
        <v>3</v>
      </c>
      <c r="AF586" t="str" cm="1">
        <f t="array" ref="AF586">_xlfn.IFS(AE586&gt;=10,"Veteran (10y+)",AE586&gt;=3,"Established (3-10y)",AE586&lt;3,"New Hire (&lt;3y)")</f>
        <v>Established (3-10y)</v>
      </c>
      <c r="AG586">
        <v>2</v>
      </c>
      <c r="AH586">
        <v>1</v>
      </c>
      <c r="AI586">
        <v>2</v>
      </c>
    </row>
    <row r="587" spans="1:35">
      <c r="A587">
        <v>34</v>
      </c>
      <c r="B587" t="str">
        <f t="shared" si="9"/>
        <v>Middle Aged</v>
      </c>
      <c r="C587">
        <v>0</v>
      </c>
      <c r="D587" t="s">
        <v>44</v>
      </c>
      <c r="E587">
        <v>1069</v>
      </c>
      <c r="F587" t="s">
        <v>45</v>
      </c>
      <c r="G587">
        <v>2</v>
      </c>
      <c r="H587" t="str" cm="1">
        <f t="array" ref="H587">_xlfn.IFS(G587&gt;15,"Long Commute",G587&gt;5,"Moderate",G587&lt;=5,"Near Office")</f>
        <v>Near Office</v>
      </c>
      <c r="I587" t="s">
        <v>78</v>
      </c>
      <c r="J587" t="s">
        <v>38</v>
      </c>
      <c r="K587">
        <v>4</v>
      </c>
      <c r="L587" t="s">
        <v>46</v>
      </c>
      <c r="M587">
        <v>45</v>
      </c>
      <c r="N587">
        <v>2</v>
      </c>
      <c r="O587">
        <v>2</v>
      </c>
      <c r="P587" t="s">
        <v>53</v>
      </c>
      <c r="Q587" t="s">
        <v>73</v>
      </c>
      <c r="R587" t="s">
        <v>48</v>
      </c>
      <c r="S587">
        <v>9547</v>
      </c>
      <c r="T587" t="str" cm="1">
        <f t="array" ref="T587">_xlfn.IFS(S587&gt;=10000,"High (&gt;10k)",S587&gt;=5000,"Medium (5k-10k)",S587&lt;5000,"Low (&lt;5k)")</f>
        <v>Medium (5k-10k)</v>
      </c>
      <c r="U587">
        <v>14074</v>
      </c>
      <c r="V587">
        <v>1</v>
      </c>
      <c r="W587" t="s">
        <v>43</v>
      </c>
      <c r="X587">
        <v>17</v>
      </c>
      <c r="Y587">
        <v>3</v>
      </c>
      <c r="Z587">
        <v>3</v>
      </c>
      <c r="AA587">
        <v>0</v>
      </c>
      <c r="AB587">
        <v>10</v>
      </c>
      <c r="AC587">
        <v>2</v>
      </c>
      <c r="AD587" t="s">
        <v>81</v>
      </c>
      <c r="AE587">
        <v>10</v>
      </c>
      <c r="AF587" t="str" cm="1">
        <f t="array" ref="AF587">_xlfn.IFS(AE587&gt;=10,"Veteran (10y+)",AE587&gt;=3,"Established (3-10y)",AE587&lt;3,"New Hire (&lt;3y)")</f>
        <v>Veteran (10y+)</v>
      </c>
      <c r="AG587">
        <v>9</v>
      </c>
      <c r="AH587">
        <v>1</v>
      </c>
      <c r="AI587">
        <v>9</v>
      </c>
    </row>
    <row r="588" spans="1:35">
      <c r="A588">
        <v>34</v>
      </c>
      <c r="B588" t="str">
        <f t="shared" si="9"/>
        <v>Middle Aged</v>
      </c>
      <c r="C588">
        <v>0</v>
      </c>
      <c r="D588" t="s">
        <v>44</v>
      </c>
      <c r="E588">
        <v>878</v>
      </c>
      <c r="F588" t="s">
        <v>45</v>
      </c>
      <c r="G588">
        <v>10</v>
      </c>
      <c r="H588" t="str" cm="1">
        <f t="array" ref="H588">_xlfn.IFS(G588&gt;15,"Long Commute",G588&gt;5,"Moderate",G588&lt;=5,"Near Office")</f>
        <v>Moderate</v>
      </c>
      <c r="I588" t="s">
        <v>83</v>
      </c>
      <c r="J588" t="s">
        <v>51</v>
      </c>
      <c r="K588">
        <v>4</v>
      </c>
      <c r="L588" t="s">
        <v>46</v>
      </c>
      <c r="M588">
        <v>43</v>
      </c>
      <c r="N588">
        <v>3</v>
      </c>
      <c r="O588">
        <v>1</v>
      </c>
      <c r="P588" t="s">
        <v>47</v>
      </c>
      <c r="Q588" t="s">
        <v>73</v>
      </c>
      <c r="R588" t="s">
        <v>52</v>
      </c>
      <c r="S588">
        <v>3815</v>
      </c>
      <c r="T588" t="str" cm="1">
        <f t="array" ref="T588">_xlfn.IFS(S588&gt;=10000,"High (&gt;10k)",S588&gt;=5000,"Medium (5k-10k)",S588&lt;5000,"Low (&lt;5k)")</f>
        <v>Low (&lt;5k)</v>
      </c>
      <c r="U588">
        <v>5972</v>
      </c>
      <c r="V588">
        <v>1</v>
      </c>
      <c r="W588" t="s">
        <v>35</v>
      </c>
      <c r="X588">
        <v>17</v>
      </c>
      <c r="Y588">
        <v>3</v>
      </c>
      <c r="Z588">
        <v>4</v>
      </c>
      <c r="AA588">
        <v>1</v>
      </c>
      <c r="AB588">
        <v>5</v>
      </c>
      <c r="AC588">
        <v>4</v>
      </c>
      <c r="AD588" t="s">
        <v>79</v>
      </c>
      <c r="AE588">
        <v>5</v>
      </c>
      <c r="AF588" t="str" cm="1">
        <f t="array" ref="AF588">_xlfn.IFS(AE588&gt;=10,"Veteran (10y+)",AE588&gt;=3,"Established (3-10y)",AE588&lt;3,"New Hire (&lt;3y)")</f>
        <v>Established (3-10y)</v>
      </c>
      <c r="AG588">
        <v>3</v>
      </c>
      <c r="AH588">
        <v>2</v>
      </c>
      <c r="AI588">
        <v>0</v>
      </c>
    </row>
    <row r="589" spans="1:35">
      <c r="A589">
        <v>34</v>
      </c>
      <c r="B589" t="str">
        <f t="shared" si="9"/>
        <v>Middle Aged</v>
      </c>
      <c r="C589">
        <v>0</v>
      </c>
      <c r="D589" t="s">
        <v>36</v>
      </c>
      <c r="E589">
        <v>470</v>
      </c>
      <c r="F589" t="s">
        <v>45</v>
      </c>
      <c r="G589">
        <v>2</v>
      </c>
      <c r="H589" t="str" cm="1">
        <f t="array" ref="H589">_xlfn.IFS(G589&gt;15,"Long Commute",G589&gt;5,"Moderate",G589&lt;=5,"Near Office")</f>
        <v>Near Office</v>
      </c>
      <c r="I589" t="s">
        <v>83</v>
      </c>
      <c r="J589" t="s">
        <v>38</v>
      </c>
      <c r="K589">
        <v>4</v>
      </c>
      <c r="L589" t="s">
        <v>46</v>
      </c>
      <c r="M589">
        <v>84</v>
      </c>
      <c r="N589">
        <v>2</v>
      </c>
      <c r="O589">
        <v>2</v>
      </c>
      <c r="P589" t="s">
        <v>53</v>
      </c>
      <c r="Q589" t="s">
        <v>82</v>
      </c>
      <c r="R589" t="s">
        <v>48</v>
      </c>
      <c r="S589">
        <v>5957</v>
      </c>
      <c r="T589" t="str" cm="1">
        <f t="array" ref="T589">_xlfn.IFS(S589&gt;=10000,"High (&gt;10k)",S589&gt;=5000,"Medium (5k-10k)",S589&lt;5000,"Low (&lt;5k)")</f>
        <v>Medium (5k-10k)</v>
      </c>
      <c r="U589">
        <v>23687</v>
      </c>
      <c r="V589">
        <v>6</v>
      </c>
      <c r="W589" t="s">
        <v>43</v>
      </c>
      <c r="X589">
        <v>13</v>
      </c>
      <c r="Y589">
        <v>3</v>
      </c>
      <c r="Z589">
        <v>2</v>
      </c>
      <c r="AA589">
        <v>1</v>
      </c>
      <c r="AB589">
        <v>13</v>
      </c>
      <c r="AC589">
        <v>3</v>
      </c>
      <c r="AD589" t="s">
        <v>74</v>
      </c>
      <c r="AE589">
        <v>11</v>
      </c>
      <c r="AF589" t="str" cm="1">
        <f t="array" ref="AF589">_xlfn.IFS(AE589&gt;=10,"Veteran (10y+)",AE589&gt;=3,"Established (3-10y)",AE589&lt;3,"New Hire (&lt;3y)")</f>
        <v>Veteran (10y+)</v>
      </c>
      <c r="AG589">
        <v>9</v>
      </c>
      <c r="AH589">
        <v>5</v>
      </c>
      <c r="AI589">
        <v>9</v>
      </c>
    </row>
    <row r="590" spans="1:35">
      <c r="A590">
        <v>34</v>
      </c>
      <c r="B590" t="str">
        <f t="shared" si="9"/>
        <v>Middle Aged</v>
      </c>
      <c r="C590">
        <v>1</v>
      </c>
      <c r="D590" t="s">
        <v>55</v>
      </c>
      <c r="E590">
        <v>1362</v>
      </c>
      <c r="F590" t="s">
        <v>37</v>
      </c>
      <c r="G590">
        <v>19</v>
      </c>
      <c r="H590" t="str" cm="1">
        <f t="array" ref="H590">_xlfn.IFS(G590&gt;15,"Long Commute",G590&gt;5,"Moderate",G590&lt;=5,"Near Office")</f>
        <v>Long Commute</v>
      </c>
      <c r="I590" t="s">
        <v>72</v>
      </c>
      <c r="J590" t="s">
        <v>59</v>
      </c>
      <c r="K590">
        <v>1</v>
      </c>
      <c r="L590" t="s">
        <v>46</v>
      </c>
      <c r="M590">
        <v>67</v>
      </c>
      <c r="N590">
        <v>4</v>
      </c>
      <c r="O590">
        <v>2</v>
      </c>
      <c r="P590" t="s">
        <v>40</v>
      </c>
      <c r="Q590" t="s">
        <v>77</v>
      </c>
      <c r="R590" t="s">
        <v>41</v>
      </c>
      <c r="S590">
        <v>5304</v>
      </c>
      <c r="T590" t="str" cm="1">
        <f t="array" ref="T590">_xlfn.IFS(S590&gt;=10000,"High (&gt;10k)",S590&gt;=5000,"Medium (5k-10k)",S590&lt;5000,"Low (&lt;5k)")</f>
        <v>Medium (5k-10k)</v>
      </c>
      <c r="U590">
        <v>4652</v>
      </c>
      <c r="V590">
        <v>8</v>
      </c>
      <c r="W590" t="s">
        <v>35</v>
      </c>
      <c r="X590">
        <v>13</v>
      </c>
      <c r="Y590">
        <v>3</v>
      </c>
      <c r="Z590">
        <v>2</v>
      </c>
      <c r="AA590">
        <v>0</v>
      </c>
      <c r="AB590">
        <v>9</v>
      </c>
      <c r="AC590">
        <v>3</v>
      </c>
      <c r="AD590" t="s">
        <v>81</v>
      </c>
      <c r="AE590">
        <v>5</v>
      </c>
      <c r="AF590" t="str" cm="1">
        <f t="array" ref="AF590">_xlfn.IFS(AE590&gt;=10,"Veteran (10y+)",AE590&gt;=3,"Established (3-10y)",AE590&lt;3,"New Hire (&lt;3y)")</f>
        <v>Established (3-10y)</v>
      </c>
      <c r="AG590">
        <v>2</v>
      </c>
      <c r="AH590">
        <v>0</v>
      </c>
      <c r="AI590">
        <v>4</v>
      </c>
    </row>
    <row r="591" spans="1:35">
      <c r="A591">
        <v>34</v>
      </c>
      <c r="B591" t="str">
        <f t="shared" si="9"/>
        <v>Middle Aged</v>
      </c>
      <c r="C591">
        <v>0</v>
      </c>
      <c r="D591" t="s">
        <v>55</v>
      </c>
      <c r="E591">
        <v>1381</v>
      </c>
      <c r="F591" t="s">
        <v>37</v>
      </c>
      <c r="G591">
        <v>4</v>
      </c>
      <c r="H591" t="str" cm="1">
        <f t="array" ref="H591">_xlfn.IFS(G591&gt;15,"Long Commute",G591&gt;5,"Moderate",G591&lt;=5,"Near Office")</f>
        <v>Near Office</v>
      </c>
      <c r="I591" t="s">
        <v>83</v>
      </c>
      <c r="J591" t="s">
        <v>59</v>
      </c>
      <c r="K591">
        <v>3</v>
      </c>
      <c r="L591" t="s">
        <v>39</v>
      </c>
      <c r="M591">
        <v>72</v>
      </c>
      <c r="N591">
        <v>3</v>
      </c>
      <c r="O591">
        <v>2</v>
      </c>
      <c r="P591" t="s">
        <v>40</v>
      </c>
      <c r="Q591" t="s">
        <v>73</v>
      </c>
      <c r="R591" t="s">
        <v>48</v>
      </c>
      <c r="S591">
        <v>6538</v>
      </c>
      <c r="T591" t="str" cm="1">
        <f t="array" ref="T591">_xlfn.IFS(S591&gt;=10000,"High (&gt;10k)",S591&gt;=5000,"Medium (5k-10k)",S591&lt;5000,"Low (&lt;5k)")</f>
        <v>Medium (5k-10k)</v>
      </c>
      <c r="U591">
        <v>12740</v>
      </c>
      <c r="V591">
        <v>9</v>
      </c>
      <c r="W591" t="s">
        <v>43</v>
      </c>
      <c r="X591">
        <v>15</v>
      </c>
      <c r="Y591">
        <v>3</v>
      </c>
      <c r="Z591">
        <v>1</v>
      </c>
      <c r="AA591">
        <v>1</v>
      </c>
      <c r="AB591">
        <v>6</v>
      </c>
      <c r="AC591">
        <v>3</v>
      </c>
      <c r="AD591" t="s">
        <v>74</v>
      </c>
      <c r="AE591">
        <v>3</v>
      </c>
      <c r="AF591" t="str" cm="1">
        <f t="array" ref="AF591">_xlfn.IFS(AE591&gt;=10,"Veteran (10y+)",AE591&gt;=3,"Established (3-10y)",AE591&lt;3,"New Hire (&lt;3y)")</f>
        <v>Established (3-10y)</v>
      </c>
      <c r="AG591">
        <v>2</v>
      </c>
      <c r="AH591">
        <v>1</v>
      </c>
      <c r="AI591">
        <v>2</v>
      </c>
    </row>
    <row r="592" spans="1:35">
      <c r="A592">
        <v>34</v>
      </c>
      <c r="B592" t="str">
        <f t="shared" si="9"/>
        <v>Middle Aged</v>
      </c>
      <c r="C592">
        <v>1</v>
      </c>
      <c r="D592" t="s">
        <v>44</v>
      </c>
      <c r="E592">
        <v>296</v>
      </c>
      <c r="F592" t="s">
        <v>37</v>
      </c>
      <c r="G592">
        <v>6</v>
      </c>
      <c r="H592" t="str" cm="1">
        <f t="array" ref="H592">_xlfn.IFS(G592&gt;15,"Long Commute",G592&gt;5,"Moderate",G592&lt;=5,"Near Office")</f>
        <v>Moderate</v>
      </c>
      <c r="I592" t="s">
        <v>76</v>
      </c>
      <c r="J592" t="s">
        <v>59</v>
      </c>
      <c r="K592">
        <v>4</v>
      </c>
      <c r="L592" t="s">
        <v>39</v>
      </c>
      <c r="M592">
        <v>33</v>
      </c>
      <c r="N592">
        <v>1</v>
      </c>
      <c r="O592">
        <v>1</v>
      </c>
      <c r="P592" t="s">
        <v>57</v>
      </c>
      <c r="Q592" t="s">
        <v>73</v>
      </c>
      <c r="R592" t="s">
        <v>52</v>
      </c>
      <c r="S592">
        <v>2351</v>
      </c>
      <c r="T592" t="str" cm="1">
        <f t="array" ref="T592">_xlfn.IFS(S592&gt;=10000,"High (&gt;10k)",S592&gt;=5000,"Medium (5k-10k)",S592&lt;5000,"Low (&lt;5k)")</f>
        <v>Low (&lt;5k)</v>
      </c>
      <c r="U592">
        <v>12253</v>
      </c>
      <c r="V592">
        <v>0</v>
      </c>
      <c r="W592" t="s">
        <v>43</v>
      </c>
      <c r="X592">
        <v>16</v>
      </c>
      <c r="Y592">
        <v>3</v>
      </c>
      <c r="Z592">
        <v>4</v>
      </c>
      <c r="AA592">
        <v>1</v>
      </c>
      <c r="AB592">
        <v>3</v>
      </c>
      <c r="AC592">
        <v>3</v>
      </c>
      <c r="AD592" t="s">
        <v>81</v>
      </c>
      <c r="AE592">
        <v>2</v>
      </c>
      <c r="AF592" t="str" cm="1">
        <f t="array" ref="AF592">_xlfn.IFS(AE592&gt;=10,"Veteran (10y+)",AE592&gt;=3,"Established (3-10y)",AE592&lt;3,"New Hire (&lt;3y)")</f>
        <v>New Hire (&lt;3y)</v>
      </c>
      <c r="AG592">
        <v>2</v>
      </c>
      <c r="AH592">
        <v>1</v>
      </c>
      <c r="AI592">
        <v>0</v>
      </c>
    </row>
    <row r="593" spans="1:35">
      <c r="A593">
        <v>34</v>
      </c>
      <c r="B593" t="str">
        <f t="shared" si="9"/>
        <v>Middle Aged</v>
      </c>
      <c r="C593">
        <v>0</v>
      </c>
      <c r="D593" t="s">
        <v>36</v>
      </c>
      <c r="E593">
        <v>1303</v>
      </c>
      <c r="F593" t="s">
        <v>45</v>
      </c>
      <c r="G593">
        <v>2</v>
      </c>
      <c r="H593" t="str" cm="1">
        <f t="array" ref="H593">_xlfn.IFS(G593&gt;15,"Long Commute",G593&gt;5,"Moderate",G593&lt;=5,"Near Office")</f>
        <v>Near Office</v>
      </c>
      <c r="I593" t="s">
        <v>83</v>
      </c>
      <c r="J593" t="s">
        <v>38</v>
      </c>
      <c r="K593">
        <v>4</v>
      </c>
      <c r="L593" t="s">
        <v>46</v>
      </c>
      <c r="M593">
        <v>62</v>
      </c>
      <c r="N593">
        <v>2</v>
      </c>
      <c r="O593">
        <v>1</v>
      </c>
      <c r="P593" t="s">
        <v>47</v>
      </c>
      <c r="Q593" t="s">
        <v>73</v>
      </c>
      <c r="R593" t="s">
        <v>52</v>
      </c>
      <c r="S593">
        <v>2768</v>
      </c>
      <c r="T593" t="str" cm="1">
        <f t="array" ref="T593">_xlfn.IFS(S593&gt;=10000,"High (&gt;10k)",S593&gt;=5000,"Medium (5k-10k)",S593&lt;5000,"Low (&lt;5k)")</f>
        <v>Low (&lt;5k)</v>
      </c>
      <c r="U593">
        <v>8416</v>
      </c>
      <c r="V593">
        <v>3</v>
      </c>
      <c r="W593" t="s">
        <v>43</v>
      </c>
      <c r="X593">
        <v>12</v>
      </c>
      <c r="Y593">
        <v>3</v>
      </c>
      <c r="Z593">
        <v>3</v>
      </c>
      <c r="AA593">
        <v>1</v>
      </c>
      <c r="AB593">
        <v>14</v>
      </c>
      <c r="AC593">
        <v>3</v>
      </c>
      <c r="AD593" t="s">
        <v>74</v>
      </c>
      <c r="AE593">
        <v>7</v>
      </c>
      <c r="AF593" t="str" cm="1">
        <f t="array" ref="AF593">_xlfn.IFS(AE593&gt;=10,"Veteran (10y+)",AE593&gt;=3,"Established (3-10y)",AE593&lt;3,"New Hire (&lt;3y)")</f>
        <v>Established (3-10y)</v>
      </c>
      <c r="AG593">
        <v>3</v>
      </c>
      <c r="AH593">
        <v>5</v>
      </c>
      <c r="AI593">
        <v>7</v>
      </c>
    </row>
    <row r="594" spans="1:35">
      <c r="A594">
        <v>34</v>
      </c>
      <c r="B594" t="str">
        <f t="shared" si="9"/>
        <v>Middle Aged</v>
      </c>
      <c r="C594">
        <v>1</v>
      </c>
      <c r="D594" t="s">
        <v>44</v>
      </c>
      <c r="E594">
        <v>988</v>
      </c>
      <c r="F594" t="s">
        <v>61</v>
      </c>
      <c r="G594">
        <v>23</v>
      </c>
      <c r="H594" t="str" cm="1">
        <f t="array" ref="H594">_xlfn.IFS(G594&gt;15,"Long Commute",G594&gt;5,"Moderate",G594&lt;=5,"Near Office")</f>
        <v>Long Commute</v>
      </c>
      <c r="I594" t="s">
        <v>72</v>
      </c>
      <c r="J594" t="s">
        <v>61</v>
      </c>
      <c r="K594">
        <v>2</v>
      </c>
      <c r="L594" t="s">
        <v>39</v>
      </c>
      <c r="M594">
        <v>43</v>
      </c>
      <c r="N594">
        <v>3</v>
      </c>
      <c r="O594">
        <v>3</v>
      </c>
      <c r="P594" t="s">
        <v>61</v>
      </c>
      <c r="Q594" t="s">
        <v>82</v>
      </c>
      <c r="R594" t="s">
        <v>52</v>
      </c>
      <c r="S594">
        <v>9950</v>
      </c>
      <c r="T594" t="str" cm="1">
        <f t="array" ref="T594">_xlfn.IFS(S594&gt;=10000,"High (&gt;10k)",S594&gt;=5000,"Medium (5k-10k)",S594&lt;5000,"Low (&lt;5k)")</f>
        <v>Medium (5k-10k)</v>
      </c>
      <c r="U594">
        <v>11533</v>
      </c>
      <c r="V594">
        <v>9</v>
      </c>
      <c r="W594" t="s">
        <v>35</v>
      </c>
      <c r="X594">
        <v>15</v>
      </c>
      <c r="Y594">
        <v>3</v>
      </c>
      <c r="Z594">
        <v>3</v>
      </c>
      <c r="AA594">
        <v>3</v>
      </c>
      <c r="AB594">
        <v>11</v>
      </c>
      <c r="AC594">
        <v>2</v>
      </c>
      <c r="AD594" t="s">
        <v>74</v>
      </c>
      <c r="AE594">
        <v>3</v>
      </c>
      <c r="AF594" t="str" cm="1">
        <f t="array" ref="AF594">_xlfn.IFS(AE594&gt;=10,"Veteran (10y+)",AE594&gt;=3,"Established (3-10y)",AE594&lt;3,"New Hire (&lt;3y)")</f>
        <v>Established (3-10y)</v>
      </c>
      <c r="AG594">
        <v>2</v>
      </c>
      <c r="AH594">
        <v>0</v>
      </c>
      <c r="AI594">
        <v>2</v>
      </c>
    </row>
    <row r="595" spans="1:35">
      <c r="A595">
        <v>34</v>
      </c>
      <c r="B595" t="str">
        <f t="shared" si="9"/>
        <v>Middle Aged</v>
      </c>
      <c r="C595">
        <v>0</v>
      </c>
      <c r="D595" t="s">
        <v>36</v>
      </c>
      <c r="E595">
        <v>258</v>
      </c>
      <c r="F595" t="s">
        <v>37</v>
      </c>
      <c r="G595">
        <v>21</v>
      </c>
      <c r="H595" t="str" cm="1">
        <f t="array" ref="H595">_xlfn.IFS(G595&gt;15,"Long Commute",G595&gt;5,"Moderate",G595&lt;=5,"Near Office")</f>
        <v>Long Commute</v>
      </c>
      <c r="I595" t="s">
        <v>83</v>
      </c>
      <c r="J595" t="s">
        <v>38</v>
      </c>
      <c r="K595">
        <v>4</v>
      </c>
      <c r="L595" t="s">
        <v>46</v>
      </c>
      <c r="M595">
        <v>74</v>
      </c>
      <c r="N595">
        <v>4</v>
      </c>
      <c r="O595">
        <v>2</v>
      </c>
      <c r="P595" t="s">
        <v>40</v>
      </c>
      <c r="Q595" t="s">
        <v>77</v>
      </c>
      <c r="R595" t="s">
        <v>41</v>
      </c>
      <c r="S595">
        <v>5337</v>
      </c>
      <c r="T595" t="str" cm="1">
        <f t="array" ref="T595">_xlfn.IFS(S595&gt;=10000,"High (&gt;10k)",S595&gt;=5000,"Medium (5k-10k)",S595&lt;5000,"Low (&lt;5k)")</f>
        <v>Medium (5k-10k)</v>
      </c>
      <c r="U595">
        <v>19921</v>
      </c>
      <c r="V595">
        <v>1</v>
      </c>
      <c r="W595" t="s">
        <v>43</v>
      </c>
      <c r="X595">
        <v>12</v>
      </c>
      <c r="Y595">
        <v>3</v>
      </c>
      <c r="Z595">
        <v>4</v>
      </c>
      <c r="AA595">
        <v>0</v>
      </c>
      <c r="AB595">
        <v>10</v>
      </c>
      <c r="AC595">
        <v>3</v>
      </c>
      <c r="AD595" t="s">
        <v>74</v>
      </c>
      <c r="AE595">
        <v>10</v>
      </c>
      <c r="AF595" t="str" cm="1">
        <f t="array" ref="AF595">_xlfn.IFS(AE595&gt;=10,"Veteran (10y+)",AE595&gt;=3,"Established (3-10y)",AE595&lt;3,"New Hire (&lt;3y)")</f>
        <v>Veteran (10y+)</v>
      </c>
      <c r="AG595">
        <v>7</v>
      </c>
      <c r="AH595">
        <v>5</v>
      </c>
      <c r="AI595">
        <v>7</v>
      </c>
    </row>
    <row r="596" spans="1:35">
      <c r="A596">
        <v>34</v>
      </c>
      <c r="B596" t="str">
        <f t="shared" si="9"/>
        <v>Middle Aged</v>
      </c>
      <c r="C596">
        <v>0</v>
      </c>
      <c r="D596" t="s">
        <v>36</v>
      </c>
      <c r="E596">
        <v>254</v>
      </c>
      <c r="F596" t="s">
        <v>45</v>
      </c>
      <c r="G596">
        <v>1</v>
      </c>
      <c r="H596" t="str" cm="1">
        <f t="array" ref="H596">_xlfn.IFS(G596&gt;15,"Long Commute",G596&gt;5,"Moderate",G596&lt;=5,"Near Office")</f>
        <v>Near Office</v>
      </c>
      <c r="I596" t="s">
        <v>76</v>
      </c>
      <c r="J596" t="s">
        <v>38</v>
      </c>
      <c r="K596">
        <v>2</v>
      </c>
      <c r="L596" t="s">
        <v>46</v>
      </c>
      <c r="M596">
        <v>83</v>
      </c>
      <c r="N596">
        <v>2</v>
      </c>
      <c r="O596">
        <v>1</v>
      </c>
      <c r="P596" t="s">
        <v>47</v>
      </c>
      <c r="Q596" t="s">
        <v>77</v>
      </c>
      <c r="R596" t="s">
        <v>48</v>
      </c>
      <c r="S596">
        <v>3622</v>
      </c>
      <c r="T596" t="str" cm="1">
        <f t="array" ref="T596">_xlfn.IFS(S596&gt;=10000,"High (&gt;10k)",S596&gt;=5000,"Medium (5k-10k)",S596&lt;5000,"Low (&lt;5k)")</f>
        <v>Low (&lt;5k)</v>
      </c>
      <c r="U596">
        <v>22794</v>
      </c>
      <c r="V596">
        <v>1</v>
      </c>
      <c r="W596" t="s">
        <v>35</v>
      </c>
      <c r="X596">
        <v>13</v>
      </c>
      <c r="Y596">
        <v>3</v>
      </c>
      <c r="Z596">
        <v>4</v>
      </c>
      <c r="AA596">
        <v>1</v>
      </c>
      <c r="AB596">
        <v>6</v>
      </c>
      <c r="AC596">
        <v>3</v>
      </c>
      <c r="AD596" t="s">
        <v>74</v>
      </c>
      <c r="AE596">
        <v>6</v>
      </c>
      <c r="AF596" t="str" cm="1">
        <f t="array" ref="AF596">_xlfn.IFS(AE596&gt;=10,"Veteran (10y+)",AE596&gt;=3,"Established (3-10y)",AE596&lt;3,"New Hire (&lt;3y)")</f>
        <v>Established (3-10y)</v>
      </c>
      <c r="AG596">
        <v>5</v>
      </c>
      <c r="AH596">
        <v>1</v>
      </c>
      <c r="AI596">
        <v>3</v>
      </c>
    </row>
    <row r="597" spans="1:35">
      <c r="A597">
        <v>34</v>
      </c>
      <c r="B597" t="str">
        <f t="shared" si="9"/>
        <v>Middle Aged</v>
      </c>
      <c r="C597">
        <v>0</v>
      </c>
      <c r="D597" t="s">
        <v>36</v>
      </c>
      <c r="E597">
        <v>204</v>
      </c>
      <c r="F597" t="s">
        <v>37</v>
      </c>
      <c r="G597">
        <v>14</v>
      </c>
      <c r="H597" t="str" cm="1">
        <f t="array" ref="H597">_xlfn.IFS(G597&gt;15,"Long Commute",G597&gt;5,"Moderate",G597&lt;=5,"Near Office")</f>
        <v>Moderate</v>
      </c>
      <c r="I597" t="s">
        <v>72</v>
      </c>
      <c r="J597" t="s">
        <v>60</v>
      </c>
      <c r="K597">
        <v>3</v>
      </c>
      <c r="L597" t="s">
        <v>39</v>
      </c>
      <c r="M597">
        <v>31</v>
      </c>
      <c r="N597">
        <v>3</v>
      </c>
      <c r="O597">
        <v>1</v>
      </c>
      <c r="P597" t="s">
        <v>57</v>
      </c>
      <c r="Q597" t="s">
        <v>73</v>
      </c>
      <c r="R597" t="s">
        <v>52</v>
      </c>
      <c r="S597">
        <v>2579</v>
      </c>
      <c r="T597" t="str" cm="1">
        <f t="array" ref="T597">_xlfn.IFS(S597&gt;=10000,"High (&gt;10k)",S597&gt;=5000,"Medium (5k-10k)",S597&lt;5000,"Low (&lt;5k)")</f>
        <v>Low (&lt;5k)</v>
      </c>
      <c r="U597">
        <v>2912</v>
      </c>
      <c r="V597">
        <v>1</v>
      </c>
      <c r="W597" t="s">
        <v>35</v>
      </c>
      <c r="X597">
        <v>18</v>
      </c>
      <c r="Y597">
        <v>3</v>
      </c>
      <c r="Z597">
        <v>4</v>
      </c>
      <c r="AA597">
        <v>2</v>
      </c>
      <c r="AB597">
        <v>8</v>
      </c>
      <c r="AC597">
        <v>3</v>
      </c>
      <c r="AD597" t="s">
        <v>74</v>
      </c>
      <c r="AE597">
        <v>8</v>
      </c>
      <c r="AF597" t="str" cm="1">
        <f t="array" ref="AF597">_xlfn.IFS(AE597&gt;=10,"Veteran (10y+)",AE597&gt;=3,"Established (3-10y)",AE597&lt;3,"New Hire (&lt;3y)")</f>
        <v>Established (3-10y)</v>
      </c>
      <c r="AG597">
        <v>2</v>
      </c>
      <c r="AH597">
        <v>0</v>
      </c>
      <c r="AI597">
        <v>6</v>
      </c>
    </row>
    <row r="598" spans="1:35">
      <c r="A598">
        <v>34</v>
      </c>
      <c r="B598" t="str">
        <f t="shared" si="9"/>
        <v>Middle Aged</v>
      </c>
      <c r="C598">
        <v>0</v>
      </c>
      <c r="D598" t="s">
        <v>36</v>
      </c>
      <c r="E598">
        <v>1397</v>
      </c>
      <c r="F598" t="s">
        <v>45</v>
      </c>
      <c r="G598">
        <v>1</v>
      </c>
      <c r="H598" t="str" cm="1">
        <f t="array" ref="H598">_xlfn.IFS(G598&gt;15,"Long Commute",G598&gt;5,"Moderate",G598&lt;=5,"Near Office")</f>
        <v>Near Office</v>
      </c>
      <c r="I598" t="s">
        <v>84</v>
      </c>
      <c r="J598" t="s">
        <v>38</v>
      </c>
      <c r="K598">
        <v>2</v>
      </c>
      <c r="L598" t="s">
        <v>46</v>
      </c>
      <c r="M598">
        <v>42</v>
      </c>
      <c r="N598">
        <v>3</v>
      </c>
      <c r="O598">
        <v>1</v>
      </c>
      <c r="P598" t="s">
        <v>47</v>
      </c>
      <c r="Q598" t="s">
        <v>77</v>
      </c>
      <c r="R598" t="s">
        <v>48</v>
      </c>
      <c r="S598">
        <v>2691</v>
      </c>
      <c r="T598" t="str" cm="1">
        <f t="array" ref="T598">_xlfn.IFS(S598&gt;=10000,"High (&gt;10k)",S598&gt;=5000,"Medium (5k-10k)",S598&lt;5000,"Low (&lt;5k)")</f>
        <v>Low (&lt;5k)</v>
      </c>
      <c r="U598">
        <v>7660</v>
      </c>
      <c r="V598">
        <v>1</v>
      </c>
      <c r="W598" t="s">
        <v>43</v>
      </c>
      <c r="X598">
        <v>12</v>
      </c>
      <c r="Y598">
        <v>3</v>
      </c>
      <c r="Z598">
        <v>4</v>
      </c>
      <c r="AA598">
        <v>1</v>
      </c>
      <c r="AB598">
        <v>10</v>
      </c>
      <c r="AC598">
        <v>4</v>
      </c>
      <c r="AD598" t="s">
        <v>81</v>
      </c>
      <c r="AE598">
        <v>10</v>
      </c>
      <c r="AF598" t="str" cm="1">
        <f t="array" ref="AF598">_xlfn.IFS(AE598&gt;=10,"Veteran (10y+)",AE598&gt;=3,"Established (3-10y)",AE598&lt;3,"New Hire (&lt;3y)")</f>
        <v>Veteran (10y+)</v>
      </c>
      <c r="AG598">
        <v>9</v>
      </c>
      <c r="AH598">
        <v>8</v>
      </c>
      <c r="AI598">
        <v>8</v>
      </c>
    </row>
    <row r="599" spans="1:35">
      <c r="A599">
        <v>34</v>
      </c>
      <c r="B599" t="str">
        <f t="shared" si="9"/>
        <v>Middle Aged</v>
      </c>
      <c r="C599">
        <v>0</v>
      </c>
      <c r="D599" t="s">
        <v>36</v>
      </c>
      <c r="E599">
        <v>1442</v>
      </c>
      <c r="F599" t="s">
        <v>45</v>
      </c>
      <c r="G599">
        <v>9</v>
      </c>
      <c r="H599" t="str" cm="1">
        <f t="array" ref="H599">_xlfn.IFS(G599&gt;15,"Long Commute",G599&gt;5,"Moderate",G599&lt;=5,"Near Office")</f>
        <v>Moderate</v>
      </c>
      <c r="I599" t="s">
        <v>72</v>
      </c>
      <c r="J599" t="s">
        <v>51</v>
      </c>
      <c r="K599">
        <v>4</v>
      </c>
      <c r="L599" t="s">
        <v>39</v>
      </c>
      <c r="M599">
        <v>46</v>
      </c>
      <c r="N599">
        <v>2</v>
      </c>
      <c r="O599">
        <v>3</v>
      </c>
      <c r="P599" t="s">
        <v>54</v>
      </c>
      <c r="Q599" t="s">
        <v>75</v>
      </c>
      <c r="R599" t="s">
        <v>41</v>
      </c>
      <c r="S599">
        <v>8621</v>
      </c>
      <c r="T599" t="str" cm="1">
        <f t="array" ref="T599">_xlfn.IFS(S599&gt;=10000,"High (&gt;10k)",S599&gt;=5000,"Medium (5k-10k)",S599&lt;5000,"Low (&lt;5k)")</f>
        <v>Medium (5k-10k)</v>
      </c>
      <c r="U599">
        <v>17654</v>
      </c>
      <c r="V599">
        <v>1</v>
      </c>
      <c r="W599" t="s">
        <v>43</v>
      </c>
      <c r="X599">
        <v>14</v>
      </c>
      <c r="Y599">
        <v>3</v>
      </c>
      <c r="Z599">
        <v>2</v>
      </c>
      <c r="AA599">
        <v>0</v>
      </c>
      <c r="AB599">
        <v>9</v>
      </c>
      <c r="AC599">
        <v>3</v>
      </c>
      <c r="AD599" t="s">
        <v>79</v>
      </c>
      <c r="AE599">
        <v>8</v>
      </c>
      <c r="AF599" t="str" cm="1">
        <f t="array" ref="AF599">_xlfn.IFS(AE599&gt;=10,"Veteran (10y+)",AE599&gt;=3,"Established (3-10y)",AE599&lt;3,"New Hire (&lt;3y)")</f>
        <v>Established (3-10y)</v>
      </c>
      <c r="AG599">
        <v>7</v>
      </c>
      <c r="AH599">
        <v>7</v>
      </c>
      <c r="AI599">
        <v>7</v>
      </c>
    </row>
    <row r="600" spans="1:35">
      <c r="A600">
        <v>34</v>
      </c>
      <c r="B600" t="str">
        <f t="shared" si="9"/>
        <v>Middle Aged</v>
      </c>
      <c r="C600">
        <v>0</v>
      </c>
      <c r="D600" t="s">
        <v>36</v>
      </c>
      <c r="E600">
        <v>970</v>
      </c>
      <c r="F600" t="s">
        <v>45</v>
      </c>
      <c r="G600">
        <v>8</v>
      </c>
      <c r="H600" t="str" cm="1">
        <f t="array" ref="H600">_xlfn.IFS(G600&gt;15,"Long Commute",G600&gt;5,"Moderate",G600&lt;=5,"Near Office")</f>
        <v>Moderate</v>
      </c>
      <c r="I600" t="s">
        <v>76</v>
      </c>
      <c r="J600" t="s">
        <v>51</v>
      </c>
      <c r="K600">
        <v>2</v>
      </c>
      <c r="L600" t="s">
        <v>39</v>
      </c>
      <c r="M600">
        <v>96</v>
      </c>
      <c r="N600">
        <v>3</v>
      </c>
      <c r="O600">
        <v>2</v>
      </c>
      <c r="P600" t="s">
        <v>54</v>
      </c>
      <c r="Q600" t="s">
        <v>73</v>
      </c>
      <c r="R600" t="s">
        <v>41</v>
      </c>
      <c r="S600">
        <v>6142</v>
      </c>
      <c r="T600" t="str" cm="1">
        <f t="array" ref="T600">_xlfn.IFS(S600&gt;=10000,"High (&gt;10k)",S600&gt;=5000,"Medium (5k-10k)",S600&lt;5000,"Low (&lt;5k)")</f>
        <v>Medium (5k-10k)</v>
      </c>
      <c r="U600">
        <v>7360</v>
      </c>
      <c r="V600">
        <v>3</v>
      </c>
      <c r="W600" t="s">
        <v>43</v>
      </c>
      <c r="X600">
        <v>11</v>
      </c>
      <c r="Y600">
        <v>3</v>
      </c>
      <c r="Z600">
        <v>4</v>
      </c>
      <c r="AA600">
        <v>0</v>
      </c>
      <c r="AB600">
        <v>10</v>
      </c>
      <c r="AC600">
        <v>2</v>
      </c>
      <c r="AD600" t="s">
        <v>74</v>
      </c>
      <c r="AE600">
        <v>5</v>
      </c>
      <c r="AF600" t="str" cm="1">
        <f t="array" ref="AF600">_xlfn.IFS(AE600&gt;=10,"Veteran (10y+)",AE600&gt;=3,"Established (3-10y)",AE600&lt;3,"New Hire (&lt;3y)")</f>
        <v>Established (3-10y)</v>
      </c>
      <c r="AG600">
        <v>1</v>
      </c>
      <c r="AH600">
        <v>4</v>
      </c>
      <c r="AI600">
        <v>3</v>
      </c>
    </row>
    <row r="601" spans="1:35">
      <c r="A601">
        <v>34</v>
      </c>
      <c r="B601" t="str">
        <f t="shared" si="9"/>
        <v>Middle Aged</v>
      </c>
      <c r="C601">
        <v>0</v>
      </c>
      <c r="D601" t="s">
        <v>36</v>
      </c>
      <c r="E601">
        <v>167</v>
      </c>
      <c r="F601" t="s">
        <v>45</v>
      </c>
      <c r="G601">
        <v>8</v>
      </c>
      <c r="H601" t="str" cm="1">
        <f t="array" ref="H601">_xlfn.IFS(G601&gt;15,"Long Commute",G601&gt;5,"Moderate",G601&lt;=5,"Near Office")</f>
        <v>Moderate</v>
      </c>
      <c r="I601" t="s">
        <v>84</v>
      </c>
      <c r="J601" t="s">
        <v>38</v>
      </c>
      <c r="K601">
        <v>2</v>
      </c>
      <c r="L601" t="s">
        <v>39</v>
      </c>
      <c r="M601">
        <v>32</v>
      </c>
      <c r="N601">
        <v>3</v>
      </c>
      <c r="O601">
        <v>2</v>
      </c>
      <c r="P601" t="s">
        <v>53</v>
      </c>
      <c r="Q601" t="s">
        <v>82</v>
      </c>
      <c r="R601" t="s">
        <v>52</v>
      </c>
      <c r="S601">
        <v>5121</v>
      </c>
      <c r="T601" t="str" cm="1">
        <f t="array" ref="T601">_xlfn.IFS(S601&gt;=10000,"High (&gt;10k)",S601&gt;=5000,"Medium (5k-10k)",S601&lt;5000,"Low (&lt;5k)")</f>
        <v>Medium (5k-10k)</v>
      </c>
      <c r="U601">
        <v>4187</v>
      </c>
      <c r="V601">
        <v>3</v>
      </c>
      <c r="W601" t="s">
        <v>43</v>
      </c>
      <c r="X601">
        <v>14</v>
      </c>
      <c r="Y601">
        <v>3</v>
      </c>
      <c r="Z601">
        <v>3</v>
      </c>
      <c r="AA601">
        <v>1</v>
      </c>
      <c r="AB601">
        <v>7</v>
      </c>
      <c r="AC601">
        <v>3</v>
      </c>
      <c r="AD601" t="s">
        <v>74</v>
      </c>
      <c r="AE601">
        <v>0</v>
      </c>
      <c r="AF601" t="str" cm="1">
        <f t="array" ref="AF601">_xlfn.IFS(AE601&gt;=10,"Veteran (10y+)",AE601&gt;=3,"Established (3-10y)",AE601&lt;3,"New Hire (&lt;3y)")</f>
        <v>New Hire (&lt;3y)</v>
      </c>
      <c r="AG601">
        <v>0</v>
      </c>
      <c r="AH601">
        <v>0</v>
      </c>
      <c r="AI601">
        <v>0</v>
      </c>
    </row>
    <row r="602" spans="1:35">
      <c r="A602">
        <v>34</v>
      </c>
      <c r="B602" t="str">
        <f t="shared" si="9"/>
        <v>Middle Aged</v>
      </c>
      <c r="C602">
        <v>0</v>
      </c>
      <c r="D602" t="s">
        <v>36</v>
      </c>
      <c r="E602">
        <v>304</v>
      </c>
      <c r="F602" t="s">
        <v>37</v>
      </c>
      <c r="G602">
        <v>2</v>
      </c>
      <c r="H602" t="str" cm="1">
        <f t="array" ref="H602">_xlfn.IFS(G602&gt;15,"Long Commute",G602&gt;5,"Moderate",G602&lt;=5,"Near Office")</f>
        <v>Near Office</v>
      </c>
      <c r="I602" t="s">
        <v>72</v>
      </c>
      <c r="J602" t="s">
        <v>49</v>
      </c>
      <c r="K602">
        <v>4</v>
      </c>
      <c r="L602" t="s">
        <v>46</v>
      </c>
      <c r="M602">
        <v>60</v>
      </c>
      <c r="N602">
        <v>3</v>
      </c>
      <c r="O602">
        <v>2</v>
      </c>
      <c r="P602" t="s">
        <v>40</v>
      </c>
      <c r="Q602" t="s">
        <v>77</v>
      </c>
      <c r="R602" t="s">
        <v>41</v>
      </c>
      <c r="S602">
        <v>6274</v>
      </c>
      <c r="T602" t="str" cm="1">
        <f t="array" ref="T602">_xlfn.IFS(S602&gt;=10000,"High (&gt;10k)",S602&gt;=5000,"Medium (5k-10k)",S602&lt;5000,"Low (&lt;5k)")</f>
        <v>Medium (5k-10k)</v>
      </c>
      <c r="U602">
        <v>18686</v>
      </c>
      <c r="V602">
        <v>1</v>
      </c>
      <c r="W602" t="s">
        <v>43</v>
      </c>
      <c r="X602">
        <v>22</v>
      </c>
      <c r="Y602">
        <v>4</v>
      </c>
      <c r="Z602">
        <v>3</v>
      </c>
      <c r="AA602">
        <v>0</v>
      </c>
      <c r="AB602">
        <v>6</v>
      </c>
      <c r="AC602">
        <v>5</v>
      </c>
      <c r="AD602" t="s">
        <v>74</v>
      </c>
      <c r="AE602">
        <v>6</v>
      </c>
      <c r="AF602" t="str" cm="1">
        <f t="array" ref="AF602">_xlfn.IFS(AE602&gt;=10,"Veteran (10y+)",AE602&gt;=3,"Established (3-10y)",AE602&lt;3,"New Hire (&lt;3y)")</f>
        <v>Established (3-10y)</v>
      </c>
      <c r="AG602">
        <v>5</v>
      </c>
      <c r="AH602">
        <v>1</v>
      </c>
      <c r="AI602">
        <v>4</v>
      </c>
    </row>
    <row r="603" spans="1:35">
      <c r="A603">
        <v>34</v>
      </c>
      <c r="B603" t="str">
        <f t="shared" si="9"/>
        <v>Middle Aged</v>
      </c>
      <c r="C603">
        <v>0</v>
      </c>
      <c r="D603" t="s">
        <v>36</v>
      </c>
      <c r="E603">
        <v>182</v>
      </c>
      <c r="F603" t="s">
        <v>45</v>
      </c>
      <c r="G603">
        <v>1</v>
      </c>
      <c r="H603" t="str" cm="1">
        <f t="array" ref="H603">_xlfn.IFS(G603&gt;15,"Long Commute",G603&gt;5,"Moderate",G603&lt;=5,"Near Office")</f>
        <v>Near Office</v>
      </c>
      <c r="I603" t="s">
        <v>83</v>
      </c>
      <c r="J603" t="s">
        <v>38</v>
      </c>
      <c r="K603">
        <v>2</v>
      </c>
      <c r="L603" t="s">
        <v>39</v>
      </c>
      <c r="M603">
        <v>72</v>
      </c>
      <c r="N603">
        <v>4</v>
      </c>
      <c r="O603">
        <v>1</v>
      </c>
      <c r="P603" t="s">
        <v>47</v>
      </c>
      <c r="Q603" t="s">
        <v>77</v>
      </c>
      <c r="R603" t="s">
        <v>41</v>
      </c>
      <c r="S603">
        <v>3280</v>
      </c>
      <c r="T603" t="str" cm="1">
        <f t="array" ref="T603">_xlfn.IFS(S603&gt;=10000,"High (&gt;10k)",S603&gt;=5000,"Medium (5k-10k)",S603&lt;5000,"Low (&lt;5k)")</f>
        <v>Low (&lt;5k)</v>
      </c>
      <c r="U603">
        <v>13551</v>
      </c>
      <c r="V603">
        <v>2</v>
      </c>
      <c r="W603" t="s">
        <v>43</v>
      </c>
      <c r="X603">
        <v>16</v>
      </c>
      <c r="Y603">
        <v>3</v>
      </c>
      <c r="Z603">
        <v>3</v>
      </c>
      <c r="AA603">
        <v>0</v>
      </c>
      <c r="AB603">
        <v>10</v>
      </c>
      <c r="AC603">
        <v>2</v>
      </c>
      <c r="AD603" t="s">
        <v>74</v>
      </c>
      <c r="AE603">
        <v>4</v>
      </c>
      <c r="AF603" t="str" cm="1">
        <f t="array" ref="AF603">_xlfn.IFS(AE603&gt;=10,"Veteran (10y+)",AE603&gt;=3,"Established (3-10y)",AE603&lt;3,"New Hire (&lt;3y)")</f>
        <v>Established (3-10y)</v>
      </c>
      <c r="AG603">
        <v>2</v>
      </c>
      <c r="AH603">
        <v>1</v>
      </c>
      <c r="AI603">
        <v>3</v>
      </c>
    </row>
    <row r="604" spans="1:35">
      <c r="A604">
        <v>34</v>
      </c>
      <c r="B604" t="str">
        <f t="shared" si="9"/>
        <v>Middle Aged</v>
      </c>
      <c r="C604">
        <v>0</v>
      </c>
      <c r="D604" t="s">
        <v>36</v>
      </c>
      <c r="E604">
        <v>121</v>
      </c>
      <c r="F604" t="s">
        <v>45</v>
      </c>
      <c r="G604">
        <v>2</v>
      </c>
      <c r="H604" t="str" cm="1">
        <f t="array" ref="H604">_xlfn.IFS(G604&gt;15,"Long Commute",G604&gt;5,"Moderate",G604&lt;=5,"Near Office")</f>
        <v>Near Office</v>
      </c>
      <c r="I604" t="s">
        <v>83</v>
      </c>
      <c r="J604" t="s">
        <v>51</v>
      </c>
      <c r="K604">
        <v>3</v>
      </c>
      <c r="L604" t="s">
        <v>39</v>
      </c>
      <c r="M604">
        <v>86</v>
      </c>
      <c r="N604">
        <v>2</v>
      </c>
      <c r="O604">
        <v>1</v>
      </c>
      <c r="P604" t="s">
        <v>47</v>
      </c>
      <c r="Q604" t="s">
        <v>82</v>
      </c>
      <c r="R604" t="s">
        <v>41</v>
      </c>
      <c r="S604">
        <v>4381</v>
      </c>
      <c r="T604" t="str" cm="1">
        <f t="array" ref="T604">_xlfn.IFS(S604&gt;=10000,"High (&gt;10k)",S604&gt;=5000,"Medium (5k-10k)",S604&lt;5000,"Low (&lt;5k)")</f>
        <v>Low (&lt;5k)</v>
      </c>
      <c r="U604">
        <v>7530</v>
      </c>
      <c r="V604">
        <v>1</v>
      </c>
      <c r="W604" t="s">
        <v>43</v>
      </c>
      <c r="X604">
        <v>11</v>
      </c>
      <c r="Y604">
        <v>3</v>
      </c>
      <c r="Z604">
        <v>3</v>
      </c>
      <c r="AA604">
        <v>0</v>
      </c>
      <c r="AB604">
        <v>6</v>
      </c>
      <c r="AC604">
        <v>3</v>
      </c>
      <c r="AD604" t="s">
        <v>74</v>
      </c>
      <c r="AE604">
        <v>6</v>
      </c>
      <c r="AF604" t="str" cm="1">
        <f t="array" ref="AF604">_xlfn.IFS(AE604&gt;=10,"Veteran (10y+)",AE604&gt;=3,"Established (3-10y)",AE604&lt;3,"New Hire (&lt;3y)")</f>
        <v>Established (3-10y)</v>
      </c>
      <c r="AG604">
        <v>5</v>
      </c>
      <c r="AH604">
        <v>1</v>
      </c>
      <c r="AI604">
        <v>3</v>
      </c>
    </row>
    <row r="605" spans="1:35">
      <c r="A605">
        <v>34</v>
      </c>
      <c r="B605" t="str">
        <f t="shared" si="9"/>
        <v>Middle Aged</v>
      </c>
      <c r="C605">
        <v>0</v>
      </c>
      <c r="D605" t="s">
        <v>36</v>
      </c>
      <c r="E605">
        <v>1111</v>
      </c>
      <c r="F605" t="s">
        <v>37</v>
      </c>
      <c r="G605">
        <v>8</v>
      </c>
      <c r="H605" t="str" cm="1">
        <f t="array" ref="H605">_xlfn.IFS(G605&gt;15,"Long Commute",G605&gt;5,"Moderate",G605&lt;=5,"Near Office")</f>
        <v>Moderate</v>
      </c>
      <c r="I605" t="s">
        <v>76</v>
      </c>
      <c r="J605" t="s">
        <v>38</v>
      </c>
      <c r="K605">
        <v>3</v>
      </c>
      <c r="L605" t="s">
        <v>39</v>
      </c>
      <c r="M605">
        <v>93</v>
      </c>
      <c r="N605">
        <v>3</v>
      </c>
      <c r="O605">
        <v>2</v>
      </c>
      <c r="P605" t="s">
        <v>40</v>
      </c>
      <c r="Q605" t="s">
        <v>82</v>
      </c>
      <c r="R605" t="s">
        <v>48</v>
      </c>
      <c r="S605">
        <v>6500</v>
      </c>
      <c r="T605" t="str" cm="1">
        <f t="array" ref="T605">_xlfn.IFS(S605&gt;=10000,"High (&gt;10k)",S605&gt;=5000,"Medium (5k-10k)",S605&lt;5000,"Low (&lt;5k)")</f>
        <v>Medium (5k-10k)</v>
      </c>
      <c r="U605">
        <v>13305</v>
      </c>
      <c r="V605">
        <v>5</v>
      </c>
      <c r="W605" t="s">
        <v>43</v>
      </c>
      <c r="X605">
        <v>17</v>
      </c>
      <c r="Y605">
        <v>3</v>
      </c>
      <c r="Z605">
        <v>2</v>
      </c>
      <c r="AA605">
        <v>1</v>
      </c>
      <c r="AB605">
        <v>6</v>
      </c>
      <c r="AC605">
        <v>1</v>
      </c>
      <c r="AD605" t="s">
        <v>74</v>
      </c>
      <c r="AE605">
        <v>3</v>
      </c>
      <c r="AF605" t="str" cm="1">
        <f t="array" ref="AF605">_xlfn.IFS(AE605&gt;=10,"Veteran (10y+)",AE605&gt;=3,"Established (3-10y)",AE605&lt;3,"New Hire (&lt;3y)")</f>
        <v>Established (3-10y)</v>
      </c>
      <c r="AG605">
        <v>2</v>
      </c>
      <c r="AH605">
        <v>1</v>
      </c>
      <c r="AI605">
        <v>2</v>
      </c>
    </row>
    <row r="606" spans="1:35">
      <c r="A606">
        <v>34</v>
      </c>
      <c r="B606" t="str">
        <f t="shared" si="9"/>
        <v>Middle Aged</v>
      </c>
      <c r="C606">
        <v>0</v>
      </c>
      <c r="D606" t="s">
        <v>44</v>
      </c>
      <c r="E606">
        <v>702</v>
      </c>
      <c r="F606" t="s">
        <v>45</v>
      </c>
      <c r="G606">
        <v>16</v>
      </c>
      <c r="H606" t="str" cm="1">
        <f t="array" ref="H606">_xlfn.IFS(G606&gt;15,"Long Commute",G606&gt;5,"Moderate",G606&lt;=5,"Near Office")</f>
        <v>Long Commute</v>
      </c>
      <c r="I606" t="s">
        <v>83</v>
      </c>
      <c r="J606" t="s">
        <v>38</v>
      </c>
      <c r="K606">
        <v>3</v>
      </c>
      <c r="L606" t="s">
        <v>39</v>
      </c>
      <c r="M606">
        <v>100</v>
      </c>
      <c r="N606">
        <v>2</v>
      </c>
      <c r="O606">
        <v>1</v>
      </c>
      <c r="P606" t="s">
        <v>47</v>
      </c>
      <c r="Q606" t="s">
        <v>77</v>
      </c>
      <c r="R606" t="s">
        <v>41</v>
      </c>
      <c r="S606">
        <v>2553</v>
      </c>
      <c r="T606" t="str" cm="1">
        <f t="array" ref="T606">_xlfn.IFS(S606&gt;=10000,"High (&gt;10k)",S606&gt;=5000,"Medium (5k-10k)",S606&lt;5000,"Low (&lt;5k)")</f>
        <v>Low (&lt;5k)</v>
      </c>
      <c r="U606">
        <v>8306</v>
      </c>
      <c r="V606">
        <v>1</v>
      </c>
      <c r="W606" t="s">
        <v>43</v>
      </c>
      <c r="X606">
        <v>16</v>
      </c>
      <c r="Y606">
        <v>3</v>
      </c>
      <c r="Z606">
        <v>3</v>
      </c>
      <c r="AA606">
        <v>0</v>
      </c>
      <c r="AB606">
        <v>6</v>
      </c>
      <c r="AC606">
        <v>3</v>
      </c>
      <c r="AD606" t="s">
        <v>74</v>
      </c>
      <c r="AE606">
        <v>5</v>
      </c>
      <c r="AF606" t="str" cm="1">
        <f t="array" ref="AF606">_xlfn.IFS(AE606&gt;=10,"Veteran (10y+)",AE606&gt;=3,"Established (3-10y)",AE606&lt;3,"New Hire (&lt;3y)")</f>
        <v>Established (3-10y)</v>
      </c>
      <c r="AG606">
        <v>2</v>
      </c>
      <c r="AH606">
        <v>1</v>
      </c>
      <c r="AI606">
        <v>3</v>
      </c>
    </row>
    <row r="607" spans="1:35">
      <c r="A607">
        <v>34</v>
      </c>
      <c r="B607" t="str">
        <f t="shared" si="9"/>
        <v>Middle Aged</v>
      </c>
      <c r="C607">
        <v>0</v>
      </c>
      <c r="D607" t="s">
        <v>36</v>
      </c>
      <c r="E607">
        <v>829</v>
      </c>
      <c r="F607" t="s">
        <v>61</v>
      </c>
      <c r="G607">
        <v>3</v>
      </c>
      <c r="H607" t="str" cm="1">
        <f t="array" ref="H607">_xlfn.IFS(G607&gt;15,"Long Commute",G607&gt;5,"Moderate",G607&lt;=5,"Near Office")</f>
        <v>Near Office</v>
      </c>
      <c r="I607" t="s">
        <v>76</v>
      </c>
      <c r="J607" t="s">
        <v>61</v>
      </c>
      <c r="K607">
        <v>3</v>
      </c>
      <c r="L607" t="s">
        <v>46</v>
      </c>
      <c r="M607">
        <v>88</v>
      </c>
      <c r="N607">
        <v>3</v>
      </c>
      <c r="O607">
        <v>1</v>
      </c>
      <c r="P607" t="s">
        <v>61</v>
      </c>
      <c r="Q607" t="s">
        <v>77</v>
      </c>
      <c r="R607" t="s">
        <v>48</v>
      </c>
      <c r="S607">
        <v>3737</v>
      </c>
      <c r="T607" t="str" cm="1">
        <f t="array" ref="T607">_xlfn.IFS(S607&gt;=10000,"High (&gt;10k)",S607&gt;=5000,"Medium (5k-10k)",S607&lt;5000,"Low (&lt;5k)")</f>
        <v>Low (&lt;5k)</v>
      </c>
      <c r="U607">
        <v>2243</v>
      </c>
      <c r="V607">
        <v>0</v>
      </c>
      <c r="W607" t="s">
        <v>43</v>
      </c>
      <c r="X607">
        <v>19</v>
      </c>
      <c r="Y607">
        <v>3</v>
      </c>
      <c r="Z607">
        <v>3</v>
      </c>
      <c r="AA607">
        <v>1</v>
      </c>
      <c r="AB607">
        <v>4</v>
      </c>
      <c r="AC607">
        <v>1</v>
      </c>
      <c r="AD607" t="s">
        <v>80</v>
      </c>
      <c r="AE607">
        <v>3</v>
      </c>
      <c r="AF607" t="str" cm="1">
        <f t="array" ref="AF607">_xlfn.IFS(AE607&gt;=10,"Veteran (10y+)",AE607&gt;=3,"Established (3-10y)",AE607&lt;3,"New Hire (&lt;3y)")</f>
        <v>Established (3-10y)</v>
      </c>
      <c r="AG607">
        <v>2</v>
      </c>
      <c r="AH607">
        <v>0</v>
      </c>
      <c r="AI607">
        <v>2</v>
      </c>
    </row>
    <row r="608" spans="1:35">
      <c r="A608">
        <v>34</v>
      </c>
      <c r="B608" t="str">
        <f t="shared" si="9"/>
        <v>Middle Aged</v>
      </c>
      <c r="C608">
        <v>0</v>
      </c>
      <c r="D608" t="s">
        <v>36</v>
      </c>
      <c r="E608">
        <v>546</v>
      </c>
      <c r="F608" t="s">
        <v>45</v>
      </c>
      <c r="G608">
        <v>10</v>
      </c>
      <c r="H608" t="str" cm="1">
        <f t="array" ref="H608">_xlfn.IFS(G608&gt;15,"Long Commute",G608&gt;5,"Moderate",G608&lt;=5,"Near Office")</f>
        <v>Moderate</v>
      </c>
      <c r="I608" t="s">
        <v>72</v>
      </c>
      <c r="J608" t="s">
        <v>38</v>
      </c>
      <c r="K608">
        <v>2</v>
      </c>
      <c r="L608" t="s">
        <v>46</v>
      </c>
      <c r="M608">
        <v>83</v>
      </c>
      <c r="N608">
        <v>3</v>
      </c>
      <c r="O608">
        <v>1</v>
      </c>
      <c r="P608" t="s">
        <v>50</v>
      </c>
      <c r="Q608" t="s">
        <v>75</v>
      </c>
      <c r="R608" t="s">
        <v>52</v>
      </c>
      <c r="S608">
        <v>2008</v>
      </c>
      <c r="T608" t="str" cm="1">
        <f t="array" ref="T608">_xlfn.IFS(S608&gt;=10000,"High (&gt;10k)",S608&gt;=5000,"Medium (5k-10k)",S608&lt;5000,"Low (&lt;5k)")</f>
        <v>Low (&lt;5k)</v>
      </c>
      <c r="U608">
        <v>6896</v>
      </c>
      <c r="V608">
        <v>1</v>
      </c>
      <c r="W608" t="s">
        <v>43</v>
      </c>
      <c r="X608">
        <v>14</v>
      </c>
      <c r="Y608">
        <v>3</v>
      </c>
      <c r="Z608">
        <v>2</v>
      </c>
      <c r="AA608">
        <v>2</v>
      </c>
      <c r="AB608">
        <v>1</v>
      </c>
      <c r="AC608">
        <v>3</v>
      </c>
      <c r="AD608" t="s">
        <v>74</v>
      </c>
      <c r="AE608">
        <v>1</v>
      </c>
      <c r="AF608" t="str" cm="1">
        <f t="array" ref="AF608">_xlfn.IFS(AE608&gt;=10,"Veteran (10y+)",AE608&gt;=3,"Established (3-10y)",AE608&lt;3,"New Hire (&lt;3y)")</f>
        <v>New Hire (&lt;3y)</v>
      </c>
      <c r="AG608">
        <v>0</v>
      </c>
      <c r="AH608">
        <v>1</v>
      </c>
      <c r="AI608">
        <v>0</v>
      </c>
    </row>
    <row r="609" spans="1:35">
      <c r="A609">
        <v>34</v>
      </c>
      <c r="B609" t="str">
        <f t="shared" si="9"/>
        <v>Middle Aged</v>
      </c>
      <c r="C609">
        <v>0</v>
      </c>
      <c r="D609" t="s">
        <v>36</v>
      </c>
      <c r="E609">
        <v>216</v>
      </c>
      <c r="F609" t="s">
        <v>37</v>
      </c>
      <c r="G609">
        <v>1</v>
      </c>
      <c r="H609" t="str" cm="1">
        <f t="array" ref="H609">_xlfn.IFS(G609&gt;15,"Long Commute",G609&gt;5,"Moderate",G609&lt;=5,"Near Office")</f>
        <v>Near Office</v>
      </c>
      <c r="I609" t="s">
        <v>83</v>
      </c>
      <c r="J609" t="s">
        <v>59</v>
      </c>
      <c r="K609">
        <v>2</v>
      </c>
      <c r="L609" t="s">
        <v>46</v>
      </c>
      <c r="M609">
        <v>75</v>
      </c>
      <c r="N609">
        <v>4</v>
      </c>
      <c r="O609">
        <v>2</v>
      </c>
      <c r="P609" t="s">
        <v>40</v>
      </c>
      <c r="Q609" t="s">
        <v>77</v>
      </c>
      <c r="R609" t="s">
        <v>52</v>
      </c>
      <c r="S609">
        <v>9725</v>
      </c>
      <c r="T609" t="str" cm="1">
        <f t="array" ref="T609">_xlfn.IFS(S609&gt;=10000,"High (&gt;10k)",S609&gt;=5000,"Medium (5k-10k)",S609&lt;5000,"Low (&lt;5k)")</f>
        <v>Medium (5k-10k)</v>
      </c>
      <c r="U609">
        <v>12278</v>
      </c>
      <c r="V609">
        <v>0</v>
      </c>
      <c r="W609" t="s">
        <v>43</v>
      </c>
      <c r="X609">
        <v>11</v>
      </c>
      <c r="Y609">
        <v>3</v>
      </c>
      <c r="Z609">
        <v>4</v>
      </c>
      <c r="AA609">
        <v>1</v>
      </c>
      <c r="AB609">
        <v>16</v>
      </c>
      <c r="AC609">
        <v>2</v>
      </c>
      <c r="AD609" t="s">
        <v>81</v>
      </c>
      <c r="AE609">
        <v>15</v>
      </c>
      <c r="AF609" t="str" cm="1">
        <f t="array" ref="AF609">_xlfn.IFS(AE609&gt;=10,"Veteran (10y+)",AE609&gt;=3,"Established (3-10y)",AE609&lt;3,"New Hire (&lt;3y)")</f>
        <v>Veteran (10y+)</v>
      </c>
      <c r="AG609">
        <v>1</v>
      </c>
      <c r="AH609">
        <v>0</v>
      </c>
      <c r="AI609">
        <v>9</v>
      </c>
    </row>
    <row r="610" spans="1:35">
      <c r="A610">
        <v>34</v>
      </c>
      <c r="B610" t="str">
        <f t="shared" si="9"/>
        <v>Middle Aged</v>
      </c>
      <c r="C610">
        <v>0</v>
      </c>
      <c r="D610" t="s">
        <v>36</v>
      </c>
      <c r="E610">
        <v>1333</v>
      </c>
      <c r="F610" t="s">
        <v>37</v>
      </c>
      <c r="G610">
        <v>10</v>
      </c>
      <c r="H610" t="str" cm="1">
        <f t="array" ref="H610">_xlfn.IFS(G610&gt;15,"Long Commute",G610&gt;5,"Moderate",G610&lt;=5,"Near Office")</f>
        <v>Moderate</v>
      </c>
      <c r="I610" t="s">
        <v>83</v>
      </c>
      <c r="J610" t="s">
        <v>38</v>
      </c>
      <c r="K610">
        <v>3</v>
      </c>
      <c r="L610" t="s">
        <v>39</v>
      </c>
      <c r="M610">
        <v>87</v>
      </c>
      <c r="N610">
        <v>3</v>
      </c>
      <c r="O610">
        <v>1</v>
      </c>
      <c r="P610" t="s">
        <v>57</v>
      </c>
      <c r="Q610" t="s">
        <v>73</v>
      </c>
      <c r="R610" t="s">
        <v>48</v>
      </c>
      <c r="S610">
        <v>2220</v>
      </c>
      <c r="T610" t="str" cm="1">
        <f t="array" ref="T610">_xlfn.IFS(S610&gt;=10000,"High (&gt;10k)",S610&gt;=5000,"Medium (5k-10k)",S610&lt;5000,"Low (&lt;5k)")</f>
        <v>Low (&lt;5k)</v>
      </c>
      <c r="U610">
        <v>18410</v>
      </c>
      <c r="V610">
        <v>1</v>
      </c>
      <c r="W610" t="s">
        <v>35</v>
      </c>
      <c r="X610">
        <v>19</v>
      </c>
      <c r="Y610">
        <v>3</v>
      </c>
      <c r="Z610">
        <v>4</v>
      </c>
      <c r="AA610">
        <v>1</v>
      </c>
      <c r="AB610">
        <v>1</v>
      </c>
      <c r="AC610">
        <v>2</v>
      </c>
      <c r="AD610" t="s">
        <v>74</v>
      </c>
      <c r="AE610">
        <v>1</v>
      </c>
      <c r="AF610" t="str" cm="1">
        <f t="array" ref="AF610">_xlfn.IFS(AE610&gt;=10,"Veteran (10y+)",AE610&gt;=3,"Established (3-10y)",AE610&lt;3,"New Hire (&lt;3y)")</f>
        <v>New Hire (&lt;3y)</v>
      </c>
      <c r="AG610">
        <v>1</v>
      </c>
      <c r="AH610">
        <v>0</v>
      </c>
      <c r="AI610">
        <v>0</v>
      </c>
    </row>
    <row r="611" spans="1:35">
      <c r="A611">
        <v>34</v>
      </c>
      <c r="B611" t="str">
        <f t="shared" si="9"/>
        <v>Middle Aged</v>
      </c>
      <c r="C611">
        <v>0</v>
      </c>
      <c r="D611" t="s">
        <v>44</v>
      </c>
      <c r="E611">
        <v>618</v>
      </c>
      <c r="F611" t="s">
        <v>45</v>
      </c>
      <c r="G611">
        <v>3</v>
      </c>
      <c r="H611" t="str" cm="1">
        <f t="array" ref="H611">_xlfn.IFS(G611&gt;15,"Long Commute",G611&gt;5,"Moderate",G611&lt;=5,"Near Office")</f>
        <v>Near Office</v>
      </c>
      <c r="I611" t="s">
        <v>78</v>
      </c>
      <c r="J611" t="s">
        <v>38</v>
      </c>
      <c r="K611">
        <v>1</v>
      </c>
      <c r="L611" t="s">
        <v>46</v>
      </c>
      <c r="M611">
        <v>45</v>
      </c>
      <c r="N611">
        <v>3</v>
      </c>
      <c r="O611">
        <v>2</v>
      </c>
      <c r="P611" t="s">
        <v>54</v>
      </c>
      <c r="Q611" t="s">
        <v>77</v>
      </c>
      <c r="R611" t="s">
        <v>41</v>
      </c>
      <c r="S611">
        <v>7756</v>
      </c>
      <c r="T611" t="str" cm="1">
        <f t="array" ref="T611">_xlfn.IFS(S611&gt;=10000,"High (&gt;10k)",S611&gt;=5000,"Medium (5k-10k)",S611&lt;5000,"Low (&lt;5k)")</f>
        <v>Medium (5k-10k)</v>
      </c>
      <c r="U611">
        <v>22266</v>
      </c>
      <c r="V611">
        <v>0</v>
      </c>
      <c r="W611" t="s">
        <v>43</v>
      </c>
      <c r="X611">
        <v>17</v>
      </c>
      <c r="Y611">
        <v>3</v>
      </c>
      <c r="Z611">
        <v>3</v>
      </c>
      <c r="AA611">
        <v>0</v>
      </c>
      <c r="AB611">
        <v>7</v>
      </c>
      <c r="AC611">
        <v>1</v>
      </c>
      <c r="AD611" t="s">
        <v>81</v>
      </c>
      <c r="AE611">
        <v>6</v>
      </c>
      <c r="AF611" t="str" cm="1">
        <f t="array" ref="AF611">_xlfn.IFS(AE611&gt;=10,"Veteran (10y+)",AE611&gt;=3,"Established (3-10y)",AE611&lt;3,"New Hire (&lt;3y)")</f>
        <v>Established (3-10y)</v>
      </c>
      <c r="AG611">
        <v>2</v>
      </c>
      <c r="AH611">
        <v>0</v>
      </c>
      <c r="AI611">
        <v>4</v>
      </c>
    </row>
    <row r="612" spans="1:35">
      <c r="A612">
        <v>34</v>
      </c>
      <c r="B612" t="str">
        <f t="shared" si="9"/>
        <v>Middle Aged</v>
      </c>
      <c r="C612">
        <v>0</v>
      </c>
      <c r="D612" t="s">
        <v>55</v>
      </c>
      <c r="E612">
        <v>697</v>
      </c>
      <c r="F612" t="s">
        <v>45</v>
      </c>
      <c r="G612">
        <v>3</v>
      </c>
      <c r="H612" t="str" cm="1">
        <f t="array" ref="H612">_xlfn.IFS(G612&gt;15,"Long Commute",G612&gt;5,"Moderate",G612&lt;=5,"Near Office")</f>
        <v>Near Office</v>
      </c>
      <c r="I612" t="s">
        <v>83</v>
      </c>
      <c r="J612" t="s">
        <v>38</v>
      </c>
      <c r="K612">
        <v>3</v>
      </c>
      <c r="L612" t="s">
        <v>46</v>
      </c>
      <c r="M612">
        <v>40</v>
      </c>
      <c r="N612">
        <v>2</v>
      </c>
      <c r="O612">
        <v>1</v>
      </c>
      <c r="P612" t="s">
        <v>47</v>
      </c>
      <c r="Q612" t="s">
        <v>77</v>
      </c>
      <c r="R612" t="s">
        <v>48</v>
      </c>
      <c r="S612">
        <v>2979</v>
      </c>
      <c r="T612" t="str" cm="1">
        <f t="array" ref="T612">_xlfn.IFS(S612&gt;=10000,"High (&gt;10k)",S612&gt;=5000,"Medium (5k-10k)",S612&lt;5000,"Low (&lt;5k)")</f>
        <v>Low (&lt;5k)</v>
      </c>
      <c r="U612">
        <v>22478</v>
      </c>
      <c r="V612">
        <v>3</v>
      </c>
      <c r="W612" t="s">
        <v>43</v>
      </c>
      <c r="X612">
        <v>17</v>
      </c>
      <c r="Y612">
        <v>3</v>
      </c>
      <c r="Z612">
        <v>4</v>
      </c>
      <c r="AA612">
        <v>3</v>
      </c>
      <c r="AB612">
        <v>6</v>
      </c>
      <c r="AC612">
        <v>2</v>
      </c>
      <c r="AD612" t="s">
        <v>74</v>
      </c>
      <c r="AE612">
        <v>0</v>
      </c>
      <c r="AF612" t="str" cm="1">
        <f t="array" ref="AF612">_xlfn.IFS(AE612&gt;=10,"Veteran (10y+)",AE612&gt;=3,"Established (3-10y)",AE612&lt;3,"New Hire (&lt;3y)")</f>
        <v>New Hire (&lt;3y)</v>
      </c>
      <c r="AG612">
        <v>0</v>
      </c>
      <c r="AH612">
        <v>0</v>
      </c>
      <c r="AI612">
        <v>0</v>
      </c>
    </row>
    <row r="613" spans="1:35">
      <c r="A613">
        <v>34</v>
      </c>
      <c r="B613" t="str">
        <f t="shared" si="9"/>
        <v>Middle Aged</v>
      </c>
      <c r="C613">
        <v>0</v>
      </c>
      <c r="D613" t="s">
        <v>44</v>
      </c>
      <c r="E613">
        <v>1003</v>
      </c>
      <c r="F613" t="s">
        <v>45</v>
      </c>
      <c r="G613">
        <v>2</v>
      </c>
      <c r="H613" t="str" cm="1">
        <f t="array" ref="H613">_xlfn.IFS(G613&gt;15,"Long Commute",G613&gt;5,"Moderate",G613&lt;=5,"Near Office")</f>
        <v>Near Office</v>
      </c>
      <c r="I613" t="s">
        <v>76</v>
      </c>
      <c r="J613" t="s">
        <v>38</v>
      </c>
      <c r="K613">
        <v>4</v>
      </c>
      <c r="L613" t="s">
        <v>46</v>
      </c>
      <c r="M613">
        <v>95</v>
      </c>
      <c r="N613">
        <v>3</v>
      </c>
      <c r="O613">
        <v>2</v>
      </c>
      <c r="P613" t="s">
        <v>53</v>
      </c>
      <c r="Q613" t="s">
        <v>73</v>
      </c>
      <c r="R613" t="s">
        <v>41</v>
      </c>
      <c r="S613">
        <v>4033</v>
      </c>
      <c r="T613" t="str" cm="1">
        <f t="array" ref="T613">_xlfn.IFS(S613&gt;=10000,"High (&gt;10k)",S613&gt;=5000,"Medium (5k-10k)",S613&lt;5000,"Low (&lt;5k)")</f>
        <v>Low (&lt;5k)</v>
      </c>
      <c r="U613">
        <v>15834</v>
      </c>
      <c r="V613">
        <v>2</v>
      </c>
      <c r="W613" t="s">
        <v>43</v>
      </c>
      <c r="X613">
        <v>11</v>
      </c>
      <c r="Y613">
        <v>3</v>
      </c>
      <c r="Z613">
        <v>4</v>
      </c>
      <c r="AA613">
        <v>0</v>
      </c>
      <c r="AB613">
        <v>5</v>
      </c>
      <c r="AC613">
        <v>3</v>
      </c>
      <c r="AD613" t="s">
        <v>81</v>
      </c>
      <c r="AE613">
        <v>3</v>
      </c>
      <c r="AF613" t="str" cm="1">
        <f t="array" ref="AF613">_xlfn.IFS(AE613&gt;=10,"Veteran (10y+)",AE613&gt;=3,"Established (3-10y)",AE613&lt;3,"New Hire (&lt;3y)")</f>
        <v>Established (3-10y)</v>
      </c>
      <c r="AG613">
        <v>2</v>
      </c>
      <c r="AH613">
        <v>0</v>
      </c>
      <c r="AI613">
        <v>2</v>
      </c>
    </row>
    <row r="614" spans="1:35">
      <c r="A614">
        <v>34</v>
      </c>
      <c r="B614" t="str">
        <f t="shared" si="9"/>
        <v>Middle Aged</v>
      </c>
      <c r="C614">
        <v>0</v>
      </c>
      <c r="D614" t="s">
        <v>36</v>
      </c>
      <c r="E614">
        <v>1400</v>
      </c>
      <c r="F614" t="s">
        <v>37</v>
      </c>
      <c r="G614">
        <v>9</v>
      </c>
      <c r="H614" t="str" cm="1">
        <f t="array" ref="H614">_xlfn.IFS(G614&gt;15,"Long Commute",G614&gt;5,"Moderate",G614&lt;=5,"Near Office")</f>
        <v>Moderate</v>
      </c>
      <c r="I614" t="s">
        <v>78</v>
      </c>
      <c r="J614" t="s">
        <v>38</v>
      </c>
      <c r="K614">
        <v>2</v>
      </c>
      <c r="L614" t="s">
        <v>39</v>
      </c>
      <c r="M614">
        <v>70</v>
      </c>
      <c r="N614">
        <v>3</v>
      </c>
      <c r="O614">
        <v>2</v>
      </c>
      <c r="P614" t="s">
        <v>40</v>
      </c>
      <c r="Q614" t="s">
        <v>73</v>
      </c>
      <c r="R614" t="s">
        <v>48</v>
      </c>
      <c r="S614">
        <v>5714</v>
      </c>
      <c r="T614" t="str" cm="1">
        <f t="array" ref="T614">_xlfn.IFS(S614&gt;=10000,"High (&gt;10k)",S614&gt;=5000,"Medium (5k-10k)",S614&lt;5000,"Low (&lt;5k)")</f>
        <v>Medium (5k-10k)</v>
      </c>
      <c r="U614">
        <v>5829</v>
      </c>
      <c r="V614">
        <v>1</v>
      </c>
      <c r="W614" t="s">
        <v>43</v>
      </c>
      <c r="X614">
        <v>20</v>
      </c>
      <c r="Y614">
        <v>4</v>
      </c>
      <c r="Z614">
        <v>1</v>
      </c>
      <c r="AA614">
        <v>0</v>
      </c>
      <c r="AB614">
        <v>6</v>
      </c>
      <c r="AC614">
        <v>3</v>
      </c>
      <c r="AD614" t="s">
        <v>81</v>
      </c>
      <c r="AE614">
        <v>6</v>
      </c>
      <c r="AF614" t="str" cm="1">
        <f t="array" ref="AF614">_xlfn.IFS(AE614&gt;=10,"Veteran (10y+)",AE614&gt;=3,"Established (3-10y)",AE614&lt;3,"New Hire (&lt;3y)")</f>
        <v>Established (3-10y)</v>
      </c>
      <c r="AG614">
        <v>5</v>
      </c>
      <c r="AH614">
        <v>1</v>
      </c>
      <c r="AI614">
        <v>3</v>
      </c>
    </row>
    <row r="615" spans="1:35">
      <c r="A615">
        <v>34</v>
      </c>
      <c r="B615" t="str">
        <f t="shared" si="9"/>
        <v>Middle Aged</v>
      </c>
      <c r="C615">
        <v>0</v>
      </c>
      <c r="D615" t="s">
        <v>44</v>
      </c>
      <c r="E615">
        <v>669</v>
      </c>
      <c r="F615" t="s">
        <v>45</v>
      </c>
      <c r="G615">
        <v>1</v>
      </c>
      <c r="H615" t="str" cm="1">
        <f t="array" ref="H615">_xlfn.IFS(G615&gt;15,"Long Commute",G615&gt;5,"Moderate",G615&lt;=5,"Near Office")</f>
        <v>Near Office</v>
      </c>
      <c r="I615" t="s">
        <v>72</v>
      </c>
      <c r="J615" t="s">
        <v>51</v>
      </c>
      <c r="K615">
        <v>4</v>
      </c>
      <c r="L615" t="s">
        <v>46</v>
      </c>
      <c r="M615">
        <v>97</v>
      </c>
      <c r="N615">
        <v>2</v>
      </c>
      <c r="O615">
        <v>2</v>
      </c>
      <c r="P615" t="s">
        <v>54</v>
      </c>
      <c r="Q615" t="s">
        <v>82</v>
      </c>
      <c r="R615" t="s">
        <v>41</v>
      </c>
      <c r="S615">
        <v>5343</v>
      </c>
      <c r="T615" t="str" cm="1">
        <f t="array" ref="T615">_xlfn.IFS(S615&gt;=10000,"High (&gt;10k)",S615&gt;=5000,"Medium (5k-10k)",S615&lt;5000,"Low (&lt;5k)")</f>
        <v>Medium (5k-10k)</v>
      </c>
      <c r="U615">
        <v>25755</v>
      </c>
      <c r="V615">
        <v>0</v>
      </c>
      <c r="W615" t="s">
        <v>43</v>
      </c>
      <c r="X615">
        <v>20</v>
      </c>
      <c r="Y615">
        <v>4</v>
      </c>
      <c r="Z615">
        <v>3</v>
      </c>
      <c r="AA615">
        <v>0</v>
      </c>
      <c r="AB615">
        <v>14</v>
      </c>
      <c r="AC615">
        <v>3</v>
      </c>
      <c r="AD615" t="s">
        <v>74</v>
      </c>
      <c r="AE615">
        <v>13</v>
      </c>
      <c r="AF615" t="str" cm="1">
        <f t="array" ref="AF615">_xlfn.IFS(AE615&gt;=10,"Veteran (10y+)",AE615&gt;=3,"Established (3-10y)",AE615&lt;3,"New Hire (&lt;3y)")</f>
        <v>Veteran (10y+)</v>
      </c>
      <c r="AG615">
        <v>9</v>
      </c>
      <c r="AH615">
        <v>4</v>
      </c>
      <c r="AI615">
        <v>9</v>
      </c>
    </row>
    <row r="616" spans="1:35">
      <c r="A616">
        <v>34</v>
      </c>
      <c r="B616" t="str">
        <f t="shared" si="9"/>
        <v>Middle Aged</v>
      </c>
      <c r="C616">
        <v>0</v>
      </c>
      <c r="D616" t="s">
        <v>36</v>
      </c>
      <c r="E616">
        <v>1320</v>
      </c>
      <c r="F616" t="s">
        <v>45</v>
      </c>
      <c r="G616">
        <v>20</v>
      </c>
      <c r="H616" t="str" cm="1">
        <f t="array" ref="H616">_xlfn.IFS(G616&gt;15,"Long Commute",G616&gt;5,"Moderate",G616&lt;=5,"Near Office")</f>
        <v>Long Commute</v>
      </c>
      <c r="I616" t="s">
        <v>72</v>
      </c>
      <c r="J616" t="s">
        <v>60</v>
      </c>
      <c r="K616">
        <v>3</v>
      </c>
      <c r="L616" t="s">
        <v>39</v>
      </c>
      <c r="M616">
        <v>89</v>
      </c>
      <c r="N616">
        <v>4</v>
      </c>
      <c r="O616">
        <v>1</v>
      </c>
      <c r="P616" t="s">
        <v>47</v>
      </c>
      <c r="Q616" t="s">
        <v>73</v>
      </c>
      <c r="R616" t="s">
        <v>48</v>
      </c>
      <c r="S616">
        <v>2585</v>
      </c>
      <c r="T616" t="str" cm="1">
        <f t="array" ref="T616">_xlfn.IFS(S616&gt;=10000,"High (&gt;10k)",S616&gt;=5000,"Medium (5k-10k)",S616&lt;5000,"Low (&lt;5k)")</f>
        <v>Low (&lt;5k)</v>
      </c>
      <c r="U616">
        <v>21643</v>
      </c>
      <c r="V616">
        <v>0</v>
      </c>
      <c r="W616" t="s">
        <v>43</v>
      </c>
      <c r="X616">
        <v>17</v>
      </c>
      <c r="Y616">
        <v>3</v>
      </c>
      <c r="Z616">
        <v>4</v>
      </c>
      <c r="AA616">
        <v>0</v>
      </c>
      <c r="AB616">
        <v>2</v>
      </c>
      <c r="AC616">
        <v>5</v>
      </c>
      <c r="AD616" t="s">
        <v>81</v>
      </c>
      <c r="AE616">
        <v>1</v>
      </c>
      <c r="AF616" t="str" cm="1">
        <f t="array" ref="AF616">_xlfn.IFS(AE616&gt;=10,"Veteran (10y+)",AE616&gt;=3,"Established (3-10y)",AE616&lt;3,"New Hire (&lt;3y)")</f>
        <v>New Hire (&lt;3y)</v>
      </c>
      <c r="AG616">
        <v>0</v>
      </c>
      <c r="AH616">
        <v>0</v>
      </c>
      <c r="AI616">
        <v>0</v>
      </c>
    </row>
    <row r="617" spans="1:35">
      <c r="A617">
        <v>34</v>
      </c>
      <c r="B617" t="str">
        <f t="shared" si="9"/>
        <v>Middle Aged</v>
      </c>
      <c r="C617">
        <v>0</v>
      </c>
      <c r="D617" t="s">
        <v>36</v>
      </c>
      <c r="E617">
        <v>131</v>
      </c>
      <c r="F617" t="s">
        <v>37</v>
      </c>
      <c r="G617">
        <v>2</v>
      </c>
      <c r="H617" t="str" cm="1">
        <f t="array" ref="H617">_xlfn.IFS(G617&gt;15,"Long Commute",G617&gt;5,"Moderate",G617&lt;=5,"Near Office")</f>
        <v>Near Office</v>
      </c>
      <c r="I617" t="s">
        <v>72</v>
      </c>
      <c r="J617" t="s">
        <v>59</v>
      </c>
      <c r="K617">
        <v>3</v>
      </c>
      <c r="L617" t="s">
        <v>39</v>
      </c>
      <c r="M617">
        <v>86</v>
      </c>
      <c r="N617">
        <v>3</v>
      </c>
      <c r="O617">
        <v>2</v>
      </c>
      <c r="P617" t="s">
        <v>40</v>
      </c>
      <c r="Q617" t="s">
        <v>82</v>
      </c>
      <c r="R617" t="s">
        <v>41</v>
      </c>
      <c r="S617">
        <v>4538</v>
      </c>
      <c r="T617" t="str" cm="1">
        <f t="array" ref="T617">_xlfn.IFS(S617&gt;=10000,"High (&gt;10k)",S617&gt;=5000,"Medium (5k-10k)",S617&lt;5000,"Low (&lt;5k)")</f>
        <v>Low (&lt;5k)</v>
      </c>
      <c r="U617">
        <v>6039</v>
      </c>
      <c r="V617">
        <v>0</v>
      </c>
      <c r="W617" t="s">
        <v>35</v>
      </c>
      <c r="X617">
        <v>12</v>
      </c>
      <c r="Y617">
        <v>3</v>
      </c>
      <c r="Z617">
        <v>4</v>
      </c>
      <c r="AA617">
        <v>0</v>
      </c>
      <c r="AB617">
        <v>4</v>
      </c>
      <c r="AC617">
        <v>3</v>
      </c>
      <c r="AD617" t="s">
        <v>74</v>
      </c>
      <c r="AE617">
        <v>3</v>
      </c>
      <c r="AF617" t="str" cm="1">
        <f t="array" ref="AF617">_xlfn.IFS(AE617&gt;=10,"Veteran (10y+)",AE617&gt;=3,"Established (3-10y)",AE617&lt;3,"New Hire (&lt;3y)")</f>
        <v>Established (3-10y)</v>
      </c>
      <c r="AG617">
        <v>2</v>
      </c>
      <c r="AH617">
        <v>0</v>
      </c>
      <c r="AI617">
        <v>2</v>
      </c>
    </row>
    <row r="618" spans="1:35">
      <c r="A618">
        <v>34</v>
      </c>
      <c r="B618" t="str">
        <f t="shared" si="9"/>
        <v>Middle Aged</v>
      </c>
      <c r="C618">
        <v>0</v>
      </c>
      <c r="D618" t="s">
        <v>44</v>
      </c>
      <c r="E618">
        <v>135</v>
      </c>
      <c r="F618" t="s">
        <v>45</v>
      </c>
      <c r="G618">
        <v>19</v>
      </c>
      <c r="H618" t="str" cm="1">
        <f t="array" ref="H618">_xlfn.IFS(G618&gt;15,"Long Commute",G618&gt;5,"Moderate",G618&lt;=5,"Near Office")</f>
        <v>Long Commute</v>
      </c>
      <c r="I618" t="s">
        <v>72</v>
      </c>
      <c r="J618" t="s">
        <v>51</v>
      </c>
      <c r="K618">
        <v>3</v>
      </c>
      <c r="L618" t="s">
        <v>39</v>
      </c>
      <c r="M618">
        <v>46</v>
      </c>
      <c r="N618">
        <v>3</v>
      </c>
      <c r="O618">
        <v>2</v>
      </c>
      <c r="P618" t="s">
        <v>50</v>
      </c>
      <c r="Q618" t="s">
        <v>75</v>
      </c>
      <c r="R618" t="s">
        <v>52</v>
      </c>
      <c r="S618">
        <v>4444</v>
      </c>
      <c r="T618" t="str" cm="1">
        <f t="array" ref="T618">_xlfn.IFS(S618&gt;=10000,"High (&gt;10k)",S618&gt;=5000,"Medium (5k-10k)",S618&lt;5000,"Low (&lt;5k)")</f>
        <v>Low (&lt;5k)</v>
      </c>
      <c r="U618">
        <v>22534</v>
      </c>
      <c r="V618">
        <v>4</v>
      </c>
      <c r="W618" t="s">
        <v>43</v>
      </c>
      <c r="X618">
        <v>13</v>
      </c>
      <c r="Y618">
        <v>3</v>
      </c>
      <c r="Z618">
        <v>3</v>
      </c>
      <c r="AA618">
        <v>2</v>
      </c>
      <c r="AB618">
        <v>15</v>
      </c>
      <c r="AC618">
        <v>2</v>
      </c>
      <c r="AD618" t="s">
        <v>79</v>
      </c>
      <c r="AE618">
        <v>11</v>
      </c>
      <c r="AF618" t="str" cm="1">
        <f t="array" ref="AF618">_xlfn.IFS(AE618&gt;=10,"Veteran (10y+)",AE618&gt;=3,"Established (3-10y)",AE618&lt;3,"New Hire (&lt;3y)")</f>
        <v>Veteran (10y+)</v>
      </c>
      <c r="AG618">
        <v>8</v>
      </c>
      <c r="AH618">
        <v>5</v>
      </c>
      <c r="AI618">
        <v>10</v>
      </c>
    </row>
    <row r="619" spans="1:35">
      <c r="A619">
        <v>34</v>
      </c>
      <c r="B619" t="str">
        <f t="shared" si="9"/>
        <v>Middle Aged</v>
      </c>
      <c r="C619">
        <v>0</v>
      </c>
      <c r="D619" t="s">
        <v>44</v>
      </c>
      <c r="E619">
        <v>648</v>
      </c>
      <c r="F619" t="s">
        <v>61</v>
      </c>
      <c r="G619">
        <v>11</v>
      </c>
      <c r="H619" t="str" cm="1">
        <f t="array" ref="H619">_xlfn.IFS(G619&gt;15,"Long Commute",G619&gt;5,"Moderate",G619&lt;=5,"Near Office")</f>
        <v>Moderate</v>
      </c>
      <c r="I619" t="s">
        <v>72</v>
      </c>
      <c r="J619" t="s">
        <v>38</v>
      </c>
      <c r="K619">
        <v>3</v>
      </c>
      <c r="L619" t="s">
        <v>46</v>
      </c>
      <c r="M619">
        <v>56</v>
      </c>
      <c r="N619">
        <v>2</v>
      </c>
      <c r="O619">
        <v>2</v>
      </c>
      <c r="P619" t="s">
        <v>61</v>
      </c>
      <c r="Q619" t="s">
        <v>75</v>
      </c>
      <c r="R619" t="s">
        <v>48</v>
      </c>
      <c r="S619">
        <v>4490</v>
      </c>
      <c r="T619" t="str" cm="1">
        <f t="array" ref="T619">_xlfn.IFS(S619&gt;=10000,"High (&gt;10k)",S619&gt;=5000,"Medium (5k-10k)",S619&lt;5000,"Low (&lt;5k)")</f>
        <v>Low (&lt;5k)</v>
      </c>
      <c r="U619">
        <v>21833</v>
      </c>
      <c r="V619">
        <v>4</v>
      </c>
      <c r="W619" t="s">
        <v>43</v>
      </c>
      <c r="X619">
        <v>11</v>
      </c>
      <c r="Y619">
        <v>3</v>
      </c>
      <c r="Z619">
        <v>4</v>
      </c>
      <c r="AA619">
        <v>2</v>
      </c>
      <c r="AB619">
        <v>14</v>
      </c>
      <c r="AC619">
        <v>5</v>
      </c>
      <c r="AD619" t="s">
        <v>79</v>
      </c>
      <c r="AE619">
        <v>10</v>
      </c>
      <c r="AF619" t="str" cm="1">
        <f t="array" ref="AF619">_xlfn.IFS(AE619&gt;=10,"Veteran (10y+)",AE619&gt;=3,"Established (3-10y)",AE619&lt;3,"New Hire (&lt;3y)")</f>
        <v>Veteran (10y+)</v>
      </c>
      <c r="AG619">
        <v>9</v>
      </c>
      <c r="AH619">
        <v>1</v>
      </c>
      <c r="AI619">
        <v>8</v>
      </c>
    </row>
    <row r="620" spans="1:35">
      <c r="A620">
        <v>34</v>
      </c>
      <c r="B620" t="str">
        <f t="shared" si="9"/>
        <v>Middle Aged</v>
      </c>
      <c r="C620">
        <v>0</v>
      </c>
      <c r="D620" t="s">
        <v>36</v>
      </c>
      <c r="E620">
        <v>943</v>
      </c>
      <c r="F620" t="s">
        <v>45</v>
      </c>
      <c r="G620">
        <v>9</v>
      </c>
      <c r="H620" t="str" cm="1">
        <f t="array" ref="H620">_xlfn.IFS(G620&gt;15,"Long Commute",G620&gt;5,"Moderate",G620&lt;=5,"Near Office")</f>
        <v>Moderate</v>
      </c>
      <c r="I620" t="s">
        <v>72</v>
      </c>
      <c r="J620" t="s">
        <v>38</v>
      </c>
      <c r="K620">
        <v>4</v>
      </c>
      <c r="L620" t="s">
        <v>46</v>
      </c>
      <c r="M620">
        <v>86</v>
      </c>
      <c r="N620">
        <v>3</v>
      </c>
      <c r="O620">
        <v>3</v>
      </c>
      <c r="P620" t="s">
        <v>54</v>
      </c>
      <c r="Q620" t="s">
        <v>77</v>
      </c>
      <c r="R620" t="s">
        <v>52</v>
      </c>
      <c r="S620">
        <v>8500</v>
      </c>
      <c r="T620" t="str" cm="1">
        <f t="array" ref="T620">_xlfn.IFS(S620&gt;=10000,"High (&gt;10k)",S620&gt;=5000,"Medium (5k-10k)",S620&lt;5000,"Low (&lt;5k)")</f>
        <v>Medium (5k-10k)</v>
      </c>
      <c r="U620">
        <v>5494</v>
      </c>
      <c r="V620">
        <v>0</v>
      </c>
      <c r="W620" t="s">
        <v>43</v>
      </c>
      <c r="X620">
        <v>11</v>
      </c>
      <c r="Y620">
        <v>3</v>
      </c>
      <c r="Z620">
        <v>4</v>
      </c>
      <c r="AA620">
        <v>1</v>
      </c>
      <c r="AB620">
        <v>10</v>
      </c>
      <c r="AC620">
        <v>0</v>
      </c>
      <c r="AD620" t="s">
        <v>81</v>
      </c>
      <c r="AE620">
        <v>9</v>
      </c>
      <c r="AF620" t="str" cm="1">
        <f t="array" ref="AF620">_xlfn.IFS(AE620&gt;=10,"Veteran (10y+)",AE620&gt;=3,"Established (3-10y)",AE620&lt;3,"New Hire (&lt;3y)")</f>
        <v>Established (3-10y)</v>
      </c>
      <c r="AG620">
        <v>7</v>
      </c>
      <c r="AH620">
        <v>1</v>
      </c>
      <c r="AI620">
        <v>6</v>
      </c>
    </row>
    <row r="621" spans="1:35">
      <c r="A621">
        <v>34</v>
      </c>
      <c r="B621" t="str">
        <f t="shared" si="9"/>
        <v>Middle Aged</v>
      </c>
      <c r="C621">
        <v>0</v>
      </c>
      <c r="D621" t="s">
        <v>36</v>
      </c>
      <c r="E621">
        <v>507</v>
      </c>
      <c r="F621" t="s">
        <v>37</v>
      </c>
      <c r="G621">
        <v>15</v>
      </c>
      <c r="H621" t="str" cm="1">
        <f t="array" ref="H621">_xlfn.IFS(G621&gt;15,"Long Commute",G621&gt;5,"Moderate",G621&lt;=5,"Near Office")</f>
        <v>Moderate</v>
      </c>
      <c r="I621" t="s">
        <v>76</v>
      </c>
      <c r="J621" t="s">
        <v>51</v>
      </c>
      <c r="K621">
        <v>3</v>
      </c>
      <c r="L621" t="s">
        <v>39</v>
      </c>
      <c r="M621">
        <v>66</v>
      </c>
      <c r="N621">
        <v>3</v>
      </c>
      <c r="O621">
        <v>2</v>
      </c>
      <c r="P621" t="s">
        <v>40</v>
      </c>
      <c r="Q621" t="s">
        <v>82</v>
      </c>
      <c r="R621" t="s">
        <v>41</v>
      </c>
      <c r="S621">
        <v>6125</v>
      </c>
      <c r="T621" t="str" cm="1">
        <f t="array" ref="T621">_xlfn.IFS(S621&gt;=10000,"High (&gt;10k)",S621&gt;=5000,"Medium (5k-10k)",S621&lt;5000,"Low (&lt;5k)")</f>
        <v>Medium (5k-10k)</v>
      </c>
      <c r="U621">
        <v>23553</v>
      </c>
      <c r="V621">
        <v>1</v>
      </c>
      <c r="W621" t="s">
        <v>43</v>
      </c>
      <c r="X621">
        <v>12</v>
      </c>
      <c r="Y621">
        <v>3</v>
      </c>
      <c r="Z621">
        <v>4</v>
      </c>
      <c r="AA621">
        <v>0</v>
      </c>
      <c r="AB621">
        <v>10</v>
      </c>
      <c r="AC621">
        <v>6</v>
      </c>
      <c r="AD621" t="s">
        <v>79</v>
      </c>
      <c r="AE621">
        <v>10</v>
      </c>
      <c r="AF621" t="str" cm="1">
        <f t="array" ref="AF621">_xlfn.IFS(AE621&gt;=10,"Veteran (10y+)",AE621&gt;=3,"Established (3-10y)",AE621&lt;3,"New Hire (&lt;3y)")</f>
        <v>Veteran (10y+)</v>
      </c>
      <c r="AG621">
        <v>8</v>
      </c>
      <c r="AH621">
        <v>9</v>
      </c>
      <c r="AI621">
        <v>6</v>
      </c>
    </row>
    <row r="622" spans="1:35">
      <c r="A622">
        <v>34</v>
      </c>
      <c r="B622" t="str">
        <f t="shared" si="9"/>
        <v>Middle Aged</v>
      </c>
      <c r="C622">
        <v>0</v>
      </c>
      <c r="D622" t="s">
        <v>55</v>
      </c>
      <c r="E622">
        <v>999</v>
      </c>
      <c r="F622" t="s">
        <v>45</v>
      </c>
      <c r="G622">
        <v>26</v>
      </c>
      <c r="H622" t="str" cm="1">
        <f t="array" ref="H622">_xlfn.IFS(G622&gt;15,"Long Commute",G622&gt;5,"Moderate",G622&lt;=5,"Near Office")</f>
        <v>Long Commute</v>
      </c>
      <c r="I622" t="s">
        <v>78</v>
      </c>
      <c r="J622" t="s">
        <v>60</v>
      </c>
      <c r="K622">
        <v>1</v>
      </c>
      <c r="L622" t="s">
        <v>39</v>
      </c>
      <c r="M622">
        <v>92</v>
      </c>
      <c r="N622">
        <v>2</v>
      </c>
      <c r="O622">
        <v>1</v>
      </c>
      <c r="P622" t="s">
        <v>47</v>
      </c>
      <c r="Q622" t="s">
        <v>73</v>
      </c>
      <c r="R622" t="s">
        <v>52</v>
      </c>
      <c r="S622">
        <v>2029</v>
      </c>
      <c r="T622" t="str" cm="1">
        <f t="array" ref="T622">_xlfn.IFS(S622&gt;=10000,"High (&gt;10k)",S622&gt;=5000,"Medium (5k-10k)",S622&lt;5000,"Low (&lt;5k)")</f>
        <v>Low (&lt;5k)</v>
      </c>
      <c r="U622">
        <v>15891</v>
      </c>
      <c r="V622">
        <v>1</v>
      </c>
      <c r="W622" t="s">
        <v>43</v>
      </c>
      <c r="X622">
        <v>20</v>
      </c>
      <c r="Y622">
        <v>4</v>
      </c>
      <c r="Z622">
        <v>3</v>
      </c>
      <c r="AA622">
        <v>3</v>
      </c>
      <c r="AB622">
        <v>5</v>
      </c>
      <c r="AC622">
        <v>2</v>
      </c>
      <c r="AD622" t="s">
        <v>74</v>
      </c>
      <c r="AE622">
        <v>5</v>
      </c>
      <c r="AF622" t="str" cm="1">
        <f t="array" ref="AF622">_xlfn.IFS(AE622&gt;=10,"Veteran (10y+)",AE622&gt;=3,"Established (3-10y)",AE622&lt;3,"New Hire (&lt;3y)")</f>
        <v>Established (3-10y)</v>
      </c>
      <c r="AG622">
        <v>4</v>
      </c>
      <c r="AH622">
        <v>0</v>
      </c>
      <c r="AI622">
        <v>0</v>
      </c>
    </row>
    <row r="623" spans="1:35">
      <c r="A623">
        <v>34</v>
      </c>
      <c r="B623" t="str">
        <f t="shared" si="9"/>
        <v>Middle Aged</v>
      </c>
      <c r="C623">
        <v>0</v>
      </c>
      <c r="D623" t="s">
        <v>36</v>
      </c>
      <c r="E623">
        <v>285</v>
      </c>
      <c r="F623" t="s">
        <v>45</v>
      </c>
      <c r="G623">
        <v>29</v>
      </c>
      <c r="H623" t="str" cm="1">
        <f t="array" ref="H623">_xlfn.IFS(G623&gt;15,"Long Commute",G623&gt;5,"Moderate",G623&lt;=5,"Near Office")</f>
        <v>Long Commute</v>
      </c>
      <c r="I623" t="s">
        <v>72</v>
      </c>
      <c r="J623" t="s">
        <v>51</v>
      </c>
      <c r="K623">
        <v>2</v>
      </c>
      <c r="L623" t="s">
        <v>46</v>
      </c>
      <c r="M623">
        <v>86</v>
      </c>
      <c r="N623">
        <v>3</v>
      </c>
      <c r="O623">
        <v>2</v>
      </c>
      <c r="P623" t="s">
        <v>50</v>
      </c>
      <c r="Q623" t="s">
        <v>73</v>
      </c>
      <c r="R623" t="s">
        <v>48</v>
      </c>
      <c r="S623">
        <v>5429</v>
      </c>
      <c r="T623" t="str" cm="1">
        <f t="array" ref="T623">_xlfn.IFS(S623&gt;=10000,"High (&gt;10k)",S623&gt;=5000,"Medium (5k-10k)",S623&lt;5000,"Low (&lt;5k)")</f>
        <v>Medium (5k-10k)</v>
      </c>
      <c r="U623">
        <v>17491</v>
      </c>
      <c r="V623">
        <v>4</v>
      </c>
      <c r="W623" t="s">
        <v>43</v>
      </c>
      <c r="X623">
        <v>13</v>
      </c>
      <c r="Y623">
        <v>3</v>
      </c>
      <c r="Z623">
        <v>1</v>
      </c>
      <c r="AA623">
        <v>2</v>
      </c>
      <c r="AB623">
        <v>10</v>
      </c>
      <c r="AC623">
        <v>1</v>
      </c>
      <c r="AD623" t="s">
        <v>74</v>
      </c>
      <c r="AE623">
        <v>8</v>
      </c>
      <c r="AF623" t="str" cm="1">
        <f t="array" ref="AF623">_xlfn.IFS(AE623&gt;=10,"Veteran (10y+)",AE623&gt;=3,"Established (3-10y)",AE623&lt;3,"New Hire (&lt;3y)")</f>
        <v>Established (3-10y)</v>
      </c>
      <c r="AG623">
        <v>7</v>
      </c>
      <c r="AH623">
        <v>7</v>
      </c>
      <c r="AI623">
        <v>7</v>
      </c>
    </row>
    <row r="624" spans="1:35">
      <c r="A624">
        <v>34</v>
      </c>
      <c r="B624" t="str">
        <f t="shared" si="9"/>
        <v>Middle Aged</v>
      </c>
      <c r="C624">
        <v>0</v>
      </c>
      <c r="D624" t="s">
        <v>36</v>
      </c>
      <c r="E624">
        <v>404</v>
      </c>
      <c r="F624" t="s">
        <v>45</v>
      </c>
      <c r="G624">
        <v>2</v>
      </c>
      <c r="H624" t="str" cm="1">
        <f t="array" ref="H624">_xlfn.IFS(G624&gt;15,"Long Commute",G624&gt;5,"Moderate",G624&lt;=5,"Near Office")</f>
        <v>Near Office</v>
      </c>
      <c r="I624" t="s">
        <v>83</v>
      </c>
      <c r="J624" t="s">
        <v>60</v>
      </c>
      <c r="K624">
        <v>3</v>
      </c>
      <c r="L624" t="s">
        <v>39</v>
      </c>
      <c r="M624">
        <v>98</v>
      </c>
      <c r="N624">
        <v>3</v>
      </c>
      <c r="O624">
        <v>2</v>
      </c>
      <c r="P624" t="s">
        <v>54</v>
      </c>
      <c r="Q624" t="s">
        <v>77</v>
      </c>
      <c r="R624" t="s">
        <v>41</v>
      </c>
      <c r="S624">
        <v>6687</v>
      </c>
      <c r="T624" t="str" cm="1">
        <f t="array" ref="T624">_xlfn.IFS(S624&gt;=10000,"High (&gt;10k)",S624&gt;=5000,"Medium (5k-10k)",S624&lt;5000,"Low (&lt;5k)")</f>
        <v>Medium (5k-10k)</v>
      </c>
      <c r="U624">
        <v>6163</v>
      </c>
      <c r="V624">
        <v>1</v>
      </c>
      <c r="W624" t="s">
        <v>43</v>
      </c>
      <c r="X624">
        <v>11</v>
      </c>
      <c r="Y624">
        <v>3</v>
      </c>
      <c r="Z624">
        <v>4</v>
      </c>
      <c r="AA624">
        <v>0</v>
      </c>
      <c r="AB624">
        <v>14</v>
      </c>
      <c r="AC624">
        <v>2</v>
      </c>
      <c r="AD624" t="s">
        <v>79</v>
      </c>
      <c r="AE624">
        <v>14</v>
      </c>
      <c r="AF624" t="str" cm="1">
        <f t="array" ref="AF624">_xlfn.IFS(AE624&gt;=10,"Veteran (10y+)",AE624&gt;=3,"Established (3-10y)",AE624&lt;3,"New Hire (&lt;3y)")</f>
        <v>Veteran (10y+)</v>
      </c>
      <c r="AG624">
        <v>11</v>
      </c>
      <c r="AH624">
        <v>4</v>
      </c>
      <c r="AI624">
        <v>11</v>
      </c>
    </row>
    <row r="625" spans="1:35">
      <c r="A625">
        <v>34</v>
      </c>
      <c r="B625" t="str">
        <f t="shared" si="9"/>
        <v>Middle Aged</v>
      </c>
      <c r="C625">
        <v>0</v>
      </c>
      <c r="D625" t="s">
        <v>44</v>
      </c>
      <c r="E625">
        <v>560</v>
      </c>
      <c r="F625" t="s">
        <v>45</v>
      </c>
      <c r="G625">
        <v>1</v>
      </c>
      <c r="H625" t="str" cm="1">
        <f t="array" ref="H625">_xlfn.IFS(G625&gt;15,"Long Commute",G625&gt;5,"Moderate",G625&lt;=5,"Near Office")</f>
        <v>Near Office</v>
      </c>
      <c r="I625" t="s">
        <v>83</v>
      </c>
      <c r="J625" t="s">
        <v>49</v>
      </c>
      <c r="K625">
        <v>4</v>
      </c>
      <c r="L625" t="s">
        <v>46</v>
      </c>
      <c r="M625">
        <v>91</v>
      </c>
      <c r="N625">
        <v>3</v>
      </c>
      <c r="O625">
        <v>1</v>
      </c>
      <c r="P625" t="s">
        <v>47</v>
      </c>
      <c r="Q625" t="s">
        <v>82</v>
      </c>
      <c r="R625" t="s">
        <v>52</v>
      </c>
      <c r="S625">
        <v>2996</v>
      </c>
      <c r="T625" t="str" cm="1">
        <f t="array" ref="T625">_xlfn.IFS(S625&gt;=10000,"High (&gt;10k)",S625&gt;=5000,"Medium (5k-10k)",S625&lt;5000,"Low (&lt;5k)")</f>
        <v>Low (&lt;5k)</v>
      </c>
      <c r="U625">
        <v>20284</v>
      </c>
      <c r="V625">
        <v>5</v>
      </c>
      <c r="W625" t="s">
        <v>43</v>
      </c>
      <c r="X625">
        <v>14</v>
      </c>
      <c r="Y625">
        <v>3</v>
      </c>
      <c r="Z625">
        <v>3</v>
      </c>
      <c r="AA625">
        <v>2</v>
      </c>
      <c r="AB625">
        <v>10</v>
      </c>
      <c r="AC625">
        <v>2</v>
      </c>
      <c r="AD625" t="s">
        <v>74</v>
      </c>
      <c r="AE625">
        <v>4</v>
      </c>
      <c r="AF625" t="str" cm="1">
        <f t="array" ref="AF625">_xlfn.IFS(AE625&gt;=10,"Veteran (10y+)",AE625&gt;=3,"Established (3-10y)",AE625&lt;3,"New Hire (&lt;3y)")</f>
        <v>Established (3-10y)</v>
      </c>
      <c r="AG625">
        <v>3</v>
      </c>
      <c r="AH625">
        <v>1</v>
      </c>
      <c r="AI625">
        <v>3</v>
      </c>
    </row>
    <row r="626" spans="1:35">
      <c r="A626">
        <v>34</v>
      </c>
      <c r="B626" t="str">
        <f t="shared" si="9"/>
        <v>Middle Aged</v>
      </c>
      <c r="C626">
        <v>0</v>
      </c>
      <c r="D626" t="s">
        <v>36</v>
      </c>
      <c r="E626">
        <v>401</v>
      </c>
      <c r="F626" t="s">
        <v>45</v>
      </c>
      <c r="G626">
        <v>1</v>
      </c>
      <c r="H626" t="str" cm="1">
        <f t="array" ref="H626">_xlfn.IFS(G626&gt;15,"Long Commute",G626&gt;5,"Moderate",G626&lt;=5,"Near Office")</f>
        <v>Near Office</v>
      </c>
      <c r="I626" t="s">
        <v>72</v>
      </c>
      <c r="J626" t="s">
        <v>38</v>
      </c>
      <c r="K626">
        <v>4</v>
      </c>
      <c r="L626" t="s">
        <v>39</v>
      </c>
      <c r="M626">
        <v>86</v>
      </c>
      <c r="N626">
        <v>2</v>
      </c>
      <c r="O626">
        <v>1</v>
      </c>
      <c r="P626" t="s">
        <v>50</v>
      </c>
      <c r="Q626" t="s">
        <v>75</v>
      </c>
      <c r="R626" t="s">
        <v>48</v>
      </c>
      <c r="S626">
        <v>3294</v>
      </c>
      <c r="T626" t="str" cm="1">
        <f t="array" ref="T626">_xlfn.IFS(S626&gt;=10000,"High (&gt;10k)",S626&gt;=5000,"Medium (5k-10k)",S626&lt;5000,"Low (&lt;5k)")</f>
        <v>Low (&lt;5k)</v>
      </c>
      <c r="U626">
        <v>3708</v>
      </c>
      <c r="V626">
        <v>5</v>
      </c>
      <c r="W626" t="s">
        <v>43</v>
      </c>
      <c r="X626">
        <v>17</v>
      </c>
      <c r="Y626">
        <v>3</v>
      </c>
      <c r="Z626">
        <v>1</v>
      </c>
      <c r="AA626">
        <v>1</v>
      </c>
      <c r="AB626">
        <v>7</v>
      </c>
      <c r="AC626">
        <v>2</v>
      </c>
      <c r="AD626" t="s">
        <v>81</v>
      </c>
      <c r="AE626">
        <v>5</v>
      </c>
      <c r="AF626" t="str" cm="1">
        <f t="array" ref="AF626">_xlfn.IFS(AE626&gt;=10,"Veteran (10y+)",AE626&gt;=3,"Established (3-10y)",AE626&lt;3,"New Hire (&lt;3y)")</f>
        <v>Established (3-10y)</v>
      </c>
      <c r="AG626">
        <v>4</v>
      </c>
      <c r="AH626">
        <v>0</v>
      </c>
      <c r="AI626">
        <v>2</v>
      </c>
    </row>
    <row r="627" spans="1:35">
      <c r="A627">
        <v>34</v>
      </c>
      <c r="B627" t="str">
        <f t="shared" si="9"/>
        <v>Middle Aged</v>
      </c>
      <c r="C627">
        <v>1</v>
      </c>
      <c r="D627" t="s">
        <v>36</v>
      </c>
      <c r="E627">
        <v>1107</v>
      </c>
      <c r="F627" t="s">
        <v>61</v>
      </c>
      <c r="G627">
        <v>9</v>
      </c>
      <c r="H627" t="str" cm="1">
        <f t="array" ref="H627">_xlfn.IFS(G627&gt;15,"Long Commute",G627&gt;5,"Moderate",G627&lt;=5,"Near Office")</f>
        <v>Moderate</v>
      </c>
      <c r="I627" t="s">
        <v>83</v>
      </c>
      <c r="J627" t="s">
        <v>60</v>
      </c>
      <c r="K627">
        <v>1</v>
      </c>
      <c r="L627" t="s">
        <v>39</v>
      </c>
      <c r="M627">
        <v>52</v>
      </c>
      <c r="N627">
        <v>3</v>
      </c>
      <c r="O627">
        <v>1</v>
      </c>
      <c r="P627" t="s">
        <v>61</v>
      </c>
      <c r="Q627" t="s">
        <v>73</v>
      </c>
      <c r="R627" t="s">
        <v>48</v>
      </c>
      <c r="S627">
        <v>2742</v>
      </c>
      <c r="T627" t="str" cm="1">
        <f t="array" ref="T627">_xlfn.IFS(S627&gt;=10000,"High (&gt;10k)",S627&gt;=5000,"Medium (5k-10k)",S627&lt;5000,"Low (&lt;5k)")</f>
        <v>Low (&lt;5k)</v>
      </c>
      <c r="U627">
        <v>3072</v>
      </c>
      <c r="V627">
        <v>1</v>
      </c>
      <c r="W627" t="s">
        <v>43</v>
      </c>
      <c r="X627">
        <v>15</v>
      </c>
      <c r="Y627">
        <v>3</v>
      </c>
      <c r="Z627">
        <v>4</v>
      </c>
      <c r="AA627">
        <v>0</v>
      </c>
      <c r="AB627">
        <v>2</v>
      </c>
      <c r="AC627">
        <v>0</v>
      </c>
      <c r="AD627" t="s">
        <v>74</v>
      </c>
      <c r="AE627">
        <v>2</v>
      </c>
      <c r="AF627" t="str" cm="1">
        <f t="array" ref="AF627">_xlfn.IFS(AE627&gt;=10,"Veteran (10y+)",AE627&gt;=3,"Established (3-10y)",AE627&lt;3,"New Hire (&lt;3y)")</f>
        <v>New Hire (&lt;3y)</v>
      </c>
      <c r="AG627">
        <v>2</v>
      </c>
      <c r="AH627">
        <v>2</v>
      </c>
      <c r="AI627">
        <v>2</v>
      </c>
    </row>
    <row r="628" spans="1:35">
      <c r="A628">
        <v>34</v>
      </c>
      <c r="B628" t="str">
        <f t="shared" si="9"/>
        <v>Middle Aged</v>
      </c>
      <c r="C628">
        <v>0</v>
      </c>
      <c r="D628" t="s">
        <v>36</v>
      </c>
      <c r="E628">
        <v>1326</v>
      </c>
      <c r="F628" t="s">
        <v>37</v>
      </c>
      <c r="G628">
        <v>3</v>
      </c>
      <c r="H628" t="str" cm="1">
        <f t="array" ref="H628">_xlfn.IFS(G628&gt;15,"Long Commute",G628&gt;5,"Moderate",G628&lt;=5,"Near Office")</f>
        <v>Near Office</v>
      </c>
      <c r="I628" t="s">
        <v>72</v>
      </c>
      <c r="J628" t="s">
        <v>49</v>
      </c>
      <c r="K628">
        <v>4</v>
      </c>
      <c r="L628" t="s">
        <v>46</v>
      </c>
      <c r="M628">
        <v>81</v>
      </c>
      <c r="N628">
        <v>1</v>
      </c>
      <c r="O628">
        <v>2</v>
      </c>
      <c r="P628" t="s">
        <v>40</v>
      </c>
      <c r="Q628" t="s">
        <v>82</v>
      </c>
      <c r="R628" t="s">
        <v>41</v>
      </c>
      <c r="S628">
        <v>4759</v>
      </c>
      <c r="T628" t="str" cm="1">
        <f t="array" ref="T628">_xlfn.IFS(S628&gt;=10000,"High (&gt;10k)",S628&gt;=5000,"Medium (5k-10k)",S628&lt;5000,"Low (&lt;5k)")</f>
        <v>Low (&lt;5k)</v>
      </c>
      <c r="U628">
        <v>15891</v>
      </c>
      <c r="V628">
        <v>3</v>
      </c>
      <c r="W628" t="s">
        <v>43</v>
      </c>
      <c r="X628">
        <v>18</v>
      </c>
      <c r="Y628">
        <v>3</v>
      </c>
      <c r="Z628">
        <v>4</v>
      </c>
      <c r="AA628">
        <v>0</v>
      </c>
      <c r="AB628">
        <v>15</v>
      </c>
      <c r="AC628">
        <v>2</v>
      </c>
      <c r="AD628" t="s">
        <v>74</v>
      </c>
      <c r="AE628">
        <v>13</v>
      </c>
      <c r="AF628" t="str" cm="1">
        <f t="array" ref="AF628">_xlfn.IFS(AE628&gt;=10,"Veteran (10y+)",AE628&gt;=3,"Established (3-10y)",AE628&lt;3,"New Hire (&lt;3y)")</f>
        <v>Veteran (10y+)</v>
      </c>
      <c r="AG628">
        <v>9</v>
      </c>
      <c r="AH628">
        <v>3</v>
      </c>
      <c r="AI628">
        <v>12</v>
      </c>
    </row>
    <row r="629" spans="1:35">
      <c r="A629">
        <v>34</v>
      </c>
      <c r="B629" t="str">
        <f t="shared" si="9"/>
        <v>Middle Aged</v>
      </c>
      <c r="C629">
        <v>0</v>
      </c>
      <c r="D629" t="s">
        <v>44</v>
      </c>
      <c r="E629">
        <v>829</v>
      </c>
      <c r="F629" t="s">
        <v>45</v>
      </c>
      <c r="G629">
        <v>15</v>
      </c>
      <c r="H629" t="str" cm="1">
        <f t="array" ref="H629">_xlfn.IFS(G629&gt;15,"Long Commute",G629&gt;5,"Moderate",G629&lt;=5,"Near Office")</f>
        <v>Moderate</v>
      </c>
      <c r="I629" t="s">
        <v>72</v>
      </c>
      <c r="J629" t="s">
        <v>51</v>
      </c>
      <c r="K629">
        <v>2</v>
      </c>
      <c r="L629" t="s">
        <v>46</v>
      </c>
      <c r="M629">
        <v>71</v>
      </c>
      <c r="N629">
        <v>3</v>
      </c>
      <c r="O629">
        <v>4</v>
      </c>
      <c r="P629" t="s">
        <v>58</v>
      </c>
      <c r="Q629" t="s">
        <v>82</v>
      </c>
      <c r="R629" t="s">
        <v>52</v>
      </c>
      <c r="S629">
        <v>17007</v>
      </c>
      <c r="T629" t="str" cm="1">
        <f t="array" ref="T629">_xlfn.IFS(S629&gt;=10000,"High (&gt;10k)",S629&gt;=5000,"Medium (5k-10k)",S629&lt;5000,"Low (&lt;5k)")</f>
        <v>High (&gt;10k)</v>
      </c>
      <c r="U629">
        <v>11929</v>
      </c>
      <c r="V629">
        <v>7</v>
      </c>
      <c r="W629" t="s">
        <v>43</v>
      </c>
      <c r="X629">
        <v>14</v>
      </c>
      <c r="Y629">
        <v>3</v>
      </c>
      <c r="Z629">
        <v>4</v>
      </c>
      <c r="AA629">
        <v>2</v>
      </c>
      <c r="AB629">
        <v>16</v>
      </c>
      <c r="AC629">
        <v>3</v>
      </c>
      <c r="AD629" t="s">
        <v>81</v>
      </c>
      <c r="AE629">
        <v>14</v>
      </c>
      <c r="AF629" t="str" cm="1">
        <f t="array" ref="AF629">_xlfn.IFS(AE629&gt;=10,"Veteran (10y+)",AE629&gt;=3,"Established (3-10y)",AE629&lt;3,"New Hire (&lt;3y)")</f>
        <v>Veteran (10y+)</v>
      </c>
      <c r="AG629">
        <v>8</v>
      </c>
      <c r="AH629">
        <v>6</v>
      </c>
      <c r="AI629">
        <v>9</v>
      </c>
    </row>
    <row r="630" spans="1:35">
      <c r="A630">
        <v>34</v>
      </c>
      <c r="B630" t="str">
        <f t="shared" si="9"/>
        <v>Middle Aged</v>
      </c>
      <c r="C630">
        <v>1</v>
      </c>
      <c r="D630" t="s">
        <v>36</v>
      </c>
      <c r="E630">
        <v>790</v>
      </c>
      <c r="F630" t="s">
        <v>37</v>
      </c>
      <c r="G630">
        <v>24</v>
      </c>
      <c r="H630" t="str" cm="1">
        <f t="array" ref="H630">_xlfn.IFS(G630&gt;15,"Long Commute",G630&gt;5,"Moderate",G630&lt;=5,"Near Office")</f>
        <v>Long Commute</v>
      </c>
      <c r="I630" t="s">
        <v>83</v>
      </c>
      <c r="J630" t="s">
        <v>51</v>
      </c>
      <c r="K630">
        <v>1</v>
      </c>
      <c r="L630" t="s">
        <v>39</v>
      </c>
      <c r="M630">
        <v>40</v>
      </c>
      <c r="N630">
        <v>2</v>
      </c>
      <c r="O630">
        <v>2</v>
      </c>
      <c r="P630" t="s">
        <v>40</v>
      </c>
      <c r="Q630" t="s">
        <v>75</v>
      </c>
      <c r="R630" t="s">
        <v>41</v>
      </c>
      <c r="S630">
        <v>4599</v>
      </c>
      <c r="T630" t="str" cm="1">
        <f t="array" ref="T630">_xlfn.IFS(S630&gt;=10000,"High (&gt;10k)",S630&gt;=5000,"Medium (5k-10k)",S630&lt;5000,"Low (&lt;5k)")</f>
        <v>Low (&lt;5k)</v>
      </c>
      <c r="U630">
        <v>7815</v>
      </c>
      <c r="V630">
        <v>0</v>
      </c>
      <c r="W630" t="s">
        <v>35</v>
      </c>
      <c r="X630">
        <v>23</v>
      </c>
      <c r="Y630">
        <v>4</v>
      </c>
      <c r="Z630">
        <v>3</v>
      </c>
      <c r="AA630">
        <v>0</v>
      </c>
      <c r="AB630">
        <v>16</v>
      </c>
      <c r="AC630">
        <v>2</v>
      </c>
      <c r="AD630" t="s">
        <v>79</v>
      </c>
      <c r="AE630">
        <v>15</v>
      </c>
      <c r="AF630" t="str" cm="1">
        <f t="array" ref="AF630">_xlfn.IFS(AE630&gt;=10,"Veteran (10y+)",AE630&gt;=3,"Established (3-10y)",AE630&lt;3,"New Hire (&lt;3y)")</f>
        <v>Veteran (10y+)</v>
      </c>
      <c r="AG630">
        <v>9</v>
      </c>
      <c r="AH630">
        <v>10</v>
      </c>
      <c r="AI630">
        <v>10</v>
      </c>
    </row>
    <row r="631" spans="1:35">
      <c r="A631">
        <v>34</v>
      </c>
      <c r="B631" t="str">
        <f t="shared" si="9"/>
        <v>Middle Aged</v>
      </c>
      <c r="C631">
        <v>0</v>
      </c>
      <c r="D631" t="s">
        <v>36</v>
      </c>
      <c r="E631">
        <v>971</v>
      </c>
      <c r="F631" t="s">
        <v>37</v>
      </c>
      <c r="G631">
        <v>1</v>
      </c>
      <c r="H631" t="str" cm="1">
        <f t="array" ref="H631">_xlfn.IFS(G631&gt;15,"Long Commute",G631&gt;5,"Moderate",G631&lt;=5,"Near Office")</f>
        <v>Near Office</v>
      </c>
      <c r="I631" t="s">
        <v>72</v>
      </c>
      <c r="J631" t="s">
        <v>60</v>
      </c>
      <c r="K631">
        <v>4</v>
      </c>
      <c r="L631" t="s">
        <v>46</v>
      </c>
      <c r="M631">
        <v>64</v>
      </c>
      <c r="N631">
        <v>2</v>
      </c>
      <c r="O631">
        <v>3</v>
      </c>
      <c r="P631" t="s">
        <v>40</v>
      </c>
      <c r="Q631" t="s">
        <v>73</v>
      </c>
      <c r="R631" t="s">
        <v>48</v>
      </c>
      <c r="S631">
        <v>7083</v>
      </c>
      <c r="T631" t="str" cm="1">
        <f t="array" ref="T631">_xlfn.IFS(S631&gt;=10000,"High (&gt;10k)",S631&gt;=5000,"Medium (5k-10k)",S631&lt;5000,"Low (&lt;5k)")</f>
        <v>Medium (5k-10k)</v>
      </c>
      <c r="U631">
        <v>12288</v>
      </c>
      <c r="V631">
        <v>1</v>
      </c>
      <c r="W631" t="s">
        <v>35</v>
      </c>
      <c r="X631">
        <v>14</v>
      </c>
      <c r="Y631">
        <v>3</v>
      </c>
      <c r="Z631">
        <v>4</v>
      </c>
      <c r="AA631">
        <v>0</v>
      </c>
      <c r="AB631">
        <v>10</v>
      </c>
      <c r="AC631">
        <v>3</v>
      </c>
      <c r="AD631" t="s">
        <v>74</v>
      </c>
      <c r="AE631">
        <v>10</v>
      </c>
      <c r="AF631" t="str" cm="1">
        <f t="array" ref="AF631">_xlfn.IFS(AE631&gt;=10,"Veteran (10y+)",AE631&gt;=3,"Established (3-10y)",AE631&lt;3,"New Hire (&lt;3y)")</f>
        <v>Veteran (10y+)</v>
      </c>
      <c r="AG631">
        <v>9</v>
      </c>
      <c r="AH631">
        <v>8</v>
      </c>
      <c r="AI631">
        <v>6</v>
      </c>
    </row>
    <row r="632" spans="1:35">
      <c r="A632">
        <v>34</v>
      </c>
      <c r="B632" t="str">
        <f t="shared" si="9"/>
        <v>Middle Aged</v>
      </c>
      <c r="C632">
        <v>0</v>
      </c>
      <c r="D632" t="s">
        <v>36</v>
      </c>
      <c r="E632">
        <v>1440</v>
      </c>
      <c r="F632" t="s">
        <v>37</v>
      </c>
      <c r="G632">
        <v>7</v>
      </c>
      <c r="H632" t="str" cm="1">
        <f t="array" ref="H632">_xlfn.IFS(G632&gt;15,"Long Commute",G632&gt;5,"Moderate",G632&lt;=5,"Near Office")</f>
        <v>Moderate</v>
      </c>
      <c r="I632" t="s">
        <v>76</v>
      </c>
      <c r="J632" t="s">
        <v>60</v>
      </c>
      <c r="K632">
        <v>2</v>
      </c>
      <c r="L632" t="s">
        <v>46</v>
      </c>
      <c r="M632">
        <v>55</v>
      </c>
      <c r="N632">
        <v>3</v>
      </c>
      <c r="O632">
        <v>1</v>
      </c>
      <c r="P632" t="s">
        <v>57</v>
      </c>
      <c r="Q632" t="s">
        <v>73</v>
      </c>
      <c r="R632" t="s">
        <v>48</v>
      </c>
      <c r="S632">
        <v>2308</v>
      </c>
      <c r="T632" t="str" cm="1">
        <f t="array" ref="T632">_xlfn.IFS(S632&gt;=10000,"High (&gt;10k)",S632&gt;=5000,"Medium (5k-10k)",S632&lt;5000,"Low (&lt;5k)")</f>
        <v>Low (&lt;5k)</v>
      </c>
      <c r="U632">
        <v>4944</v>
      </c>
      <c r="V632">
        <v>0</v>
      </c>
      <c r="W632" t="s">
        <v>35</v>
      </c>
      <c r="X632">
        <v>25</v>
      </c>
      <c r="Y632">
        <v>4</v>
      </c>
      <c r="Z632">
        <v>2</v>
      </c>
      <c r="AA632">
        <v>1</v>
      </c>
      <c r="AB632">
        <v>12</v>
      </c>
      <c r="AC632">
        <v>4</v>
      </c>
      <c r="AD632" t="s">
        <v>74</v>
      </c>
      <c r="AE632">
        <v>11</v>
      </c>
      <c r="AF632" t="str" cm="1">
        <f t="array" ref="AF632">_xlfn.IFS(AE632&gt;=10,"Veteran (10y+)",AE632&gt;=3,"Established (3-10y)",AE632&lt;3,"New Hire (&lt;3y)")</f>
        <v>Veteran (10y+)</v>
      </c>
      <c r="AG632">
        <v>10</v>
      </c>
      <c r="AH632">
        <v>5</v>
      </c>
      <c r="AI632">
        <v>7</v>
      </c>
    </row>
    <row r="633" spans="1:35">
      <c r="A633">
        <v>34</v>
      </c>
      <c r="B633" t="str">
        <f t="shared" si="9"/>
        <v>Middle Aged</v>
      </c>
      <c r="C633">
        <v>0</v>
      </c>
      <c r="D633" t="s">
        <v>36</v>
      </c>
      <c r="E633">
        <v>479</v>
      </c>
      <c r="F633" t="s">
        <v>45</v>
      </c>
      <c r="G633">
        <v>7</v>
      </c>
      <c r="H633" t="str" cm="1">
        <f t="array" ref="H633">_xlfn.IFS(G633&gt;15,"Long Commute",G633&gt;5,"Moderate",G633&lt;=5,"Near Office")</f>
        <v>Moderate</v>
      </c>
      <c r="I633" t="s">
        <v>83</v>
      </c>
      <c r="J633" t="s">
        <v>51</v>
      </c>
      <c r="K633">
        <v>1</v>
      </c>
      <c r="L633" t="s">
        <v>46</v>
      </c>
      <c r="M633">
        <v>35</v>
      </c>
      <c r="N633">
        <v>3</v>
      </c>
      <c r="O633">
        <v>1</v>
      </c>
      <c r="P633" t="s">
        <v>47</v>
      </c>
      <c r="Q633" t="s">
        <v>77</v>
      </c>
      <c r="R633" t="s">
        <v>41</v>
      </c>
      <c r="S633">
        <v>2972</v>
      </c>
      <c r="T633" t="str" cm="1">
        <f t="array" ref="T633">_xlfn.IFS(S633&gt;=10000,"High (&gt;10k)",S633&gt;=5000,"Medium (5k-10k)",S633&lt;5000,"Low (&lt;5k)")</f>
        <v>Low (&lt;5k)</v>
      </c>
      <c r="U633">
        <v>22061</v>
      </c>
      <c r="V633">
        <v>1</v>
      </c>
      <c r="W633" t="s">
        <v>43</v>
      </c>
      <c r="X633">
        <v>13</v>
      </c>
      <c r="Y633">
        <v>3</v>
      </c>
      <c r="Z633">
        <v>3</v>
      </c>
      <c r="AA633">
        <v>0</v>
      </c>
      <c r="AB633">
        <v>1</v>
      </c>
      <c r="AC633">
        <v>4</v>
      </c>
      <c r="AD633" t="s">
        <v>80</v>
      </c>
      <c r="AE633">
        <v>1</v>
      </c>
      <c r="AF633" t="str" cm="1">
        <f t="array" ref="AF633">_xlfn.IFS(AE633&gt;=10,"Veteran (10y+)",AE633&gt;=3,"Established (3-10y)",AE633&lt;3,"New Hire (&lt;3y)")</f>
        <v>New Hire (&lt;3y)</v>
      </c>
      <c r="AG633">
        <v>0</v>
      </c>
      <c r="AH633">
        <v>0</v>
      </c>
      <c r="AI633">
        <v>0</v>
      </c>
    </row>
    <row r="634" spans="1:35">
      <c r="A634">
        <v>34</v>
      </c>
      <c r="B634" t="str">
        <f t="shared" si="9"/>
        <v>Middle Aged</v>
      </c>
      <c r="C634">
        <v>0</v>
      </c>
      <c r="D634" t="s">
        <v>36</v>
      </c>
      <c r="E634">
        <v>1351</v>
      </c>
      <c r="F634" t="s">
        <v>45</v>
      </c>
      <c r="G634">
        <v>1</v>
      </c>
      <c r="H634" t="str" cm="1">
        <f t="array" ref="H634">_xlfn.IFS(G634&gt;15,"Long Commute",G634&gt;5,"Moderate",G634&lt;=5,"Near Office")</f>
        <v>Near Office</v>
      </c>
      <c r="I634" t="s">
        <v>83</v>
      </c>
      <c r="J634" t="s">
        <v>38</v>
      </c>
      <c r="K634">
        <v>2</v>
      </c>
      <c r="L634" t="s">
        <v>46</v>
      </c>
      <c r="M634">
        <v>45</v>
      </c>
      <c r="N634">
        <v>3</v>
      </c>
      <c r="O634">
        <v>2</v>
      </c>
      <c r="P634" t="s">
        <v>47</v>
      </c>
      <c r="Q634" t="s">
        <v>77</v>
      </c>
      <c r="R634" t="s">
        <v>48</v>
      </c>
      <c r="S634">
        <v>5484</v>
      </c>
      <c r="T634" t="str" cm="1">
        <f t="array" ref="T634">_xlfn.IFS(S634&gt;=10000,"High (&gt;10k)",S634&gt;=5000,"Medium (5k-10k)",S634&lt;5000,"Low (&lt;5k)")</f>
        <v>Medium (5k-10k)</v>
      </c>
      <c r="U634">
        <v>13008</v>
      </c>
      <c r="V634">
        <v>9</v>
      </c>
      <c r="W634" t="s">
        <v>43</v>
      </c>
      <c r="X634">
        <v>17</v>
      </c>
      <c r="Y634">
        <v>3</v>
      </c>
      <c r="Z634">
        <v>2</v>
      </c>
      <c r="AA634">
        <v>1</v>
      </c>
      <c r="AB634">
        <v>9</v>
      </c>
      <c r="AC634">
        <v>3</v>
      </c>
      <c r="AD634" t="s">
        <v>81</v>
      </c>
      <c r="AE634">
        <v>2</v>
      </c>
      <c r="AF634" t="str" cm="1">
        <f t="array" ref="AF634">_xlfn.IFS(AE634&gt;=10,"Veteran (10y+)",AE634&gt;=3,"Established (3-10y)",AE634&lt;3,"New Hire (&lt;3y)")</f>
        <v>New Hire (&lt;3y)</v>
      </c>
      <c r="AG634">
        <v>2</v>
      </c>
      <c r="AH634">
        <v>2</v>
      </c>
      <c r="AI634">
        <v>1</v>
      </c>
    </row>
    <row r="635" spans="1:35">
      <c r="A635">
        <v>34</v>
      </c>
      <c r="B635" t="str">
        <f t="shared" si="9"/>
        <v>Middle Aged</v>
      </c>
      <c r="C635">
        <v>0</v>
      </c>
      <c r="D635" t="s">
        <v>44</v>
      </c>
      <c r="E635">
        <v>653</v>
      </c>
      <c r="F635" t="s">
        <v>45</v>
      </c>
      <c r="G635">
        <v>10</v>
      </c>
      <c r="H635" t="str" cm="1">
        <f t="array" ref="H635">_xlfn.IFS(G635&gt;15,"Long Commute",G635&gt;5,"Moderate",G635&lt;=5,"Near Office")</f>
        <v>Moderate</v>
      </c>
      <c r="I635" t="s">
        <v>83</v>
      </c>
      <c r="J635" t="s">
        <v>60</v>
      </c>
      <c r="K635">
        <v>4</v>
      </c>
      <c r="L635" t="s">
        <v>46</v>
      </c>
      <c r="M635">
        <v>92</v>
      </c>
      <c r="N635">
        <v>2</v>
      </c>
      <c r="O635">
        <v>2</v>
      </c>
      <c r="P635" t="s">
        <v>54</v>
      </c>
      <c r="Q635" t="s">
        <v>73</v>
      </c>
      <c r="R635" t="s">
        <v>48</v>
      </c>
      <c r="S635">
        <v>5063</v>
      </c>
      <c r="T635" t="str" cm="1">
        <f t="array" ref="T635">_xlfn.IFS(S635&gt;=10000,"High (&gt;10k)",S635&gt;=5000,"Medium (5k-10k)",S635&lt;5000,"Low (&lt;5k)")</f>
        <v>Medium (5k-10k)</v>
      </c>
      <c r="U635">
        <v>15332</v>
      </c>
      <c r="V635">
        <v>1</v>
      </c>
      <c r="W635" t="s">
        <v>43</v>
      </c>
      <c r="X635">
        <v>14</v>
      </c>
      <c r="Y635">
        <v>3</v>
      </c>
      <c r="Z635">
        <v>2</v>
      </c>
      <c r="AA635">
        <v>1</v>
      </c>
      <c r="AB635">
        <v>8</v>
      </c>
      <c r="AC635">
        <v>3</v>
      </c>
      <c r="AD635" t="s">
        <v>81</v>
      </c>
      <c r="AE635">
        <v>8</v>
      </c>
      <c r="AF635" t="str" cm="1">
        <f t="array" ref="AF635">_xlfn.IFS(AE635&gt;=10,"Veteran (10y+)",AE635&gt;=3,"Established (3-10y)",AE635&lt;3,"New Hire (&lt;3y)")</f>
        <v>Established (3-10y)</v>
      </c>
      <c r="AG635">
        <v>2</v>
      </c>
      <c r="AH635">
        <v>7</v>
      </c>
      <c r="AI635">
        <v>7</v>
      </c>
    </row>
    <row r="636" spans="1:35">
      <c r="A636">
        <v>34</v>
      </c>
      <c r="B636" t="str">
        <f t="shared" si="9"/>
        <v>Middle Aged</v>
      </c>
      <c r="C636">
        <v>0</v>
      </c>
      <c r="D636" t="s">
        <v>44</v>
      </c>
      <c r="E636">
        <v>426</v>
      </c>
      <c r="F636" t="s">
        <v>45</v>
      </c>
      <c r="G636">
        <v>10</v>
      </c>
      <c r="H636" t="str" cm="1">
        <f t="array" ref="H636">_xlfn.IFS(G636&gt;15,"Long Commute",G636&gt;5,"Moderate",G636&lt;=5,"Near Office")</f>
        <v>Moderate</v>
      </c>
      <c r="I636" t="s">
        <v>83</v>
      </c>
      <c r="J636" t="s">
        <v>38</v>
      </c>
      <c r="K636">
        <v>3</v>
      </c>
      <c r="L636" t="s">
        <v>46</v>
      </c>
      <c r="M636">
        <v>42</v>
      </c>
      <c r="N636">
        <v>4</v>
      </c>
      <c r="O636">
        <v>2</v>
      </c>
      <c r="P636" t="s">
        <v>53</v>
      </c>
      <c r="Q636" t="s">
        <v>77</v>
      </c>
      <c r="R636" t="s">
        <v>52</v>
      </c>
      <c r="S636">
        <v>4724</v>
      </c>
      <c r="T636" t="str" cm="1">
        <f t="array" ref="T636">_xlfn.IFS(S636&gt;=10000,"High (&gt;10k)",S636&gt;=5000,"Medium (5k-10k)",S636&lt;5000,"Low (&lt;5k)")</f>
        <v>Low (&lt;5k)</v>
      </c>
      <c r="U636">
        <v>17000</v>
      </c>
      <c r="V636">
        <v>1</v>
      </c>
      <c r="W636" t="s">
        <v>43</v>
      </c>
      <c r="X636">
        <v>13</v>
      </c>
      <c r="Y636">
        <v>3</v>
      </c>
      <c r="Z636">
        <v>1</v>
      </c>
      <c r="AA636">
        <v>1</v>
      </c>
      <c r="AB636">
        <v>9</v>
      </c>
      <c r="AC636">
        <v>3</v>
      </c>
      <c r="AD636" t="s">
        <v>74</v>
      </c>
      <c r="AE636">
        <v>9</v>
      </c>
      <c r="AF636" t="str" cm="1">
        <f t="array" ref="AF636">_xlfn.IFS(AE636&gt;=10,"Veteran (10y+)",AE636&gt;=3,"Established (3-10y)",AE636&lt;3,"New Hire (&lt;3y)")</f>
        <v>Established (3-10y)</v>
      </c>
      <c r="AG636">
        <v>7</v>
      </c>
      <c r="AH636">
        <v>7</v>
      </c>
      <c r="AI636">
        <v>2</v>
      </c>
    </row>
    <row r="637" spans="1:35">
      <c r="A637">
        <v>34</v>
      </c>
      <c r="B637" t="str">
        <f t="shared" si="9"/>
        <v>Middle Aged</v>
      </c>
      <c r="C637">
        <v>0</v>
      </c>
      <c r="D637" t="s">
        <v>36</v>
      </c>
      <c r="E637">
        <v>1130</v>
      </c>
      <c r="F637" t="s">
        <v>45</v>
      </c>
      <c r="G637">
        <v>3</v>
      </c>
      <c r="H637" t="str" cm="1">
        <f t="array" ref="H637">_xlfn.IFS(G637&gt;15,"Long Commute",G637&gt;5,"Moderate",G637&lt;=5,"Near Office")</f>
        <v>Near Office</v>
      </c>
      <c r="I637" t="s">
        <v>72</v>
      </c>
      <c r="J637" t="s">
        <v>38</v>
      </c>
      <c r="K637">
        <v>4</v>
      </c>
      <c r="L637" t="s">
        <v>39</v>
      </c>
      <c r="M637">
        <v>66</v>
      </c>
      <c r="N637">
        <v>3</v>
      </c>
      <c r="O637">
        <v>2</v>
      </c>
      <c r="P637" t="s">
        <v>47</v>
      </c>
      <c r="Q637" t="s">
        <v>75</v>
      </c>
      <c r="R637" t="s">
        <v>52</v>
      </c>
      <c r="S637">
        <v>5433</v>
      </c>
      <c r="T637" t="str" cm="1">
        <f t="array" ref="T637">_xlfn.IFS(S637&gt;=10000,"High (&gt;10k)",S637&gt;=5000,"Medium (5k-10k)",S637&lt;5000,"Low (&lt;5k)")</f>
        <v>Medium (5k-10k)</v>
      </c>
      <c r="U637">
        <v>19332</v>
      </c>
      <c r="V637">
        <v>1</v>
      </c>
      <c r="W637" t="s">
        <v>43</v>
      </c>
      <c r="X637">
        <v>12</v>
      </c>
      <c r="Y637">
        <v>3</v>
      </c>
      <c r="Z637">
        <v>3</v>
      </c>
      <c r="AA637">
        <v>1</v>
      </c>
      <c r="AB637">
        <v>11</v>
      </c>
      <c r="AC637">
        <v>2</v>
      </c>
      <c r="AD637" t="s">
        <v>74</v>
      </c>
      <c r="AE637">
        <v>11</v>
      </c>
      <c r="AF637" t="str" cm="1">
        <f t="array" ref="AF637">_xlfn.IFS(AE637&gt;=10,"Veteran (10y+)",AE637&gt;=3,"Established (3-10y)",AE637&lt;3,"New Hire (&lt;3y)")</f>
        <v>Veteran (10y+)</v>
      </c>
      <c r="AG637">
        <v>8</v>
      </c>
      <c r="AH637">
        <v>7</v>
      </c>
      <c r="AI637">
        <v>9</v>
      </c>
    </row>
    <row r="638" spans="1:35">
      <c r="A638">
        <v>34</v>
      </c>
      <c r="B638" t="str">
        <f t="shared" si="9"/>
        <v>Middle Aged</v>
      </c>
      <c r="C638">
        <v>0</v>
      </c>
      <c r="D638" t="s">
        <v>36</v>
      </c>
      <c r="E638">
        <v>1157</v>
      </c>
      <c r="F638" t="s">
        <v>45</v>
      </c>
      <c r="G638">
        <v>5</v>
      </c>
      <c r="H638" t="str" cm="1">
        <f t="array" ref="H638">_xlfn.IFS(G638&gt;15,"Long Commute",G638&gt;5,"Moderate",G638&lt;=5,"Near Office")</f>
        <v>Near Office</v>
      </c>
      <c r="I638" t="s">
        <v>76</v>
      </c>
      <c r="J638" t="s">
        <v>51</v>
      </c>
      <c r="K638">
        <v>2</v>
      </c>
      <c r="L638" t="s">
        <v>46</v>
      </c>
      <c r="M638">
        <v>57</v>
      </c>
      <c r="N638">
        <v>2</v>
      </c>
      <c r="O638">
        <v>2</v>
      </c>
      <c r="P638" t="s">
        <v>50</v>
      </c>
      <c r="Q638" t="s">
        <v>77</v>
      </c>
      <c r="R638" t="s">
        <v>48</v>
      </c>
      <c r="S638">
        <v>3986</v>
      </c>
      <c r="T638" t="str" cm="1">
        <f t="array" ref="T638">_xlfn.IFS(S638&gt;=10000,"High (&gt;10k)",S638&gt;=5000,"Medium (5k-10k)",S638&lt;5000,"Low (&lt;5k)")</f>
        <v>Low (&lt;5k)</v>
      </c>
      <c r="U638">
        <v>11912</v>
      </c>
      <c r="V638">
        <v>1</v>
      </c>
      <c r="W638" t="s">
        <v>43</v>
      </c>
      <c r="X638">
        <v>14</v>
      </c>
      <c r="Y638">
        <v>3</v>
      </c>
      <c r="Z638">
        <v>3</v>
      </c>
      <c r="AA638">
        <v>1</v>
      </c>
      <c r="AB638">
        <v>15</v>
      </c>
      <c r="AC638">
        <v>3</v>
      </c>
      <c r="AD638" t="s">
        <v>79</v>
      </c>
      <c r="AE638">
        <v>15</v>
      </c>
      <c r="AF638" t="str" cm="1">
        <f t="array" ref="AF638">_xlfn.IFS(AE638&gt;=10,"Veteran (10y+)",AE638&gt;=3,"Established (3-10y)",AE638&lt;3,"New Hire (&lt;3y)")</f>
        <v>Veteran (10y+)</v>
      </c>
      <c r="AG638">
        <v>10</v>
      </c>
      <c r="AH638">
        <v>4</v>
      </c>
      <c r="AI638">
        <v>13</v>
      </c>
    </row>
    <row r="639" spans="1:35">
      <c r="A639">
        <v>34</v>
      </c>
      <c r="B639" t="str">
        <f t="shared" si="9"/>
        <v>Middle Aged</v>
      </c>
      <c r="C639">
        <v>0</v>
      </c>
      <c r="D639" t="s">
        <v>36</v>
      </c>
      <c r="E639">
        <v>678</v>
      </c>
      <c r="F639" t="s">
        <v>45</v>
      </c>
      <c r="G639">
        <v>19</v>
      </c>
      <c r="H639" t="str" cm="1">
        <f t="array" ref="H639">_xlfn.IFS(G639&gt;15,"Long Commute",G639&gt;5,"Moderate",G639&lt;=5,"Near Office")</f>
        <v>Long Commute</v>
      </c>
      <c r="I639" t="s">
        <v>72</v>
      </c>
      <c r="J639" t="s">
        <v>38</v>
      </c>
      <c r="K639">
        <v>2</v>
      </c>
      <c r="L639" t="s">
        <v>39</v>
      </c>
      <c r="M639">
        <v>35</v>
      </c>
      <c r="N639">
        <v>2</v>
      </c>
      <c r="O639">
        <v>1</v>
      </c>
      <c r="P639" t="s">
        <v>47</v>
      </c>
      <c r="Q639" t="s">
        <v>77</v>
      </c>
      <c r="R639" t="s">
        <v>48</v>
      </c>
      <c r="S639">
        <v>2929</v>
      </c>
      <c r="T639" t="str" cm="1">
        <f t="array" ref="T639">_xlfn.IFS(S639&gt;=10000,"High (&gt;10k)",S639&gt;=5000,"Medium (5k-10k)",S639&lt;5000,"Low (&lt;5k)")</f>
        <v>Low (&lt;5k)</v>
      </c>
      <c r="U639">
        <v>20338</v>
      </c>
      <c r="V639">
        <v>1</v>
      </c>
      <c r="W639" t="s">
        <v>43</v>
      </c>
      <c r="X639">
        <v>12</v>
      </c>
      <c r="Y639">
        <v>3</v>
      </c>
      <c r="Z639">
        <v>2</v>
      </c>
      <c r="AA639">
        <v>0</v>
      </c>
      <c r="AB639">
        <v>10</v>
      </c>
      <c r="AC639">
        <v>3</v>
      </c>
      <c r="AD639" t="s">
        <v>74</v>
      </c>
      <c r="AE639">
        <v>10</v>
      </c>
      <c r="AF639" t="str" cm="1">
        <f t="array" ref="AF639">_xlfn.IFS(AE639&gt;=10,"Veteran (10y+)",AE639&gt;=3,"Established (3-10y)",AE639&lt;3,"New Hire (&lt;3y)")</f>
        <v>Veteran (10y+)</v>
      </c>
      <c r="AG639">
        <v>9</v>
      </c>
      <c r="AH639">
        <v>8</v>
      </c>
      <c r="AI639">
        <v>7</v>
      </c>
    </row>
    <row r="640" spans="1:35">
      <c r="A640">
        <v>34</v>
      </c>
      <c r="B640" t="str">
        <f t="shared" si="9"/>
        <v>Middle Aged</v>
      </c>
      <c r="C640">
        <v>0</v>
      </c>
      <c r="D640" t="s">
        <v>36</v>
      </c>
      <c r="E640">
        <v>181</v>
      </c>
      <c r="F640" t="s">
        <v>45</v>
      </c>
      <c r="G640">
        <v>2</v>
      </c>
      <c r="H640" t="str" cm="1">
        <f t="array" ref="H640">_xlfn.IFS(G640&gt;15,"Long Commute",G640&gt;5,"Moderate",G640&lt;=5,"Near Office")</f>
        <v>Near Office</v>
      </c>
      <c r="I640" t="s">
        <v>83</v>
      </c>
      <c r="J640" t="s">
        <v>51</v>
      </c>
      <c r="K640">
        <v>4</v>
      </c>
      <c r="L640" t="s">
        <v>46</v>
      </c>
      <c r="M640">
        <v>97</v>
      </c>
      <c r="N640">
        <v>4</v>
      </c>
      <c r="O640">
        <v>1</v>
      </c>
      <c r="P640" t="s">
        <v>47</v>
      </c>
      <c r="Q640" t="s">
        <v>77</v>
      </c>
      <c r="R640" t="s">
        <v>48</v>
      </c>
      <c r="S640">
        <v>2932</v>
      </c>
      <c r="T640" t="str" cm="1">
        <f t="array" ref="T640">_xlfn.IFS(S640&gt;=10000,"High (&gt;10k)",S640&gt;=5000,"Medium (5k-10k)",S640&lt;5000,"Low (&lt;5k)")</f>
        <v>Low (&lt;5k)</v>
      </c>
      <c r="U640">
        <v>5586</v>
      </c>
      <c r="V640">
        <v>0</v>
      </c>
      <c r="W640" t="s">
        <v>35</v>
      </c>
      <c r="X640">
        <v>14</v>
      </c>
      <c r="Y640">
        <v>3</v>
      </c>
      <c r="Z640">
        <v>1</v>
      </c>
      <c r="AA640">
        <v>3</v>
      </c>
      <c r="AB640">
        <v>6</v>
      </c>
      <c r="AC640">
        <v>3</v>
      </c>
      <c r="AD640" t="s">
        <v>74</v>
      </c>
      <c r="AE640">
        <v>5</v>
      </c>
      <c r="AF640" t="str" cm="1">
        <f t="array" ref="AF640">_xlfn.IFS(AE640&gt;=10,"Veteran (10y+)",AE640&gt;=3,"Established (3-10y)",AE640&lt;3,"New Hire (&lt;3y)")</f>
        <v>Established (3-10y)</v>
      </c>
      <c r="AG640">
        <v>0</v>
      </c>
      <c r="AH640">
        <v>1</v>
      </c>
      <c r="AI640">
        <v>2</v>
      </c>
    </row>
    <row r="641" spans="1:35">
      <c r="A641">
        <v>34</v>
      </c>
      <c r="B641" t="str">
        <f t="shared" si="9"/>
        <v>Middle Aged</v>
      </c>
      <c r="C641">
        <v>0</v>
      </c>
      <c r="D641" t="s">
        <v>55</v>
      </c>
      <c r="E641">
        <v>1375</v>
      </c>
      <c r="F641" t="s">
        <v>37</v>
      </c>
      <c r="G641">
        <v>10</v>
      </c>
      <c r="H641" t="str" cm="1">
        <f t="array" ref="H641">_xlfn.IFS(G641&gt;15,"Long Commute",G641&gt;5,"Moderate",G641&lt;=5,"Near Office")</f>
        <v>Moderate</v>
      </c>
      <c r="I641" t="s">
        <v>72</v>
      </c>
      <c r="J641" t="s">
        <v>38</v>
      </c>
      <c r="K641">
        <v>4</v>
      </c>
      <c r="L641" t="s">
        <v>46</v>
      </c>
      <c r="M641">
        <v>87</v>
      </c>
      <c r="N641">
        <v>3</v>
      </c>
      <c r="O641">
        <v>2</v>
      </c>
      <c r="P641" t="s">
        <v>40</v>
      </c>
      <c r="Q641" t="s">
        <v>73</v>
      </c>
      <c r="R641" t="s">
        <v>52</v>
      </c>
      <c r="S641">
        <v>4001</v>
      </c>
      <c r="T641" t="str" cm="1">
        <f t="array" ref="T641">_xlfn.IFS(S641&gt;=10000,"High (&gt;10k)",S641&gt;=5000,"Medium (5k-10k)",S641&lt;5000,"Low (&lt;5k)")</f>
        <v>Low (&lt;5k)</v>
      </c>
      <c r="U641">
        <v>12313</v>
      </c>
      <c r="V641">
        <v>1</v>
      </c>
      <c r="W641" t="s">
        <v>35</v>
      </c>
      <c r="X641">
        <v>14</v>
      </c>
      <c r="Y641">
        <v>3</v>
      </c>
      <c r="Z641">
        <v>3</v>
      </c>
      <c r="AA641">
        <v>1</v>
      </c>
      <c r="AB641">
        <v>15</v>
      </c>
      <c r="AC641">
        <v>3</v>
      </c>
      <c r="AD641" t="s">
        <v>74</v>
      </c>
      <c r="AE641">
        <v>15</v>
      </c>
      <c r="AF641" t="str" cm="1">
        <f t="array" ref="AF641">_xlfn.IFS(AE641&gt;=10,"Veteran (10y+)",AE641&gt;=3,"Established (3-10y)",AE641&lt;3,"New Hire (&lt;3y)")</f>
        <v>Veteran (10y+)</v>
      </c>
      <c r="AG641">
        <v>14</v>
      </c>
      <c r="AH641">
        <v>0</v>
      </c>
      <c r="AI641">
        <v>7</v>
      </c>
    </row>
    <row r="642" spans="1:35">
      <c r="A642">
        <v>34</v>
      </c>
      <c r="B642" t="str">
        <f t="shared" si="9"/>
        <v>Middle Aged</v>
      </c>
      <c r="C642">
        <v>0</v>
      </c>
      <c r="D642" t="s">
        <v>36</v>
      </c>
      <c r="E642">
        <v>511</v>
      </c>
      <c r="F642" t="s">
        <v>37</v>
      </c>
      <c r="G642">
        <v>3</v>
      </c>
      <c r="H642" t="str" cm="1">
        <f t="array" ref="H642">_xlfn.IFS(G642&gt;15,"Long Commute",G642&gt;5,"Moderate",G642&lt;=5,"Near Office")</f>
        <v>Near Office</v>
      </c>
      <c r="I642" t="s">
        <v>76</v>
      </c>
      <c r="J642" t="s">
        <v>38</v>
      </c>
      <c r="K642">
        <v>4</v>
      </c>
      <c r="L642" t="s">
        <v>39</v>
      </c>
      <c r="M642">
        <v>32</v>
      </c>
      <c r="N642">
        <v>1</v>
      </c>
      <c r="O642">
        <v>2</v>
      </c>
      <c r="P642" t="s">
        <v>40</v>
      </c>
      <c r="Q642" t="s">
        <v>77</v>
      </c>
      <c r="R642" t="s">
        <v>41</v>
      </c>
      <c r="S642">
        <v>6029</v>
      </c>
      <c r="T642" t="str" cm="1">
        <f t="array" ref="T642">_xlfn.IFS(S642&gt;=10000,"High (&gt;10k)",S642&gt;=5000,"Medium (5k-10k)",S642&lt;5000,"Low (&lt;5k)")</f>
        <v>Medium (5k-10k)</v>
      </c>
      <c r="U642">
        <v>25353</v>
      </c>
      <c r="V642">
        <v>5</v>
      </c>
      <c r="W642" t="s">
        <v>43</v>
      </c>
      <c r="X642">
        <v>12</v>
      </c>
      <c r="Y642">
        <v>3</v>
      </c>
      <c r="Z642">
        <v>1</v>
      </c>
      <c r="AA642">
        <v>0</v>
      </c>
      <c r="AB642">
        <v>6</v>
      </c>
      <c r="AC642">
        <v>3</v>
      </c>
      <c r="AD642" t="s">
        <v>74</v>
      </c>
      <c r="AE642">
        <v>2</v>
      </c>
      <c r="AF642" t="str" cm="1">
        <f t="array" ref="AF642">_xlfn.IFS(AE642&gt;=10,"Veteran (10y+)",AE642&gt;=3,"Established (3-10y)",AE642&lt;3,"New Hire (&lt;3y)")</f>
        <v>New Hire (&lt;3y)</v>
      </c>
      <c r="AG642">
        <v>2</v>
      </c>
      <c r="AH642">
        <v>2</v>
      </c>
      <c r="AI642">
        <v>2</v>
      </c>
    </row>
    <row r="643" spans="1:35">
      <c r="A643">
        <v>34</v>
      </c>
      <c r="B643" t="str">
        <f t="shared" ref="B643:B706" si="10">IF(A643&gt;=46,"Senior",IF(A643&gt;=30,"Middle Aged","Young Adults"))</f>
        <v>Middle Aged</v>
      </c>
      <c r="C643">
        <v>1</v>
      </c>
      <c r="D643" t="s">
        <v>44</v>
      </c>
      <c r="E643">
        <v>234</v>
      </c>
      <c r="F643" t="s">
        <v>45</v>
      </c>
      <c r="G643">
        <v>9</v>
      </c>
      <c r="H643" t="str" cm="1">
        <f t="array" ref="H643">_xlfn.IFS(G643&gt;15,"Long Commute",G643&gt;5,"Moderate",G643&lt;=5,"Near Office")</f>
        <v>Moderate</v>
      </c>
      <c r="I643" t="s">
        <v>83</v>
      </c>
      <c r="J643" t="s">
        <v>38</v>
      </c>
      <c r="K643">
        <v>4</v>
      </c>
      <c r="L643" t="s">
        <v>46</v>
      </c>
      <c r="M643">
        <v>93</v>
      </c>
      <c r="N643">
        <v>3</v>
      </c>
      <c r="O643">
        <v>2</v>
      </c>
      <c r="P643" t="s">
        <v>50</v>
      </c>
      <c r="Q643" t="s">
        <v>82</v>
      </c>
      <c r="R643" t="s">
        <v>48</v>
      </c>
      <c r="S643">
        <v>5346</v>
      </c>
      <c r="T643" t="str" cm="1">
        <f t="array" ref="T643">_xlfn.IFS(S643&gt;=10000,"High (&gt;10k)",S643&gt;=5000,"Medium (5k-10k)",S643&lt;5000,"Low (&lt;5k)")</f>
        <v>Medium (5k-10k)</v>
      </c>
      <c r="U643">
        <v>6208</v>
      </c>
      <c r="V643">
        <v>4</v>
      </c>
      <c r="W643" t="s">
        <v>43</v>
      </c>
      <c r="X643">
        <v>17</v>
      </c>
      <c r="Y643">
        <v>3</v>
      </c>
      <c r="Z643">
        <v>3</v>
      </c>
      <c r="AA643">
        <v>1</v>
      </c>
      <c r="AB643">
        <v>11</v>
      </c>
      <c r="AC643">
        <v>3</v>
      </c>
      <c r="AD643" t="s">
        <v>81</v>
      </c>
      <c r="AE643">
        <v>7</v>
      </c>
      <c r="AF643" t="str" cm="1">
        <f t="array" ref="AF643">_xlfn.IFS(AE643&gt;=10,"Veteran (10y+)",AE643&gt;=3,"Established (3-10y)",AE643&lt;3,"New Hire (&lt;3y)")</f>
        <v>Established (3-10y)</v>
      </c>
      <c r="AG643">
        <v>1</v>
      </c>
      <c r="AH643">
        <v>0</v>
      </c>
      <c r="AI643">
        <v>7</v>
      </c>
    </row>
    <row r="644" spans="1:35">
      <c r="A644">
        <v>34</v>
      </c>
      <c r="B644" t="str">
        <f t="shared" si="10"/>
        <v>Middle Aged</v>
      </c>
      <c r="C644">
        <v>0</v>
      </c>
      <c r="D644" t="s">
        <v>36</v>
      </c>
      <c r="E644">
        <v>810</v>
      </c>
      <c r="F644" t="s">
        <v>37</v>
      </c>
      <c r="G644">
        <v>8</v>
      </c>
      <c r="H644" t="str" cm="1">
        <f t="array" ref="H644">_xlfn.IFS(G644&gt;15,"Long Commute",G644&gt;5,"Moderate",G644&lt;=5,"Near Office")</f>
        <v>Moderate</v>
      </c>
      <c r="I644" t="s">
        <v>76</v>
      </c>
      <c r="J644" t="s">
        <v>60</v>
      </c>
      <c r="K644">
        <v>2</v>
      </c>
      <c r="L644" t="s">
        <v>46</v>
      </c>
      <c r="M644">
        <v>92</v>
      </c>
      <c r="N644">
        <v>4</v>
      </c>
      <c r="O644">
        <v>2</v>
      </c>
      <c r="P644" t="s">
        <v>40</v>
      </c>
      <c r="Q644" t="s">
        <v>73</v>
      </c>
      <c r="R644" t="s">
        <v>48</v>
      </c>
      <c r="S644">
        <v>6799</v>
      </c>
      <c r="T644" t="str" cm="1">
        <f t="array" ref="T644">_xlfn.IFS(S644&gt;=10000,"High (&gt;10k)",S644&gt;=5000,"Medium (5k-10k)",S644&lt;5000,"Low (&lt;5k)")</f>
        <v>Medium (5k-10k)</v>
      </c>
      <c r="U644">
        <v>22128</v>
      </c>
      <c r="V644">
        <v>1</v>
      </c>
      <c r="W644" t="s">
        <v>43</v>
      </c>
      <c r="X644">
        <v>21</v>
      </c>
      <c r="Y644">
        <v>4</v>
      </c>
      <c r="Z644">
        <v>3</v>
      </c>
      <c r="AA644">
        <v>2</v>
      </c>
      <c r="AB644">
        <v>10</v>
      </c>
      <c r="AC644">
        <v>5</v>
      </c>
      <c r="AD644" t="s">
        <v>74</v>
      </c>
      <c r="AE644">
        <v>10</v>
      </c>
      <c r="AF644" t="str" cm="1">
        <f t="array" ref="AF644">_xlfn.IFS(AE644&gt;=10,"Veteran (10y+)",AE644&gt;=3,"Established (3-10y)",AE644&lt;3,"New Hire (&lt;3y)")</f>
        <v>Veteran (10y+)</v>
      </c>
      <c r="AG644">
        <v>8</v>
      </c>
      <c r="AH644">
        <v>4</v>
      </c>
      <c r="AI644">
        <v>8</v>
      </c>
    </row>
    <row r="645" spans="1:35">
      <c r="A645">
        <v>34</v>
      </c>
      <c r="B645" t="str">
        <f t="shared" si="10"/>
        <v>Middle Aged</v>
      </c>
      <c r="C645">
        <v>0</v>
      </c>
      <c r="D645" t="s">
        <v>36</v>
      </c>
      <c r="E645">
        <v>1480</v>
      </c>
      <c r="F645" t="s">
        <v>37</v>
      </c>
      <c r="G645">
        <v>4</v>
      </c>
      <c r="H645" t="str" cm="1">
        <f t="array" ref="H645">_xlfn.IFS(G645&gt;15,"Long Commute",G645&gt;5,"Moderate",G645&lt;=5,"Near Office")</f>
        <v>Near Office</v>
      </c>
      <c r="I645" t="s">
        <v>72</v>
      </c>
      <c r="J645" t="s">
        <v>38</v>
      </c>
      <c r="K645">
        <v>3</v>
      </c>
      <c r="L645" t="s">
        <v>46</v>
      </c>
      <c r="M645">
        <v>64</v>
      </c>
      <c r="N645">
        <v>3</v>
      </c>
      <c r="O645">
        <v>3</v>
      </c>
      <c r="P645" t="s">
        <v>40</v>
      </c>
      <c r="Q645" t="s">
        <v>77</v>
      </c>
      <c r="R645" t="s">
        <v>48</v>
      </c>
      <c r="S645">
        <v>9713</v>
      </c>
      <c r="T645" t="str" cm="1">
        <f t="array" ref="T645">_xlfn.IFS(S645&gt;=10000,"High (&gt;10k)",S645&gt;=5000,"Medium (5k-10k)",S645&lt;5000,"Low (&lt;5k)")</f>
        <v>Medium (5k-10k)</v>
      </c>
      <c r="U645">
        <v>24444</v>
      </c>
      <c r="V645">
        <v>2</v>
      </c>
      <c r="W645" t="s">
        <v>35</v>
      </c>
      <c r="X645">
        <v>13</v>
      </c>
      <c r="Y645">
        <v>3</v>
      </c>
      <c r="Z645">
        <v>4</v>
      </c>
      <c r="AA645">
        <v>3</v>
      </c>
      <c r="AB645">
        <v>9</v>
      </c>
      <c r="AC645">
        <v>3</v>
      </c>
      <c r="AD645" t="s">
        <v>74</v>
      </c>
      <c r="AE645">
        <v>5</v>
      </c>
      <c r="AF645" t="str" cm="1">
        <f t="array" ref="AF645">_xlfn.IFS(AE645&gt;=10,"Veteran (10y+)",AE645&gt;=3,"Established (3-10y)",AE645&lt;3,"New Hire (&lt;3y)")</f>
        <v>Established (3-10y)</v>
      </c>
      <c r="AG645">
        <v>3</v>
      </c>
      <c r="AH645">
        <v>1</v>
      </c>
      <c r="AI645">
        <v>0</v>
      </c>
    </row>
    <row r="646" spans="1:35">
      <c r="A646">
        <v>34</v>
      </c>
      <c r="B646" t="str">
        <f t="shared" si="10"/>
        <v>Middle Aged</v>
      </c>
      <c r="C646">
        <v>1</v>
      </c>
      <c r="D646" t="s">
        <v>55</v>
      </c>
      <c r="E646">
        <v>967</v>
      </c>
      <c r="F646" t="s">
        <v>45</v>
      </c>
      <c r="G646">
        <v>16</v>
      </c>
      <c r="H646" t="str" cm="1">
        <f t="array" ref="H646">_xlfn.IFS(G646&gt;15,"Long Commute",G646&gt;5,"Moderate",G646&lt;=5,"Near Office")</f>
        <v>Long Commute</v>
      </c>
      <c r="I646" t="s">
        <v>83</v>
      </c>
      <c r="J646" t="s">
        <v>60</v>
      </c>
      <c r="K646">
        <v>4</v>
      </c>
      <c r="L646" t="s">
        <v>46</v>
      </c>
      <c r="M646">
        <v>85</v>
      </c>
      <c r="N646">
        <v>1</v>
      </c>
      <c r="O646">
        <v>1</v>
      </c>
      <c r="P646" t="s">
        <v>47</v>
      </c>
      <c r="Q646" t="s">
        <v>82</v>
      </c>
      <c r="R646" t="s">
        <v>48</v>
      </c>
      <c r="S646">
        <v>2307</v>
      </c>
      <c r="T646" t="str" cm="1">
        <f t="array" ref="T646">_xlfn.IFS(S646&gt;=10000,"High (&gt;10k)",S646&gt;=5000,"Medium (5k-10k)",S646&lt;5000,"Low (&lt;5k)")</f>
        <v>Low (&lt;5k)</v>
      </c>
      <c r="U646">
        <v>14460</v>
      </c>
      <c r="V646">
        <v>1</v>
      </c>
      <c r="W646" t="s">
        <v>35</v>
      </c>
      <c r="X646">
        <v>23</v>
      </c>
      <c r="Y646">
        <v>4</v>
      </c>
      <c r="Z646">
        <v>2</v>
      </c>
      <c r="AA646">
        <v>1</v>
      </c>
      <c r="AB646">
        <v>5</v>
      </c>
      <c r="AC646">
        <v>2</v>
      </c>
      <c r="AD646" t="s">
        <v>74</v>
      </c>
      <c r="AE646">
        <v>5</v>
      </c>
      <c r="AF646" t="str" cm="1">
        <f t="array" ref="AF646">_xlfn.IFS(AE646&gt;=10,"Veteran (10y+)",AE646&gt;=3,"Established (3-10y)",AE646&lt;3,"New Hire (&lt;3y)")</f>
        <v>Established (3-10y)</v>
      </c>
      <c r="AG646">
        <v>2</v>
      </c>
      <c r="AH646">
        <v>3</v>
      </c>
      <c r="AI646">
        <v>0</v>
      </c>
    </row>
    <row r="647" spans="1:35">
      <c r="A647">
        <v>34</v>
      </c>
      <c r="B647" t="str">
        <f t="shared" si="10"/>
        <v>Middle Aged</v>
      </c>
      <c r="C647">
        <v>0</v>
      </c>
      <c r="D647" t="s">
        <v>36</v>
      </c>
      <c r="E647">
        <v>735</v>
      </c>
      <c r="F647" t="s">
        <v>37</v>
      </c>
      <c r="G647">
        <v>3</v>
      </c>
      <c r="H647" t="str" cm="1">
        <f t="array" ref="H647">_xlfn.IFS(G647&gt;15,"Long Commute",G647&gt;5,"Moderate",G647&lt;=5,"Near Office")</f>
        <v>Near Office</v>
      </c>
      <c r="I647" t="s">
        <v>78</v>
      </c>
      <c r="J647" t="s">
        <v>51</v>
      </c>
      <c r="K647">
        <v>4</v>
      </c>
      <c r="L647" t="s">
        <v>39</v>
      </c>
      <c r="M647">
        <v>75</v>
      </c>
      <c r="N647">
        <v>2</v>
      </c>
      <c r="O647">
        <v>2</v>
      </c>
      <c r="P647" t="s">
        <v>40</v>
      </c>
      <c r="Q647" t="s">
        <v>77</v>
      </c>
      <c r="R647" t="s">
        <v>48</v>
      </c>
      <c r="S647">
        <v>8103</v>
      </c>
      <c r="T647" t="str" cm="1">
        <f t="array" ref="T647">_xlfn.IFS(S647&gt;=10000,"High (&gt;10k)",S647&gt;=5000,"Medium (5k-10k)",S647&lt;5000,"Low (&lt;5k)")</f>
        <v>Medium (5k-10k)</v>
      </c>
      <c r="U647">
        <v>16495</v>
      </c>
      <c r="V647">
        <v>3</v>
      </c>
      <c r="W647" t="s">
        <v>35</v>
      </c>
      <c r="X647">
        <v>12</v>
      </c>
      <c r="Y647">
        <v>3</v>
      </c>
      <c r="Z647">
        <v>3</v>
      </c>
      <c r="AA647">
        <v>0</v>
      </c>
      <c r="AB647">
        <v>9</v>
      </c>
      <c r="AC647">
        <v>3</v>
      </c>
      <c r="AD647" t="s">
        <v>81</v>
      </c>
      <c r="AE647">
        <v>4</v>
      </c>
      <c r="AF647" t="str" cm="1">
        <f t="array" ref="AF647">_xlfn.IFS(AE647&gt;=10,"Veteran (10y+)",AE647&gt;=3,"Established (3-10y)",AE647&lt;3,"New Hire (&lt;3y)")</f>
        <v>Established (3-10y)</v>
      </c>
      <c r="AG647">
        <v>2</v>
      </c>
      <c r="AH647">
        <v>0</v>
      </c>
      <c r="AI647">
        <v>1</v>
      </c>
    </row>
    <row r="648" spans="1:35">
      <c r="A648">
        <v>34</v>
      </c>
      <c r="B648" t="str">
        <f t="shared" si="10"/>
        <v>Middle Aged</v>
      </c>
      <c r="C648">
        <v>0</v>
      </c>
      <c r="D648" t="s">
        <v>44</v>
      </c>
      <c r="E648">
        <v>735</v>
      </c>
      <c r="F648" t="s">
        <v>45</v>
      </c>
      <c r="G648">
        <v>22</v>
      </c>
      <c r="H648" t="str" cm="1">
        <f t="array" ref="H648">_xlfn.IFS(G648&gt;15,"Long Commute",G648&gt;5,"Moderate",G648&lt;=5,"Near Office")</f>
        <v>Long Commute</v>
      </c>
      <c r="I648" t="s">
        <v>83</v>
      </c>
      <c r="J648" t="s">
        <v>49</v>
      </c>
      <c r="K648">
        <v>3</v>
      </c>
      <c r="L648" t="s">
        <v>46</v>
      </c>
      <c r="M648">
        <v>86</v>
      </c>
      <c r="N648">
        <v>2</v>
      </c>
      <c r="O648">
        <v>2</v>
      </c>
      <c r="P648" t="s">
        <v>47</v>
      </c>
      <c r="Q648" t="s">
        <v>77</v>
      </c>
      <c r="R648" t="s">
        <v>48</v>
      </c>
      <c r="S648">
        <v>5747</v>
      </c>
      <c r="T648" t="str" cm="1">
        <f t="array" ref="T648">_xlfn.IFS(S648&gt;=10000,"High (&gt;10k)",S648&gt;=5000,"Medium (5k-10k)",S648&lt;5000,"Low (&lt;5k)")</f>
        <v>Medium (5k-10k)</v>
      </c>
      <c r="U648">
        <v>26496</v>
      </c>
      <c r="V648">
        <v>1</v>
      </c>
      <c r="W648" t="s">
        <v>35</v>
      </c>
      <c r="X648">
        <v>15</v>
      </c>
      <c r="Y648">
        <v>3</v>
      </c>
      <c r="Z648">
        <v>2</v>
      </c>
      <c r="AA648">
        <v>0</v>
      </c>
      <c r="AB648">
        <v>16</v>
      </c>
      <c r="AC648">
        <v>3</v>
      </c>
      <c r="AD648" t="s">
        <v>74</v>
      </c>
      <c r="AE648">
        <v>15</v>
      </c>
      <c r="AF648" t="str" cm="1">
        <f t="array" ref="AF648">_xlfn.IFS(AE648&gt;=10,"Veteran (10y+)",AE648&gt;=3,"Established (3-10y)",AE648&lt;3,"New Hire (&lt;3y)")</f>
        <v>Veteran (10y+)</v>
      </c>
      <c r="AG648">
        <v>10</v>
      </c>
      <c r="AH648">
        <v>6</v>
      </c>
      <c r="AI648">
        <v>11</v>
      </c>
    </row>
    <row r="649" spans="1:35">
      <c r="A649">
        <v>34</v>
      </c>
      <c r="B649" t="str">
        <f t="shared" si="10"/>
        <v>Middle Aged</v>
      </c>
      <c r="C649">
        <v>0</v>
      </c>
      <c r="D649" t="s">
        <v>36</v>
      </c>
      <c r="E649">
        <v>937</v>
      </c>
      <c r="F649" t="s">
        <v>37</v>
      </c>
      <c r="G649">
        <v>1</v>
      </c>
      <c r="H649" t="str" cm="1">
        <f t="array" ref="H649">_xlfn.IFS(G649&gt;15,"Long Commute",G649&gt;5,"Moderate",G649&lt;=5,"Near Office")</f>
        <v>Near Office</v>
      </c>
      <c r="I649" t="s">
        <v>72</v>
      </c>
      <c r="J649" t="s">
        <v>59</v>
      </c>
      <c r="K649">
        <v>1</v>
      </c>
      <c r="L649" t="s">
        <v>46</v>
      </c>
      <c r="M649">
        <v>32</v>
      </c>
      <c r="N649">
        <v>3</v>
      </c>
      <c r="O649">
        <v>3</v>
      </c>
      <c r="P649" t="s">
        <v>40</v>
      </c>
      <c r="Q649" t="s">
        <v>77</v>
      </c>
      <c r="R649" t="s">
        <v>41</v>
      </c>
      <c r="S649">
        <v>9888</v>
      </c>
      <c r="T649" t="str" cm="1">
        <f t="array" ref="T649">_xlfn.IFS(S649&gt;=10000,"High (&gt;10k)",S649&gt;=5000,"Medium (5k-10k)",S649&lt;5000,"Low (&lt;5k)")</f>
        <v>Medium (5k-10k)</v>
      </c>
      <c r="U649">
        <v>6770</v>
      </c>
      <c r="V649">
        <v>1</v>
      </c>
      <c r="W649" t="s">
        <v>43</v>
      </c>
      <c r="X649">
        <v>21</v>
      </c>
      <c r="Y649">
        <v>4</v>
      </c>
      <c r="Z649">
        <v>1</v>
      </c>
      <c r="AA649">
        <v>0</v>
      </c>
      <c r="AB649">
        <v>14</v>
      </c>
      <c r="AC649">
        <v>3</v>
      </c>
      <c r="AD649" t="s">
        <v>81</v>
      </c>
      <c r="AE649">
        <v>14</v>
      </c>
      <c r="AF649" t="str" cm="1">
        <f t="array" ref="AF649">_xlfn.IFS(AE649&gt;=10,"Veteran (10y+)",AE649&gt;=3,"Established (3-10y)",AE649&lt;3,"New Hire (&lt;3y)")</f>
        <v>Veteran (10y+)</v>
      </c>
      <c r="AG649">
        <v>8</v>
      </c>
      <c r="AH649">
        <v>2</v>
      </c>
      <c r="AI649">
        <v>1</v>
      </c>
    </row>
    <row r="650" spans="1:35">
      <c r="A650">
        <v>34</v>
      </c>
      <c r="B650" t="str">
        <f t="shared" si="10"/>
        <v>Middle Aged</v>
      </c>
      <c r="C650">
        <v>0</v>
      </c>
      <c r="D650" t="s">
        <v>36</v>
      </c>
      <c r="E650">
        <v>1239</v>
      </c>
      <c r="F650" t="s">
        <v>37</v>
      </c>
      <c r="G650">
        <v>13</v>
      </c>
      <c r="H650" t="str" cm="1">
        <f t="array" ref="H650">_xlfn.IFS(G650&gt;15,"Long Commute",G650&gt;5,"Moderate",G650&lt;=5,"Near Office")</f>
        <v>Moderate</v>
      </c>
      <c r="I650" t="s">
        <v>83</v>
      </c>
      <c r="J650" t="s">
        <v>51</v>
      </c>
      <c r="K650">
        <v>4</v>
      </c>
      <c r="L650" t="s">
        <v>46</v>
      </c>
      <c r="M650">
        <v>39</v>
      </c>
      <c r="N650">
        <v>3</v>
      </c>
      <c r="O650">
        <v>3</v>
      </c>
      <c r="P650" t="s">
        <v>40</v>
      </c>
      <c r="Q650" t="s">
        <v>73</v>
      </c>
      <c r="R650" t="s">
        <v>52</v>
      </c>
      <c r="S650">
        <v>8628</v>
      </c>
      <c r="T650" t="str" cm="1">
        <f t="array" ref="T650">_xlfn.IFS(S650&gt;=10000,"High (&gt;10k)",S650&gt;=5000,"Medium (5k-10k)",S650&lt;5000,"Low (&lt;5k)")</f>
        <v>Medium (5k-10k)</v>
      </c>
      <c r="U650">
        <v>22914</v>
      </c>
      <c r="V650">
        <v>1</v>
      </c>
      <c r="W650" t="s">
        <v>43</v>
      </c>
      <c r="X650">
        <v>18</v>
      </c>
      <c r="Y650">
        <v>3</v>
      </c>
      <c r="Z650">
        <v>3</v>
      </c>
      <c r="AA650">
        <v>1</v>
      </c>
      <c r="AB650">
        <v>9</v>
      </c>
      <c r="AC650">
        <v>2</v>
      </c>
      <c r="AD650" t="s">
        <v>81</v>
      </c>
      <c r="AE650">
        <v>8</v>
      </c>
      <c r="AF650" t="str" cm="1">
        <f t="array" ref="AF650">_xlfn.IFS(AE650&gt;=10,"Veteran (10y+)",AE650&gt;=3,"Established (3-10y)",AE650&lt;3,"New Hire (&lt;3y)")</f>
        <v>Established (3-10y)</v>
      </c>
      <c r="AG650">
        <v>7</v>
      </c>
      <c r="AH650">
        <v>1</v>
      </c>
      <c r="AI650">
        <v>1</v>
      </c>
    </row>
    <row r="651" spans="1:35">
      <c r="A651">
        <v>34</v>
      </c>
      <c r="B651" t="str">
        <f t="shared" si="10"/>
        <v>Middle Aged</v>
      </c>
      <c r="C651">
        <v>0</v>
      </c>
      <c r="D651" t="s">
        <v>36</v>
      </c>
      <c r="E651">
        <v>704</v>
      </c>
      <c r="F651" t="s">
        <v>37</v>
      </c>
      <c r="G651">
        <v>28</v>
      </c>
      <c r="H651" t="str" cm="1">
        <f t="array" ref="H651">_xlfn.IFS(G651&gt;15,"Long Commute",G651&gt;5,"Moderate",G651&lt;=5,"Near Office")</f>
        <v>Long Commute</v>
      </c>
      <c r="I651" t="s">
        <v>72</v>
      </c>
      <c r="J651" t="s">
        <v>59</v>
      </c>
      <c r="K651">
        <v>4</v>
      </c>
      <c r="L651" t="s">
        <v>39</v>
      </c>
      <c r="M651">
        <v>95</v>
      </c>
      <c r="N651">
        <v>2</v>
      </c>
      <c r="O651">
        <v>2</v>
      </c>
      <c r="P651" t="s">
        <v>40</v>
      </c>
      <c r="Q651" t="s">
        <v>73</v>
      </c>
      <c r="R651" t="s">
        <v>48</v>
      </c>
      <c r="S651">
        <v>6712</v>
      </c>
      <c r="T651" t="str" cm="1">
        <f t="array" ref="T651">_xlfn.IFS(S651&gt;=10000,"High (&gt;10k)",S651&gt;=5000,"Medium (5k-10k)",S651&lt;5000,"Low (&lt;5k)")</f>
        <v>Medium (5k-10k)</v>
      </c>
      <c r="U651">
        <v>8978</v>
      </c>
      <c r="V651">
        <v>1</v>
      </c>
      <c r="W651" t="s">
        <v>43</v>
      </c>
      <c r="X651">
        <v>21</v>
      </c>
      <c r="Y651">
        <v>4</v>
      </c>
      <c r="Z651">
        <v>4</v>
      </c>
      <c r="AA651">
        <v>2</v>
      </c>
      <c r="AB651">
        <v>8</v>
      </c>
      <c r="AC651">
        <v>2</v>
      </c>
      <c r="AD651" t="s">
        <v>74</v>
      </c>
      <c r="AE651">
        <v>8</v>
      </c>
      <c r="AF651" t="str" cm="1">
        <f t="array" ref="AF651">_xlfn.IFS(AE651&gt;=10,"Veteran (10y+)",AE651&gt;=3,"Established (3-10y)",AE651&lt;3,"New Hire (&lt;3y)")</f>
        <v>Established (3-10y)</v>
      </c>
      <c r="AG651">
        <v>7</v>
      </c>
      <c r="AH651">
        <v>1</v>
      </c>
      <c r="AI651">
        <v>7</v>
      </c>
    </row>
    <row r="652" spans="1:35">
      <c r="A652">
        <v>34</v>
      </c>
      <c r="B652" t="str">
        <f t="shared" si="10"/>
        <v>Middle Aged</v>
      </c>
      <c r="C652">
        <v>0</v>
      </c>
      <c r="D652" t="s">
        <v>36</v>
      </c>
      <c r="E652">
        <v>628</v>
      </c>
      <c r="F652" t="s">
        <v>45</v>
      </c>
      <c r="G652">
        <v>8</v>
      </c>
      <c r="H652" t="str" cm="1">
        <f t="array" ref="H652">_xlfn.IFS(G652&gt;15,"Long Commute",G652&gt;5,"Moderate",G652&lt;=5,"Near Office")</f>
        <v>Moderate</v>
      </c>
      <c r="I652" t="s">
        <v>72</v>
      </c>
      <c r="J652" t="s">
        <v>51</v>
      </c>
      <c r="K652">
        <v>2</v>
      </c>
      <c r="L652" t="s">
        <v>46</v>
      </c>
      <c r="M652">
        <v>82</v>
      </c>
      <c r="N652">
        <v>4</v>
      </c>
      <c r="O652">
        <v>2</v>
      </c>
      <c r="P652" t="s">
        <v>50</v>
      </c>
      <c r="Q652" t="s">
        <v>73</v>
      </c>
      <c r="R652" t="s">
        <v>48</v>
      </c>
      <c r="S652">
        <v>4404</v>
      </c>
      <c r="T652" t="str" cm="1">
        <f t="array" ref="T652">_xlfn.IFS(S652&gt;=10000,"High (&gt;10k)",S652&gt;=5000,"Medium (5k-10k)",S652&lt;5000,"Low (&lt;5k)")</f>
        <v>Low (&lt;5k)</v>
      </c>
      <c r="U652">
        <v>10228</v>
      </c>
      <c r="V652">
        <v>2</v>
      </c>
      <c r="W652" t="s">
        <v>43</v>
      </c>
      <c r="X652">
        <v>12</v>
      </c>
      <c r="Y652">
        <v>3</v>
      </c>
      <c r="Z652">
        <v>1</v>
      </c>
      <c r="AA652">
        <v>0</v>
      </c>
      <c r="AB652">
        <v>6</v>
      </c>
      <c r="AC652">
        <v>3</v>
      </c>
      <c r="AD652" t="s">
        <v>79</v>
      </c>
      <c r="AE652">
        <v>4</v>
      </c>
      <c r="AF652" t="str" cm="1">
        <f t="array" ref="AF652">_xlfn.IFS(AE652&gt;=10,"Veteran (10y+)",AE652&gt;=3,"Established (3-10y)",AE652&lt;3,"New Hire (&lt;3y)")</f>
        <v>Established (3-10y)</v>
      </c>
      <c r="AG652">
        <v>3</v>
      </c>
      <c r="AH652">
        <v>1</v>
      </c>
      <c r="AI652">
        <v>2</v>
      </c>
    </row>
    <row r="653" spans="1:35">
      <c r="A653">
        <v>35</v>
      </c>
      <c r="B653" t="str">
        <f t="shared" si="10"/>
        <v>Middle Aged</v>
      </c>
      <c r="C653">
        <v>0</v>
      </c>
      <c r="D653" t="s">
        <v>36</v>
      </c>
      <c r="E653">
        <v>809</v>
      </c>
      <c r="F653" t="s">
        <v>45</v>
      </c>
      <c r="G653">
        <v>16</v>
      </c>
      <c r="H653" t="str" cm="1">
        <f t="array" ref="H653">_xlfn.IFS(G653&gt;15,"Long Commute",G653&gt;5,"Moderate",G653&lt;=5,"Near Office")</f>
        <v>Long Commute</v>
      </c>
      <c r="I653" t="s">
        <v>72</v>
      </c>
      <c r="J653" t="s">
        <v>51</v>
      </c>
      <c r="K653">
        <v>1</v>
      </c>
      <c r="L653" t="s">
        <v>46</v>
      </c>
      <c r="M653">
        <v>84</v>
      </c>
      <c r="N653">
        <v>4</v>
      </c>
      <c r="O653">
        <v>1</v>
      </c>
      <c r="P653" t="s">
        <v>50</v>
      </c>
      <c r="Q653" t="s">
        <v>75</v>
      </c>
      <c r="R653" t="s">
        <v>48</v>
      </c>
      <c r="S653">
        <v>2426</v>
      </c>
      <c r="T653" t="str" cm="1">
        <f t="array" ref="T653">_xlfn.IFS(S653&gt;=10000,"High (&gt;10k)",S653&gt;=5000,"Medium (5k-10k)",S653&lt;5000,"Low (&lt;5k)")</f>
        <v>Low (&lt;5k)</v>
      </c>
      <c r="U653">
        <v>16479</v>
      </c>
      <c r="V653">
        <v>0</v>
      </c>
      <c r="W653" t="s">
        <v>43</v>
      </c>
      <c r="X653">
        <v>13</v>
      </c>
      <c r="Y653">
        <v>3</v>
      </c>
      <c r="Z653">
        <v>3</v>
      </c>
      <c r="AA653">
        <v>1</v>
      </c>
      <c r="AB653">
        <v>6</v>
      </c>
      <c r="AC653">
        <v>5</v>
      </c>
      <c r="AD653" t="s">
        <v>74</v>
      </c>
      <c r="AE653">
        <v>5</v>
      </c>
      <c r="AF653" t="str" cm="1">
        <f t="array" ref="AF653">_xlfn.IFS(AE653&gt;=10,"Veteran (10y+)",AE653&gt;=3,"Established (3-10y)",AE653&lt;3,"New Hire (&lt;3y)")</f>
        <v>Established (3-10y)</v>
      </c>
      <c r="AG653">
        <v>4</v>
      </c>
      <c r="AH653">
        <v>0</v>
      </c>
      <c r="AI653">
        <v>3</v>
      </c>
    </row>
    <row r="654" spans="1:35">
      <c r="A654">
        <v>35</v>
      </c>
      <c r="B654" t="str">
        <f t="shared" si="10"/>
        <v>Middle Aged</v>
      </c>
      <c r="C654">
        <v>0</v>
      </c>
      <c r="D654" t="s">
        <v>36</v>
      </c>
      <c r="E654">
        <v>890</v>
      </c>
      <c r="F654" t="s">
        <v>37</v>
      </c>
      <c r="G654">
        <v>2</v>
      </c>
      <c r="H654" t="str" cm="1">
        <f t="array" ref="H654">_xlfn.IFS(G654&gt;15,"Long Commute",G654&gt;5,"Moderate",G654&lt;=5,"Near Office")</f>
        <v>Near Office</v>
      </c>
      <c r="I654" t="s">
        <v>72</v>
      </c>
      <c r="J654" t="s">
        <v>59</v>
      </c>
      <c r="K654">
        <v>4</v>
      </c>
      <c r="L654" t="s">
        <v>39</v>
      </c>
      <c r="M654">
        <v>97</v>
      </c>
      <c r="N654">
        <v>3</v>
      </c>
      <c r="O654">
        <v>1</v>
      </c>
      <c r="P654" t="s">
        <v>57</v>
      </c>
      <c r="Q654" t="s">
        <v>77</v>
      </c>
      <c r="R654" t="s">
        <v>48</v>
      </c>
      <c r="S654">
        <v>2014</v>
      </c>
      <c r="T654" t="str" cm="1">
        <f t="array" ref="T654">_xlfn.IFS(S654&gt;=10000,"High (&gt;10k)",S654&gt;=5000,"Medium (5k-10k)",S654&lt;5000,"Low (&lt;5k)")</f>
        <v>Low (&lt;5k)</v>
      </c>
      <c r="U654">
        <v>9687</v>
      </c>
      <c r="V654">
        <v>1</v>
      </c>
      <c r="W654" t="s">
        <v>43</v>
      </c>
      <c r="X654">
        <v>13</v>
      </c>
      <c r="Y654">
        <v>3</v>
      </c>
      <c r="Z654">
        <v>1</v>
      </c>
      <c r="AA654">
        <v>0</v>
      </c>
      <c r="AB654">
        <v>2</v>
      </c>
      <c r="AC654">
        <v>3</v>
      </c>
      <c r="AD654" t="s">
        <v>74</v>
      </c>
      <c r="AE654">
        <v>2</v>
      </c>
      <c r="AF654" t="str" cm="1">
        <f t="array" ref="AF654">_xlfn.IFS(AE654&gt;=10,"Veteran (10y+)",AE654&gt;=3,"Established (3-10y)",AE654&lt;3,"New Hire (&lt;3y)")</f>
        <v>New Hire (&lt;3y)</v>
      </c>
      <c r="AG654">
        <v>2</v>
      </c>
      <c r="AH654">
        <v>2</v>
      </c>
      <c r="AI654">
        <v>2</v>
      </c>
    </row>
    <row r="655" spans="1:35">
      <c r="A655">
        <v>35</v>
      </c>
      <c r="B655" t="str">
        <f t="shared" si="10"/>
        <v>Middle Aged</v>
      </c>
      <c r="C655">
        <v>0</v>
      </c>
      <c r="D655" t="s">
        <v>36</v>
      </c>
      <c r="E655">
        <v>464</v>
      </c>
      <c r="F655" t="s">
        <v>45</v>
      </c>
      <c r="G655">
        <v>4</v>
      </c>
      <c r="H655" t="str" cm="1">
        <f t="array" ref="H655">_xlfn.IFS(G655&gt;15,"Long Commute",G655&gt;5,"Moderate",G655&lt;=5,"Near Office")</f>
        <v>Near Office</v>
      </c>
      <c r="I655" t="s">
        <v>76</v>
      </c>
      <c r="J655" t="s">
        <v>49</v>
      </c>
      <c r="K655">
        <v>3</v>
      </c>
      <c r="L655" t="s">
        <v>46</v>
      </c>
      <c r="M655">
        <v>75</v>
      </c>
      <c r="N655">
        <v>3</v>
      </c>
      <c r="O655">
        <v>1</v>
      </c>
      <c r="P655" t="s">
        <v>50</v>
      </c>
      <c r="Q655" t="s">
        <v>77</v>
      </c>
      <c r="R655" t="s">
        <v>52</v>
      </c>
      <c r="S655">
        <v>1951</v>
      </c>
      <c r="T655" t="str" cm="1">
        <f t="array" ref="T655">_xlfn.IFS(S655&gt;=10000,"High (&gt;10k)",S655&gt;=5000,"Medium (5k-10k)",S655&lt;5000,"Low (&lt;5k)")</f>
        <v>Low (&lt;5k)</v>
      </c>
      <c r="U655">
        <v>10910</v>
      </c>
      <c r="V655">
        <v>1</v>
      </c>
      <c r="W655" t="s">
        <v>43</v>
      </c>
      <c r="X655">
        <v>12</v>
      </c>
      <c r="Y655">
        <v>3</v>
      </c>
      <c r="Z655">
        <v>3</v>
      </c>
      <c r="AA655">
        <v>1</v>
      </c>
      <c r="AB655">
        <v>1</v>
      </c>
      <c r="AC655">
        <v>3</v>
      </c>
      <c r="AD655" t="s">
        <v>74</v>
      </c>
      <c r="AE655">
        <v>1</v>
      </c>
      <c r="AF655" t="str" cm="1">
        <f t="array" ref="AF655">_xlfn.IFS(AE655&gt;=10,"Veteran (10y+)",AE655&gt;=3,"Established (3-10y)",AE655&lt;3,"New Hire (&lt;3y)")</f>
        <v>New Hire (&lt;3y)</v>
      </c>
      <c r="AG655">
        <v>0</v>
      </c>
      <c r="AH655">
        <v>0</v>
      </c>
      <c r="AI655">
        <v>0</v>
      </c>
    </row>
    <row r="656" spans="1:35">
      <c r="A656">
        <v>35</v>
      </c>
      <c r="B656" t="str">
        <f t="shared" si="10"/>
        <v>Middle Aged</v>
      </c>
      <c r="C656">
        <v>0</v>
      </c>
      <c r="D656" t="s">
        <v>36</v>
      </c>
      <c r="E656">
        <v>1229</v>
      </c>
      <c r="F656" t="s">
        <v>45</v>
      </c>
      <c r="G656">
        <v>8</v>
      </c>
      <c r="H656" t="str" cm="1">
        <f t="array" ref="H656">_xlfn.IFS(G656&gt;15,"Long Commute",G656&gt;5,"Moderate",G656&lt;=5,"Near Office")</f>
        <v>Moderate</v>
      </c>
      <c r="I656" t="s">
        <v>78</v>
      </c>
      <c r="J656" t="s">
        <v>38</v>
      </c>
      <c r="K656">
        <v>4</v>
      </c>
      <c r="L656" t="s">
        <v>46</v>
      </c>
      <c r="M656">
        <v>36</v>
      </c>
      <c r="N656">
        <v>4</v>
      </c>
      <c r="O656">
        <v>1</v>
      </c>
      <c r="P656" t="s">
        <v>50</v>
      </c>
      <c r="Q656" t="s">
        <v>77</v>
      </c>
      <c r="R656" t="s">
        <v>48</v>
      </c>
      <c r="S656">
        <v>2269</v>
      </c>
      <c r="T656" t="str" cm="1">
        <f t="array" ref="T656">_xlfn.IFS(S656&gt;=10000,"High (&gt;10k)",S656&gt;=5000,"Medium (5k-10k)",S656&lt;5000,"Low (&lt;5k)")</f>
        <v>Low (&lt;5k)</v>
      </c>
      <c r="U656">
        <v>4892</v>
      </c>
      <c r="V656">
        <v>1</v>
      </c>
      <c r="W656" t="s">
        <v>43</v>
      </c>
      <c r="X656">
        <v>19</v>
      </c>
      <c r="Y656">
        <v>3</v>
      </c>
      <c r="Z656">
        <v>4</v>
      </c>
      <c r="AA656">
        <v>0</v>
      </c>
      <c r="AB656">
        <v>1</v>
      </c>
      <c r="AC656">
        <v>2</v>
      </c>
      <c r="AD656" t="s">
        <v>74</v>
      </c>
      <c r="AE656">
        <v>1</v>
      </c>
      <c r="AF656" t="str" cm="1">
        <f t="array" ref="AF656">_xlfn.IFS(AE656&gt;=10,"Veteran (10y+)",AE656&gt;=3,"Established (3-10y)",AE656&lt;3,"New Hire (&lt;3y)")</f>
        <v>New Hire (&lt;3y)</v>
      </c>
      <c r="AG656">
        <v>0</v>
      </c>
      <c r="AH656">
        <v>0</v>
      </c>
      <c r="AI656">
        <v>1</v>
      </c>
    </row>
    <row r="657" spans="1:35">
      <c r="A657">
        <v>35</v>
      </c>
      <c r="B657" t="str">
        <f t="shared" si="10"/>
        <v>Middle Aged</v>
      </c>
      <c r="C657">
        <v>0</v>
      </c>
      <c r="D657" t="s">
        <v>55</v>
      </c>
      <c r="E657">
        <v>1097</v>
      </c>
      <c r="F657" t="s">
        <v>45</v>
      </c>
      <c r="G657">
        <v>11</v>
      </c>
      <c r="H657" t="str" cm="1">
        <f t="array" ref="H657">_xlfn.IFS(G657&gt;15,"Long Commute",G657&gt;5,"Moderate",G657&lt;=5,"Near Office")</f>
        <v>Moderate</v>
      </c>
      <c r="I657" t="s">
        <v>76</v>
      </c>
      <c r="J657" t="s">
        <v>51</v>
      </c>
      <c r="K657">
        <v>3</v>
      </c>
      <c r="L657" t="s">
        <v>46</v>
      </c>
      <c r="M657">
        <v>79</v>
      </c>
      <c r="N657">
        <v>2</v>
      </c>
      <c r="O657">
        <v>3</v>
      </c>
      <c r="P657" t="s">
        <v>54</v>
      </c>
      <c r="Q657" t="s">
        <v>82</v>
      </c>
      <c r="R657" t="s">
        <v>48</v>
      </c>
      <c r="S657">
        <v>9884</v>
      </c>
      <c r="T657" t="str" cm="1">
        <f t="array" ref="T657">_xlfn.IFS(S657&gt;=10000,"High (&gt;10k)",S657&gt;=5000,"Medium (5k-10k)",S657&lt;5000,"Low (&lt;5k)")</f>
        <v>Medium (5k-10k)</v>
      </c>
      <c r="U657">
        <v>8302</v>
      </c>
      <c r="V657">
        <v>2</v>
      </c>
      <c r="W657" t="s">
        <v>35</v>
      </c>
      <c r="X657">
        <v>13</v>
      </c>
      <c r="Y657">
        <v>3</v>
      </c>
      <c r="Z657">
        <v>3</v>
      </c>
      <c r="AA657">
        <v>1</v>
      </c>
      <c r="AB657">
        <v>10</v>
      </c>
      <c r="AC657">
        <v>3</v>
      </c>
      <c r="AD657" t="s">
        <v>74</v>
      </c>
      <c r="AE657">
        <v>4</v>
      </c>
      <c r="AF657" t="str" cm="1">
        <f t="array" ref="AF657">_xlfn.IFS(AE657&gt;=10,"Veteran (10y+)",AE657&gt;=3,"Established (3-10y)",AE657&lt;3,"New Hire (&lt;3y)")</f>
        <v>Established (3-10y)</v>
      </c>
      <c r="AG657">
        <v>0</v>
      </c>
      <c r="AH657">
        <v>2</v>
      </c>
      <c r="AI657">
        <v>3</v>
      </c>
    </row>
    <row r="658" spans="1:35">
      <c r="A658">
        <v>35</v>
      </c>
      <c r="B658" t="str">
        <f t="shared" si="10"/>
        <v>Middle Aged</v>
      </c>
      <c r="C658">
        <v>0</v>
      </c>
      <c r="D658" t="s">
        <v>44</v>
      </c>
      <c r="E658">
        <v>853</v>
      </c>
      <c r="F658" t="s">
        <v>37</v>
      </c>
      <c r="G658">
        <v>18</v>
      </c>
      <c r="H658" t="str" cm="1">
        <f t="array" ref="H658">_xlfn.IFS(G658&gt;15,"Long Commute",G658&gt;5,"Moderate",G658&lt;=5,"Near Office")</f>
        <v>Long Commute</v>
      </c>
      <c r="I658" t="s">
        <v>84</v>
      </c>
      <c r="J658" t="s">
        <v>38</v>
      </c>
      <c r="K658">
        <v>2</v>
      </c>
      <c r="L658" t="s">
        <v>46</v>
      </c>
      <c r="M658">
        <v>71</v>
      </c>
      <c r="N658">
        <v>3</v>
      </c>
      <c r="O658">
        <v>3</v>
      </c>
      <c r="P658" t="s">
        <v>40</v>
      </c>
      <c r="Q658" t="s">
        <v>82</v>
      </c>
      <c r="R658" t="s">
        <v>48</v>
      </c>
      <c r="S658">
        <v>9069</v>
      </c>
      <c r="T658" t="str" cm="1">
        <f t="array" ref="T658">_xlfn.IFS(S658&gt;=10000,"High (&gt;10k)",S658&gt;=5000,"Medium (5k-10k)",S658&lt;5000,"Low (&lt;5k)")</f>
        <v>Medium (5k-10k)</v>
      </c>
      <c r="U658">
        <v>11031</v>
      </c>
      <c r="V658">
        <v>1</v>
      </c>
      <c r="W658" t="s">
        <v>43</v>
      </c>
      <c r="X658">
        <v>22</v>
      </c>
      <c r="Y658">
        <v>4</v>
      </c>
      <c r="Z658">
        <v>4</v>
      </c>
      <c r="AA658">
        <v>1</v>
      </c>
      <c r="AB658">
        <v>9</v>
      </c>
      <c r="AC658">
        <v>3</v>
      </c>
      <c r="AD658" t="s">
        <v>81</v>
      </c>
      <c r="AE658">
        <v>9</v>
      </c>
      <c r="AF658" t="str" cm="1">
        <f t="array" ref="AF658">_xlfn.IFS(AE658&gt;=10,"Veteran (10y+)",AE658&gt;=3,"Established (3-10y)",AE658&lt;3,"New Hire (&lt;3y)")</f>
        <v>Established (3-10y)</v>
      </c>
      <c r="AG658">
        <v>8</v>
      </c>
      <c r="AH658">
        <v>1</v>
      </c>
      <c r="AI658">
        <v>8</v>
      </c>
    </row>
    <row r="659" spans="1:35">
      <c r="A659">
        <v>35</v>
      </c>
      <c r="B659" t="str">
        <f t="shared" si="10"/>
        <v>Middle Aged</v>
      </c>
      <c r="C659">
        <v>0</v>
      </c>
      <c r="D659" t="s">
        <v>36</v>
      </c>
      <c r="E659">
        <v>1142</v>
      </c>
      <c r="F659" t="s">
        <v>45</v>
      </c>
      <c r="G659">
        <v>23</v>
      </c>
      <c r="H659" t="str" cm="1">
        <f t="array" ref="H659">_xlfn.IFS(G659&gt;15,"Long Commute",G659&gt;5,"Moderate",G659&lt;=5,"Near Office")</f>
        <v>Long Commute</v>
      </c>
      <c r="I659" t="s">
        <v>83</v>
      </c>
      <c r="J659" t="s">
        <v>51</v>
      </c>
      <c r="K659">
        <v>3</v>
      </c>
      <c r="L659" t="s">
        <v>39</v>
      </c>
      <c r="M659">
        <v>30</v>
      </c>
      <c r="N659">
        <v>3</v>
      </c>
      <c r="O659">
        <v>1</v>
      </c>
      <c r="P659" t="s">
        <v>50</v>
      </c>
      <c r="Q659" t="s">
        <v>82</v>
      </c>
      <c r="R659" t="s">
        <v>48</v>
      </c>
      <c r="S659">
        <v>4014</v>
      </c>
      <c r="T659" t="str" cm="1">
        <f t="array" ref="T659">_xlfn.IFS(S659&gt;=10000,"High (&gt;10k)",S659&gt;=5000,"Medium (5k-10k)",S659&lt;5000,"Low (&lt;5k)")</f>
        <v>Low (&lt;5k)</v>
      </c>
      <c r="U659">
        <v>16002</v>
      </c>
      <c r="V659">
        <v>3</v>
      </c>
      <c r="W659" t="s">
        <v>35</v>
      </c>
      <c r="X659">
        <v>15</v>
      </c>
      <c r="Y659">
        <v>3</v>
      </c>
      <c r="Z659">
        <v>3</v>
      </c>
      <c r="AA659">
        <v>1</v>
      </c>
      <c r="AB659">
        <v>4</v>
      </c>
      <c r="AC659">
        <v>3</v>
      </c>
      <c r="AD659" t="s">
        <v>74</v>
      </c>
      <c r="AE659">
        <v>2</v>
      </c>
      <c r="AF659" t="str" cm="1">
        <f t="array" ref="AF659">_xlfn.IFS(AE659&gt;=10,"Veteran (10y+)",AE659&gt;=3,"Established (3-10y)",AE659&lt;3,"New Hire (&lt;3y)")</f>
        <v>New Hire (&lt;3y)</v>
      </c>
      <c r="AG659">
        <v>2</v>
      </c>
      <c r="AH659">
        <v>2</v>
      </c>
      <c r="AI659">
        <v>2</v>
      </c>
    </row>
    <row r="660" spans="1:35">
      <c r="A660">
        <v>35</v>
      </c>
      <c r="B660" t="str">
        <f t="shared" si="10"/>
        <v>Middle Aged</v>
      </c>
      <c r="C660">
        <v>0</v>
      </c>
      <c r="D660" t="s">
        <v>44</v>
      </c>
      <c r="E660">
        <v>664</v>
      </c>
      <c r="F660" t="s">
        <v>45</v>
      </c>
      <c r="G660">
        <v>1</v>
      </c>
      <c r="H660" t="str" cm="1">
        <f t="array" ref="H660">_xlfn.IFS(G660&gt;15,"Long Commute",G660&gt;5,"Moderate",G660&lt;=5,"Near Office")</f>
        <v>Near Office</v>
      </c>
      <c r="I660" t="s">
        <v>72</v>
      </c>
      <c r="J660" t="s">
        <v>51</v>
      </c>
      <c r="K660">
        <v>2</v>
      </c>
      <c r="L660" t="s">
        <v>46</v>
      </c>
      <c r="M660">
        <v>79</v>
      </c>
      <c r="N660">
        <v>3</v>
      </c>
      <c r="O660">
        <v>1</v>
      </c>
      <c r="P660" t="s">
        <v>47</v>
      </c>
      <c r="Q660" t="s">
        <v>82</v>
      </c>
      <c r="R660" t="s">
        <v>48</v>
      </c>
      <c r="S660">
        <v>2194</v>
      </c>
      <c r="T660" t="str" cm="1">
        <f t="array" ref="T660">_xlfn.IFS(S660&gt;=10000,"High (&gt;10k)",S660&gt;=5000,"Medium (5k-10k)",S660&lt;5000,"Low (&lt;5k)")</f>
        <v>Low (&lt;5k)</v>
      </c>
      <c r="U660">
        <v>5868</v>
      </c>
      <c r="V660">
        <v>4</v>
      </c>
      <c r="W660" t="s">
        <v>43</v>
      </c>
      <c r="X660">
        <v>13</v>
      </c>
      <c r="Y660">
        <v>3</v>
      </c>
      <c r="Z660">
        <v>4</v>
      </c>
      <c r="AA660">
        <v>1</v>
      </c>
      <c r="AB660">
        <v>5</v>
      </c>
      <c r="AC660">
        <v>2</v>
      </c>
      <c r="AD660" t="s">
        <v>81</v>
      </c>
      <c r="AE660">
        <v>3</v>
      </c>
      <c r="AF660" t="str" cm="1">
        <f t="array" ref="AF660">_xlfn.IFS(AE660&gt;=10,"Veteran (10y+)",AE660&gt;=3,"Established (3-10y)",AE660&lt;3,"New Hire (&lt;3y)")</f>
        <v>Established (3-10y)</v>
      </c>
      <c r="AG660">
        <v>2</v>
      </c>
      <c r="AH660">
        <v>1</v>
      </c>
      <c r="AI660">
        <v>2</v>
      </c>
    </row>
    <row r="661" spans="1:35">
      <c r="A661">
        <v>35</v>
      </c>
      <c r="B661" t="str">
        <f t="shared" si="10"/>
        <v>Middle Aged</v>
      </c>
      <c r="C661">
        <v>0</v>
      </c>
      <c r="D661" t="s">
        <v>36</v>
      </c>
      <c r="E661">
        <v>776</v>
      </c>
      <c r="F661" t="s">
        <v>37</v>
      </c>
      <c r="G661">
        <v>1</v>
      </c>
      <c r="H661" t="str" cm="1">
        <f t="array" ref="H661">_xlfn.IFS(G661&gt;15,"Long Commute",G661&gt;5,"Moderate",G661&lt;=5,"Near Office")</f>
        <v>Near Office</v>
      </c>
      <c r="I661" t="s">
        <v>83</v>
      </c>
      <c r="J661" t="s">
        <v>59</v>
      </c>
      <c r="K661">
        <v>3</v>
      </c>
      <c r="L661" t="s">
        <v>46</v>
      </c>
      <c r="M661">
        <v>32</v>
      </c>
      <c r="N661">
        <v>2</v>
      </c>
      <c r="O661">
        <v>2</v>
      </c>
      <c r="P661" t="s">
        <v>40</v>
      </c>
      <c r="Q661" t="s">
        <v>82</v>
      </c>
      <c r="R661" t="s">
        <v>41</v>
      </c>
      <c r="S661">
        <v>4312</v>
      </c>
      <c r="T661" t="str" cm="1">
        <f t="array" ref="T661">_xlfn.IFS(S661&gt;=10000,"High (&gt;10k)",S661&gt;=5000,"Medium (5k-10k)",S661&lt;5000,"Low (&lt;5k)")</f>
        <v>Low (&lt;5k)</v>
      </c>
      <c r="U661">
        <v>23016</v>
      </c>
      <c r="V661">
        <v>0</v>
      </c>
      <c r="W661" t="s">
        <v>43</v>
      </c>
      <c r="X661">
        <v>14</v>
      </c>
      <c r="Y661">
        <v>3</v>
      </c>
      <c r="Z661">
        <v>2</v>
      </c>
      <c r="AA661">
        <v>0</v>
      </c>
      <c r="AB661">
        <v>16</v>
      </c>
      <c r="AC661">
        <v>2</v>
      </c>
      <c r="AD661" t="s">
        <v>74</v>
      </c>
      <c r="AE661">
        <v>15</v>
      </c>
      <c r="AF661" t="str" cm="1">
        <f t="array" ref="AF661">_xlfn.IFS(AE661&gt;=10,"Veteran (10y+)",AE661&gt;=3,"Established (3-10y)",AE661&lt;3,"New Hire (&lt;3y)")</f>
        <v>Veteran (10y+)</v>
      </c>
      <c r="AG661">
        <v>13</v>
      </c>
      <c r="AH661">
        <v>2</v>
      </c>
      <c r="AI661">
        <v>8</v>
      </c>
    </row>
    <row r="662" spans="1:35">
      <c r="A662">
        <v>35</v>
      </c>
      <c r="B662" t="str">
        <f t="shared" si="10"/>
        <v>Middle Aged</v>
      </c>
      <c r="C662">
        <v>0</v>
      </c>
      <c r="D662" t="s">
        <v>36</v>
      </c>
      <c r="E662">
        <v>1214</v>
      </c>
      <c r="F662" t="s">
        <v>45</v>
      </c>
      <c r="G662">
        <v>1</v>
      </c>
      <c r="H662" t="str" cm="1">
        <f t="array" ref="H662">_xlfn.IFS(G662&gt;15,"Long Commute",G662&gt;5,"Moderate",G662&lt;=5,"Near Office")</f>
        <v>Near Office</v>
      </c>
      <c r="I662" t="s">
        <v>72</v>
      </c>
      <c r="J662" t="s">
        <v>51</v>
      </c>
      <c r="K662">
        <v>2</v>
      </c>
      <c r="L662" t="s">
        <v>46</v>
      </c>
      <c r="M662">
        <v>30</v>
      </c>
      <c r="N662">
        <v>2</v>
      </c>
      <c r="O662">
        <v>1</v>
      </c>
      <c r="P662" t="s">
        <v>47</v>
      </c>
      <c r="Q662" t="s">
        <v>73</v>
      </c>
      <c r="R662" t="s">
        <v>41</v>
      </c>
      <c r="S662">
        <v>2859</v>
      </c>
      <c r="T662" t="str" cm="1">
        <f t="array" ref="T662">_xlfn.IFS(S662&gt;=10000,"High (&gt;10k)",S662&gt;=5000,"Medium (5k-10k)",S662&lt;5000,"Low (&lt;5k)")</f>
        <v>Low (&lt;5k)</v>
      </c>
      <c r="U662">
        <v>26278</v>
      </c>
      <c r="V662">
        <v>1</v>
      </c>
      <c r="W662" t="s">
        <v>43</v>
      </c>
      <c r="X662">
        <v>18</v>
      </c>
      <c r="Y662">
        <v>3</v>
      </c>
      <c r="Z662">
        <v>1</v>
      </c>
      <c r="AA662">
        <v>0</v>
      </c>
      <c r="AB662">
        <v>6</v>
      </c>
      <c r="AC662">
        <v>3</v>
      </c>
      <c r="AD662" t="s">
        <v>74</v>
      </c>
      <c r="AE662">
        <v>6</v>
      </c>
      <c r="AF662" t="str" cm="1">
        <f t="array" ref="AF662">_xlfn.IFS(AE662&gt;=10,"Veteran (10y+)",AE662&gt;=3,"Established (3-10y)",AE662&lt;3,"New Hire (&lt;3y)")</f>
        <v>Established (3-10y)</v>
      </c>
      <c r="AG662">
        <v>4</v>
      </c>
      <c r="AH662">
        <v>0</v>
      </c>
      <c r="AI662">
        <v>4</v>
      </c>
    </row>
    <row r="663" spans="1:35">
      <c r="A663">
        <v>35</v>
      </c>
      <c r="B663" t="str">
        <f t="shared" si="10"/>
        <v>Middle Aged</v>
      </c>
      <c r="C663">
        <v>0</v>
      </c>
      <c r="D663" t="s">
        <v>36</v>
      </c>
      <c r="E663">
        <v>662</v>
      </c>
      <c r="F663" t="s">
        <v>37</v>
      </c>
      <c r="G663">
        <v>1</v>
      </c>
      <c r="H663" t="str" cm="1">
        <f t="array" ref="H663">_xlfn.IFS(G663&gt;15,"Long Commute",G663&gt;5,"Moderate",G663&lt;=5,"Near Office")</f>
        <v>Near Office</v>
      </c>
      <c r="I663" t="s">
        <v>84</v>
      </c>
      <c r="J663" t="s">
        <v>59</v>
      </c>
      <c r="K663">
        <v>3</v>
      </c>
      <c r="L663" t="s">
        <v>46</v>
      </c>
      <c r="M663">
        <v>94</v>
      </c>
      <c r="N663">
        <v>3</v>
      </c>
      <c r="O663">
        <v>3</v>
      </c>
      <c r="P663" t="s">
        <v>40</v>
      </c>
      <c r="Q663" t="s">
        <v>75</v>
      </c>
      <c r="R663" t="s">
        <v>48</v>
      </c>
      <c r="S663">
        <v>7295</v>
      </c>
      <c r="T663" t="str" cm="1">
        <f t="array" ref="T663">_xlfn.IFS(S663&gt;=10000,"High (&gt;10k)",S663&gt;=5000,"Medium (5k-10k)",S663&lt;5000,"Low (&lt;5k)")</f>
        <v>Medium (5k-10k)</v>
      </c>
      <c r="U663">
        <v>11439</v>
      </c>
      <c r="V663">
        <v>1</v>
      </c>
      <c r="W663" t="s">
        <v>43</v>
      </c>
      <c r="X663">
        <v>13</v>
      </c>
      <c r="Y663">
        <v>3</v>
      </c>
      <c r="Z663">
        <v>1</v>
      </c>
      <c r="AA663">
        <v>2</v>
      </c>
      <c r="AB663">
        <v>10</v>
      </c>
      <c r="AC663">
        <v>3</v>
      </c>
      <c r="AD663" t="s">
        <v>74</v>
      </c>
      <c r="AE663">
        <v>10</v>
      </c>
      <c r="AF663" t="str" cm="1">
        <f t="array" ref="AF663">_xlfn.IFS(AE663&gt;=10,"Veteran (10y+)",AE663&gt;=3,"Established (3-10y)",AE663&lt;3,"New Hire (&lt;3y)")</f>
        <v>Veteran (10y+)</v>
      </c>
      <c r="AG663">
        <v>8</v>
      </c>
      <c r="AH663">
        <v>0</v>
      </c>
      <c r="AI663">
        <v>6</v>
      </c>
    </row>
    <row r="664" spans="1:35">
      <c r="A664">
        <v>35</v>
      </c>
      <c r="B664" t="str">
        <f t="shared" si="10"/>
        <v>Middle Aged</v>
      </c>
      <c r="C664">
        <v>1</v>
      </c>
      <c r="D664" t="s">
        <v>36</v>
      </c>
      <c r="E664">
        <v>556</v>
      </c>
      <c r="F664" t="s">
        <v>45</v>
      </c>
      <c r="G664">
        <v>23</v>
      </c>
      <c r="H664" t="str" cm="1">
        <f t="array" ref="H664">_xlfn.IFS(G664&gt;15,"Long Commute",G664&gt;5,"Moderate",G664&lt;=5,"Near Office")</f>
        <v>Long Commute</v>
      </c>
      <c r="I664" t="s">
        <v>76</v>
      </c>
      <c r="J664" t="s">
        <v>38</v>
      </c>
      <c r="K664">
        <v>2</v>
      </c>
      <c r="L664" t="s">
        <v>46</v>
      </c>
      <c r="M664">
        <v>50</v>
      </c>
      <c r="N664">
        <v>2</v>
      </c>
      <c r="O664">
        <v>2</v>
      </c>
      <c r="P664" t="s">
        <v>53</v>
      </c>
      <c r="Q664" t="s">
        <v>73</v>
      </c>
      <c r="R664" t="s">
        <v>48</v>
      </c>
      <c r="S664">
        <v>5916</v>
      </c>
      <c r="T664" t="str" cm="1">
        <f t="array" ref="T664">_xlfn.IFS(S664&gt;=10000,"High (&gt;10k)",S664&gt;=5000,"Medium (5k-10k)",S664&lt;5000,"Low (&lt;5k)")</f>
        <v>Medium (5k-10k)</v>
      </c>
      <c r="U664">
        <v>15497</v>
      </c>
      <c r="V664">
        <v>3</v>
      </c>
      <c r="W664" t="s">
        <v>35</v>
      </c>
      <c r="X664">
        <v>13</v>
      </c>
      <c r="Y664">
        <v>3</v>
      </c>
      <c r="Z664">
        <v>1</v>
      </c>
      <c r="AA664">
        <v>0</v>
      </c>
      <c r="AB664">
        <v>8</v>
      </c>
      <c r="AC664">
        <v>1</v>
      </c>
      <c r="AD664" t="s">
        <v>74</v>
      </c>
      <c r="AE664">
        <v>1</v>
      </c>
      <c r="AF664" t="str" cm="1">
        <f t="array" ref="AF664">_xlfn.IFS(AE664&gt;=10,"Veteran (10y+)",AE664&gt;=3,"Established (3-10y)",AE664&lt;3,"New Hire (&lt;3y)")</f>
        <v>New Hire (&lt;3y)</v>
      </c>
      <c r="AG664">
        <v>0</v>
      </c>
      <c r="AH664">
        <v>0</v>
      </c>
      <c r="AI664">
        <v>1</v>
      </c>
    </row>
    <row r="665" spans="1:35">
      <c r="A665">
        <v>35</v>
      </c>
      <c r="B665" t="str">
        <f t="shared" si="10"/>
        <v>Middle Aged</v>
      </c>
      <c r="C665">
        <v>0</v>
      </c>
      <c r="D665" t="s">
        <v>44</v>
      </c>
      <c r="E665">
        <v>138</v>
      </c>
      <c r="F665" t="s">
        <v>45</v>
      </c>
      <c r="G665">
        <v>2</v>
      </c>
      <c r="H665" t="str" cm="1">
        <f t="array" ref="H665">_xlfn.IFS(G665&gt;15,"Long Commute",G665&gt;5,"Moderate",G665&lt;=5,"Near Office")</f>
        <v>Near Office</v>
      </c>
      <c r="I665" t="s">
        <v>72</v>
      </c>
      <c r="J665" t="s">
        <v>51</v>
      </c>
      <c r="K665">
        <v>2</v>
      </c>
      <c r="L665" t="s">
        <v>39</v>
      </c>
      <c r="M665">
        <v>37</v>
      </c>
      <c r="N665">
        <v>3</v>
      </c>
      <c r="O665">
        <v>2</v>
      </c>
      <c r="P665" t="s">
        <v>50</v>
      </c>
      <c r="Q665" t="s">
        <v>75</v>
      </c>
      <c r="R665" t="s">
        <v>41</v>
      </c>
      <c r="S665">
        <v>4425</v>
      </c>
      <c r="T665" t="str" cm="1">
        <f t="array" ref="T665">_xlfn.IFS(S665&gt;=10000,"High (&gt;10k)",S665&gt;=5000,"Medium (5k-10k)",S665&lt;5000,"Low (&lt;5k)")</f>
        <v>Low (&lt;5k)</v>
      </c>
      <c r="U665">
        <v>15986</v>
      </c>
      <c r="V665">
        <v>5</v>
      </c>
      <c r="W665" t="s">
        <v>43</v>
      </c>
      <c r="X665">
        <v>11</v>
      </c>
      <c r="Y665">
        <v>3</v>
      </c>
      <c r="Z665">
        <v>4</v>
      </c>
      <c r="AA665">
        <v>0</v>
      </c>
      <c r="AB665">
        <v>10</v>
      </c>
      <c r="AC665">
        <v>5</v>
      </c>
      <c r="AD665" t="s">
        <v>74</v>
      </c>
      <c r="AE665">
        <v>6</v>
      </c>
      <c r="AF665" t="str" cm="1">
        <f t="array" ref="AF665">_xlfn.IFS(AE665&gt;=10,"Veteran (10y+)",AE665&gt;=3,"Established (3-10y)",AE665&lt;3,"New Hire (&lt;3y)")</f>
        <v>Established (3-10y)</v>
      </c>
      <c r="AG665">
        <v>2</v>
      </c>
      <c r="AH665">
        <v>1</v>
      </c>
      <c r="AI665">
        <v>2</v>
      </c>
    </row>
    <row r="666" spans="1:35">
      <c r="A666">
        <v>35</v>
      </c>
      <c r="B666" t="str">
        <f t="shared" si="10"/>
        <v>Middle Aged</v>
      </c>
      <c r="C666">
        <v>0</v>
      </c>
      <c r="D666" t="s">
        <v>44</v>
      </c>
      <c r="E666">
        <v>944</v>
      </c>
      <c r="F666" t="s">
        <v>37</v>
      </c>
      <c r="G666">
        <v>1</v>
      </c>
      <c r="H666" t="str" cm="1">
        <f t="array" ref="H666">_xlfn.IFS(G666&gt;15,"Long Commute",G666&gt;5,"Moderate",G666&lt;=5,"Near Office")</f>
        <v>Near Office</v>
      </c>
      <c r="I666" t="s">
        <v>72</v>
      </c>
      <c r="J666" t="s">
        <v>59</v>
      </c>
      <c r="K666">
        <v>3</v>
      </c>
      <c r="L666" t="s">
        <v>39</v>
      </c>
      <c r="M666">
        <v>92</v>
      </c>
      <c r="N666">
        <v>3</v>
      </c>
      <c r="O666">
        <v>3</v>
      </c>
      <c r="P666" t="s">
        <v>40</v>
      </c>
      <c r="Q666" t="s">
        <v>73</v>
      </c>
      <c r="R666" t="s">
        <v>41</v>
      </c>
      <c r="S666">
        <v>8789</v>
      </c>
      <c r="T666" t="str" cm="1">
        <f t="array" ref="T666">_xlfn.IFS(S666&gt;=10000,"High (&gt;10k)",S666&gt;=5000,"Medium (5k-10k)",S666&lt;5000,"Low (&lt;5k)")</f>
        <v>Medium (5k-10k)</v>
      </c>
      <c r="U666">
        <v>9096</v>
      </c>
      <c r="V666">
        <v>1</v>
      </c>
      <c r="W666" t="s">
        <v>43</v>
      </c>
      <c r="X666">
        <v>14</v>
      </c>
      <c r="Y666">
        <v>3</v>
      </c>
      <c r="Z666">
        <v>1</v>
      </c>
      <c r="AA666">
        <v>0</v>
      </c>
      <c r="AB666">
        <v>10</v>
      </c>
      <c r="AC666">
        <v>3</v>
      </c>
      <c r="AD666" t="s">
        <v>79</v>
      </c>
      <c r="AE666">
        <v>10</v>
      </c>
      <c r="AF666" t="str" cm="1">
        <f t="array" ref="AF666">_xlfn.IFS(AE666&gt;=10,"Veteran (10y+)",AE666&gt;=3,"Established (3-10y)",AE666&lt;3,"New Hire (&lt;3y)")</f>
        <v>Veteran (10y+)</v>
      </c>
      <c r="AG666">
        <v>7</v>
      </c>
      <c r="AH666">
        <v>0</v>
      </c>
      <c r="AI666">
        <v>8</v>
      </c>
    </row>
    <row r="667" spans="1:35">
      <c r="A667">
        <v>35</v>
      </c>
      <c r="B667" t="str">
        <f t="shared" si="10"/>
        <v>Middle Aged</v>
      </c>
      <c r="C667">
        <v>0</v>
      </c>
      <c r="D667" t="s">
        <v>36</v>
      </c>
      <c r="E667">
        <v>1315</v>
      </c>
      <c r="F667" t="s">
        <v>45</v>
      </c>
      <c r="G667">
        <v>22</v>
      </c>
      <c r="H667" t="str" cm="1">
        <f t="array" ref="H667">_xlfn.IFS(G667&gt;15,"Long Commute",G667&gt;5,"Moderate",G667&lt;=5,"Near Office")</f>
        <v>Long Commute</v>
      </c>
      <c r="I667" t="s">
        <v>72</v>
      </c>
      <c r="J667" t="s">
        <v>38</v>
      </c>
      <c r="K667">
        <v>2</v>
      </c>
      <c r="L667" t="s">
        <v>39</v>
      </c>
      <c r="M667">
        <v>71</v>
      </c>
      <c r="N667">
        <v>4</v>
      </c>
      <c r="O667">
        <v>3</v>
      </c>
      <c r="P667" t="s">
        <v>56</v>
      </c>
      <c r="Q667" t="s">
        <v>75</v>
      </c>
      <c r="R667" t="s">
        <v>52</v>
      </c>
      <c r="S667">
        <v>11996</v>
      </c>
      <c r="T667" t="str" cm="1">
        <f t="array" ref="T667">_xlfn.IFS(S667&gt;=10000,"High (&gt;10k)",S667&gt;=5000,"Medium (5k-10k)",S667&lt;5000,"Low (&lt;5k)")</f>
        <v>High (&gt;10k)</v>
      </c>
      <c r="U667">
        <v>19100</v>
      </c>
      <c r="V667">
        <v>7</v>
      </c>
      <c r="W667" t="s">
        <v>43</v>
      </c>
      <c r="X667">
        <v>18</v>
      </c>
      <c r="Y667">
        <v>3</v>
      </c>
      <c r="Z667">
        <v>2</v>
      </c>
      <c r="AA667">
        <v>1</v>
      </c>
      <c r="AB667">
        <v>10</v>
      </c>
      <c r="AC667">
        <v>6</v>
      </c>
      <c r="AD667" t="s">
        <v>81</v>
      </c>
      <c r="AE667">
        <v>7</v>
      </c>
      <c r="AF667" t="str" cm="1">
        <f t="array" ref="AF667">_xlfn.IFS(AE667&gt;=10,"Veteran (10y+)",AE667&gt;=3,"Established (3-10y)",AE667&lt;3,"New Hire (&lt;3y)")</f>
        <v>Established (3-10y)</v>
      </c>
      <c r="AG667">
        <v>7</v>
      </c>
      <c r="AH667">
        <v>6</v>
      </c>
      <c r="AI667">
        <v>2</v>
      </c>
    </row>
    <row r="668" spans="1:35">
      <c r="A668">
        <v>35</v>
      </c>
      <c r="B668" t="str">
        <f t="shared" si="10"/>
        <v>Middle Aged</v>
      </c>
      <c r="C668">
        <v>0</v>
      </c>
      <c r="D668" t="s">
        <v>36</v>
      </c>
      <c r="E668">
        <v>1232</v>
      </c>
      <c r="F668" t="s">
        <v>37</v>
      </c>
      <c r="G668">
        <v>16</v>
      </c>
      <c r="H668" t="str" cm="1">
        <f t="array" ref="H668">_xlfn.IFS(G668&gt;15,"Long Commute",G668&gt;5,"Moderate",G668&lt;=5,"Near Office")</f>
        <v>Long Commute</v>
      </c>
      <c r="I668" t="s">
        <v>72</v>
      </c>
      <c r="J668" t="s">
        <v>59</v>
      </c>
      <c r="K668">
        <v>3</v>
      </c>
      <c r="L668" t="s">
        <v>46</v>
      </c>
      <c r="M668">
        <v>96</v>
      </c>
      <c r="N668">
        <v>3</v>
      </c>
      <c r="O668">
        <v>3</v>
      </c>
      <c r="P668" t="s">
        <v>40</v>
      </c>
      <c r="Q668" t="s">
        <v>75</v>
      </c>
      <c r="R668" t="s">
        <v>48</v>
      </c>
      <c r="S668">
        <v>8020</v>
      </c>
      <c r="T668" t="str" cm="1">
        <f t="array" ref="T668">_xlfn.IFS(S668&gt;=10000,"High (&gt;10k)",S668&gt;=5000,"Medium (5k-10k)",S668&lt;5000,"Low (&lt;5k)")</f>
        <v>Medium (5k-10k)</v>
      </c>
      <c r="U668">
        <v>5100</v>
      </c>
      <c r="V668">
        <v>0</v>
      </c>
      <c r="W668" t="s">
        <v>43</v>
      </c>
      <c r="X668">
        <v>15</v>
      </c>
      <c r="Y668">
        <v>3</v>
      </c>
      <c r="Z668">
        <v>3</v>
      </c>
      <c r="AA668">
        <v>2</v>
      </c>
      <c r="AB668">
        <v>12</v>
      </c>
      <c r="AC668">
        <v>3</v>
      </c>
      <c r="AD668" t="s">
        <v>81</v>
      </c>
      <c r="AE668">
        <v>11</v>
      </c>
      <c r="AF668" t="str" cm="1">
        <f t="array" ref="AF668">_xlfn.IFS(AE668&gt;=10,"Veteran (10y+)",AE668&gt;=3,"Established (3-10y)",AE668&lt;3,"New Hire (&lt;3y)")</f>
        <v>Veteran (10y+)</v>
      </c>
      <c r="AG668">
        <v>9</v>
      </c>
      <c r="AH668">
        <v>6</v>
      </c>
      <c r="AI668">
        <v>9</v>
      </c>
    </row>
    <row r="669" spans="1:35">
      <c r="A669">
        <v>35</v>
      </c>
      <c r="B669" t="str">
        <f t="shared" si="10"/>
        <v>Middle Aged</v>
      </c>
      <c r="C669">
        <v>0</v>
      </c>
      <c r="D669" t="s">
        <v>36</v>
      </c>
      <c r="E669">
        <v>1296</v>
      </c>
      <c r="F669" t="s">
        <v>45</v>
      </c>
      <c r="G669">
        <v>5</v>
      </c>
      <c r="H669" t="str" cm="1">
        <f t="array" ref="H669">_xlfn.IFS(G669&gt;15,"Long Commute",G669&gt;5,"Moderate",G669&lt;=5,"Near Office")</f>
        <v>Near Office</v>
      </c>
      <c r="I669" t="s">
        <v>83</v>
      </c>
      <c r="J669" t="s">
        <v>60</v>
      </c>
      <c r="K669">
        <v>3</v>
      </c>
      <c r="L669" t="s">
        <v>46</v>
      </c>
      <c r="M669">
        <v>62</v>
      </c>
      <c r="N669">
        <v>3</v>
      </c>
      <c r="O669">
        <v>3</v>
      </c>
      <c r="P669" t="s">
        <v>53</v>
      </c>
      <c r="Q669" t="s">
        <v>75</v>
      </c>
      <c r="R669" t="s">
        <v>41</v>
      </c>
      <c r="S669">
        <v>8095</v>
      </c>
      <c r="T669" t="str" cm="1">
        <f t="array" ref="T669">_xlfn.IFS(S669&gt;=10000,"High (&gt;10k)",S669&gt;=5000,"Medium (5k-10k)",S669&lt;5000,"Low (&lt;5k)")</f>
        <v>Medium (5k-10k)</v>
      </c>
      <c r="U669">
        <v>18264</v>
      </c>
      <c r="V669">
        <v>0</v>
      </c>
      <c r="W669" t="s">
        <v>43</v>
      </c>
      <c r="X669">
        <v>13</v>
      </c>
      <c r="Y669">
        <v>3</v>
      </c>
      <c r="Z669">
        <v>4</v>
      </c>
      <c r="AA669">
        <v>0</v>
      </c>
      <c r="AB669">
        <v>17</v>
      </c>
      <c r="AC669">
        <v>5</v>
      </c>
      <c r="AD669" t="s">
        <v>74</v>
      </c>
      <c r="AE669">
        <v>16</v>
      </c>
      <c r="AF669" t="str" cm="1">
        <f t="array" ref="AF669">_xlfn.IFS(AE669&gt;=10,"Veteran (10y+)",AE669&gt;=3,"Established (3-10y)",AE669&lt;3,"New Hire (&lt;3y)")</f>
        <v>Veteran (10y+)</v>
      </c>
      <c r="AG669">
        <v>6</v>
      </c>
      <c r="AH669">
        <v>0</v>
      </c>
      <c r="AI669">
        <v>13</v>
      </c>
    </row>
    <row r="670" spans="1:35">
      <c r="A670">
        <v>35</v>
      </c>
      <c r="B670" t="str">
        <f t="shared" si="10"/>
        <v>Middle Aged</v>
      </c>
      <c r="C670">
        <v>0</v>
      </c>
      <c r="D670" t="s">
        <v>36</v>
      </c>
      <c r="E670">
        <v>755</v>
      </c>
      <c r="F670" t="s">
        <v>45</v>
      </c>
      <c r="G670">
        <v>9</v>
      </c>
      <c r="H670" t="str" cm="1">
        <f t="array" ref="H670">_xlfn.IFS(G670&gt;15,"Long Commute",G670&gt;5,"Moderate",G670&lt;=5,"Near Office")</f>
        <v>Moderate</v>
      </c>
      <c r="I670" t="s">
        <v>83</v>
      </c>
      <c r="J670" t="s">
        <v>38</v>
      </c>
      <c r="K670">
        <v>3</v>
      </c>
      <c r="L670" t="s">
        <v>46</v>
      </c>
      <c r="M670">
        <v>97</v>
      </c>
      <c r="N670">
        <v>2</v>
      </c>
      <c r="O670">
        <v>2</v>
      </c>
      <c r="P670" t="s">
        <v>54</v>
      </c>
      <c r="Q670" t="s">
        <v>75</v>
      </c>
      <c r="R670" t="s">
        <v>41</v>
      </c>
      <c r="S670">
        <v>6540</v>
      </c>
      <c r="T670" t="str" cm="1">
        <f t="array" ref="T670">_xlfn.IFS(S670&gt;=10000,"High (&gt;10k)",S670&gt;=5000,"Medium (5k-10k)",S670&lt;5000,"Low (&lt;5k)")</f>
        <v>Medium (5k-10k)</v>
      </c>
      <c r="U670">
        <v>19394</v>
      </c>
      <c r="V670">
        <v>9</v>
      </c>
      <c r="W670" t="s">
        <v>43</v>
      </c>
      <c r="X670">
        <v>19</v>
      </c>
      <c r="Y670">
        <v>3</v>
      </c>
      <c r="Z670">
        <v>3</v>
      </c>
      <c r="AA670">
        <v>0</v>
      </c>
      <c r="AB670">
        <v>10</v>
      </c>
      <c r="AC670">
        <v>5</v>
      </c>
      <c r="AD670" t="s">
        <v>74</v>
      </c>
      <c r="AE670">
        <v>1</v>
      </c>
      <c r="AF670" t="str" cm="1">
        <f t="array" ref="AF670">_xlfn.IFS(AE670&gt;=10,"Veteran (10y+)",AE670&gt;=3,"Established (3-10y)",AE670&lt;3,"New Hire (&lt;3y)")</f>
        <v>New Hire (&lt;3y)</v>
      </c>
      <c r="AG670">
        <v>1</v>
      </c>
      <c r="AH670">
        <v>0</v>
      </c>
      <c r="AI670">
        <v>0</v>
      </c>
    </row>
    <row r="671" spans="1:35">
      <c r="A671">
        <v>35</v>
      </c>
      <c r="B671" t="str">
        <f t="shared" si="10"/>
        <v>Middle Aged</v>
      </c>
      <c r="C671">
        <v>0</v>
      </c>
      <c r="D671" t="s">
        <v>36</v>
      </c>
      <c r="E671">
        <v>144</v>
      </c>
      <c r="F671" t="s">
        <v>45</v>
      </c>
      <c r="G671">
        <v>22</v>
      </c>
      <c r="H671" t="str" cm="1">
        <f t="array" ref="H671">_xlfn.IFS(G671&gt;15,"Long Commute",G671&gt;5,"Moderate",G671&lt;=5,"Near Office")</f>
        <v>Long Commute</v>
      </c>
      <c r="I671" t="s">
        <v>72</v>
      </c>
      <c r="J671" t="s">
        <v>38</v>
      </c>
      <c r="K671">
        <v>4</v>
      </c>
      <c r="L671" t="s">
        <v>46</v>
      </c>
      <c r="M671">
        <v>46</v>
      </c>
      <c r="N671">
        <v>1</v>
      </c>
      <c r="O671">
        <v>1</v>
      </c>
      <c r="P671" t="s">
        <v>50</v>
      </c>
      <c r="Q671" t="s">
        <v>73</v>
      </c>
      <c r="R671" t="s">
        <v>41</v>
      </c>
      <c r="S671">
        <v>4230</v>
      </c>
      <c r="T671" t="str" cm="1">
        <f t="array" ref="T671">_xlfn.IFS(S671&gt;=10000,"High (&gt;10k)",S671&gt;=5000,"Medium (5k-10k)",S671&lt;5000,"Low (&lt;5k)")</f>
        <v>Low (&lt;5k)</v>
      </c>
      <c r="U671">
        <v>19225</v>
      </c>
      <c r="V671">
        <v>0</v>
      </c>
      <c r="W671" t="s">
        <v>43</v>
      </c>
      <c r="X671">
        <v>15</v>
      </c>
      <c r="Y671">
        <v>3</v>
      </c>
      <c r="Z671">
        <v>3</v>
      </c>
      <c r="AA671">
        <v>0</v>
      </c>
      <c r="AB671">
        <v>6</v>
      </c>
      <c r="AC671">
        <v>2</v>
      </c>
      <c r="AD671" t="s">
        <v>74</v>
      </c>
      <c r="AE671">
        <v>5</v>
      </c>
      <c r="AF671" t="str" cm="1">
        <f t="array" ref="AF671">_xlfn.IFS(AE671&gt;=10,"Veteran (10y+)",AE671&gt;=3,"Established (3-10y)",AE671&lt;3,"New Hire (&lt;3y)")</f>
        <v>Established (3-10y)</v>
      </c>
      <c r="AG671">
        <v>4</v>
      </c>
      <c r="AH671">
        <v>4</v>
      </c>
      <c r="AI671">
        <v>3</v>
      </c>
    </row>
    <row r="672" spans="1:35">
      <c r="A672">
        <v>35</v>
      </c>
      <c r="B672" t="str">
        <f t="shared" si="10"/>
        <v>Middle Aged</v>
      </c>
      <c r="C672">
        <v>0</v>
      </c>
      <c r="D672" t="s">
        <v>36</v>
      </c>
      <c r="E672">
        <v>1276</v>
      </c>
      <c r="F672" t="s">
        <v>45</v>
      </c>
      <c r="G672">
        <v>16</v>
      </c>
      <c r="H672" t="str" cm="1">
        <f t="array" ref="H672">_xlfn.IFS(G672&gt;15,"Long Commute",G672&gt;5,"Moderate",G672&lt;=5,"Near Office")</f>
        <v>Long Commute</v>
      </c>
      <c r="I672" t="s">
        <v>72</v>
      </c>
      <c r="J672" t="s">
        <v>38</v>
      </c>
      <c r="K672">
        <v>4</v>
      </c>
      <c r="L672" t="s">
        <v>46</v>
      </c>
      <c r="M672">
        <v>72</v>
      </c>
      <c r="N672">
        <v>3</v>
      </c>
      <c r="O672">
        <v>3</v>
      </c>
      <c r="P672" t="s">
        <v>54</v>
      </c>
      <c r="Q672" t="s">
        <v>73</v>
      </c>
      <c r="R672" t="s">
        <v>48</v>
      </c>
      <c r="S672">
        <v>7632</v>
      </c>
      <c r="T672" t="str" cm="1">
        <f t="array" ref="T672">_xlfn.IFS(S672&gt;=10000,"High (&gt;10k)",S672&gt;=5000,"Medium (5k-10k)",S672&lt;5000,"Low (&lt;5k)")</f>
        <v>Medium (5k-10k)</v>
      </c>
      <c r="U672">
        <v>14295</v>
      </c>
      <c r="V672">
        <v>4</v>
      </c>
      <c r="W672" t="s">
        <v>35</v>
      </c>
      <c r="X672">
        <v>12</v>
      </c>
      <c r="Y672">
        <v>3</v>
      </c>
      <c r="Z672">
        <v>3</v>
      </c>
      <c r="AA672">
        <v>0</v>
      </c>
      <c r="AB672">
        <v>10</v>
      </c>
      <c r="AC672">
        <v>2</v>
      </c>
      <c r="AD672" t="s">
        <v>74</v>
      </c>
      <c r="AE672">
        <v>8</v>
      </c>
      <c r="AF672" t="str" cm="1">
        <f t="array" ref="AF672">_xlfn.IFS(AE672&gt;=10,"Veteran (10y+)",AE672&gt;=3,"Established (3-10y)",AE672&lt;3,"New Hire (&lt;3y)")</f>
        <v>Established (3-10y)</v>
      </c>
      <c r="AG672">
        <v>7</v>
      </c>
      <c r="AH672">
        <v>0</v>
      </c>
      <c r="AI672">
        <v>0</v>
      </c>
    </row>
    <row r="673" spans="1:35">
      <c r="A673">
        <v>35</v>
      </c>
      <c r="B673" t="str">
        <f t="shared" si="10"/>
        <v>Middle Aged</v>
      </c>
      <c r="C673">
        <v>0</v>
      </c>
      <c r="D673" t="s">
        <v>36</v>
      </c>
      <c r="E673">
        <v>619</v>
      </c>
      <c r="F673" t="s">
        <v>37</v>
      </c>
      <c r="G673">
        <v>1</v>
      </c>
      <c r="H673" t="str" cm="1">
        <f t="array" ref="H673">_xlfn.IFS(G673&gt;15,"Long Commute",G673&gt;5,"Moderate",G673&lt;=5,"Near Office")</f>
        <v>Near Office</v>
      </c>
      <c r="I673" t="s">
        <v>72</v>
      </c>
      <c r="J673" t="s">
        <v>59</v>
      </c>
      <c r="K673">
        <v>2</v>
      </c>
      <c r="L673" t="s">
        <v>46</v>
      </c>
      <c r="M673">
        <v>85</v>
      </c>
      <c r="N673">
        <v>3</v>
      </c>
      <c r="O673">
        <v>2</v>
      </c>
      <c r="P673" t="s">
        <v>40</v>
      </c>
      <c r="Q673" t="s">
        <v>73</v>
      </c>
      <c r="R673" t="s">
        <v>48</v>
      </c>
      <c r="S673">
        <v>4717</v>
      </c>
      <c r="T673" t="str" cm="1">
        <f t="array" ref="T673">_xlfn.IFS(S673&gt;=10000,"High (&gt;10k)",S673&gt;=5000,"Medium (5k-10k)",S673&lt;5000,"Low (&lt;5k)")</f>
        <v>Low (&lt;5k)</v>
      </c>
      <c r="U673">
        <v>18659</v>
      </c>
      <c r="V673">
        <v>9</v>
      </c>
      <c r="W673" t="s">
        <v>43</v>
      </c>
      <c r="X673">
        <v>11</v>
      </c>
      <c r="Y673">
        <v>3</v>
      </c>
      <c r="Z673">
        <v>3</v>
      </c>
      <c r="AA673">
        <v>0</v>
      </c>
      <c r="AB673">
        <v>15</v>
      </c>
      <c r="AC673">
        <v>2</v>
      </c>
      <c r="AD673" t="s">
        <v>74</v>
      </c>
      <c r="AE673">
        <v>11</v>
      </c>
      <c r="AF673" t="str" cm="1">
        <f t="array" ref="AF673">_xlfn.IFS(AE673&gt;=10,"Veteran (10y+)",AE673&gt;=3,"Established (3-10y)",AE673&lt;3,"New Hire (&lt;3y)")</f>
        <v>Veteran (10y+)</v>
      </c>
      <c r="AG673">
        <v>9</v>
      </c>
      <c r="AH673">
        <v>6</v>
      </c>
      <c r="AI673">
        <v>9</v>
      </c>
    </row>
    <row r="674" spans="1:35">
      <c r="A674">
        <v>35</v>
      </c>
      <c r="B674" t="str">
        <f t="shared" si="10"/>
        <v>Middle Aged</v>
      </c>
      <c r="C674">
        <v>0</v>
      </c>
      <c r="D674" t="s">
        <v>36</v>
      </c>
      <c r="E674">
        <v>195</v>
      </c>
      <c r="F674" t="s">
        <v>37</v>
      </c>
      <c r="G674">
        <v>1</v>
      </c>
      <c r="H674" t="str" cm="1">
        <f t="array" ref="H674">_xlfn.IFS(G674&gt;15,"Long Commute",G674&gt;5,"Moderate",G674&lt;=5,"Near Office")</f>
        <v>Near Office</v>
      </c>
      <c r="I674" t="s">
        <v>72</v>
      </c>
      <c r="J674" t="s">
        <v>51</v>
      </c>
      <c r="K674">
        <v>1</v>
      </c>
      <c r="L674" t="s">
        <v>39</v>
      </c>
      <c r="M674">
        <v>80</v>
      </c>
      <c r="N674">
        <v>3</v>
      </c>
      <c r="O674">
        <v>2</v>
      </c>
      <c r="P674" t="s">
        <v>40</v>
      </c>
      <c r="Q674" t="s">
        <v>73</v>
      </c>
      <c r="R674" t="s">
        <v>41</v>
      </c>
      <c r="S674">
        <v>4859</v>
      </c>
      <c r="T674" t="str" cm="1">
        <f t="array" ref="T674">_xlfn.IFS(S674&gt;=10000,"High (&gt;10k)",S674&gt;=5000,"Medium (5k-10k)",S674&lt;5000,"Low (&lt;5k)")</f>
        <v>Low (&lt;5k)</v>
      </c>
      <c r="U674">
        <v>6698</v>
      </c>
      <c r="V674">
        <v>1</v>
      </c>
      <c r="W674" t="s">
        <v>43</v>
      </c>
      <c r="X674">
        <v>16</v>
      </c>
      <c r="Y674">
        <v>3</v>
      </c>
      <c r="Z674">
        <v>4</v>
      </c>
      <c r="AA674">
        <v>0</v>
      </c>
      <c r="AB674">
        <v>5</v>
      </c>
      <c r="AC674">
        <v>3</v>
      </c>
      <c r="AD674" t="s">
        <v>74</v>
      </c>
      <c r="AE674">
        <v>5</v>
      </c>
      <c r="AF674" t="str" cm="1">
        <f t="array" ref="AF674">_xlfn.IFS(AE674&gt;=10,"Veteran (10y+)",AE674&gt;=3,"Established (3-10y)",AE674&lt;3,"New Hire (&lt;3y)")</f>
        <v>Established (3-10y)</v>
      </c>
      <c r="AG674">
        <v>4</v>
      </c>
      <c r="AH674">
        <v>0</v>
      </c>
      <c r="AI674">
        <v>3</v>
      </c>
    </row>
    <row r="675" spans="1:35">
      <c r="A675">
        <v>35</v>
      </c>
      <c r="B675" t="str">
        <f t="shared" si="10"/>
        <v>Middle Aged</v>
      </c>
      <c r="C675">
        <v>0</v>
      </c>
      <c r="D675" t="s">
        <v>36</v>
      </c>
      <c r="E675">
        <v>538</v>
      </c>
      <c r="F675" t="s">
        <v>45</v>
      </c>
      <c r="G675">
        <v>25</v>
      </c>
      <c r="H675" t="str" cm="1">
        <f t="array" ref="H675">_xlfn.IFS(G675&gt;15,"Long Commute",G675&gt;5,"Moderate",G675&lt;=5,"Near Office")</f>
        <v>Long Commute</v>
      </c>
      <c r="I675" t="s">
        <v>76</v>
      </c>
      <c r="J675" t="s">
        <v>49</v>
      </c>
      <c r="K675">
        <v>1</v>
      </c>
      <c r="L675" t="s">
        <v>46</v>
      </c>
      <c r="M675">
        <v>54</v>
      </c>
      <c r="N675">
        <v>2</v>
      </c>
      <c r="O675">
        <v>2</v>
      </c>
      <c r="P675" t="s">
        <v>50</v>
      </c>
      <c r="Q675" t="s">
        <v>77</v>
      </c>
      <c r="R675" t="s">
        <v>41</v>
      </c>
      <c r="S675">
        <v>3681</v>
      </c>
      <c r="T675" t="str" cm="1">
        <f t="array" ref="T675">_xlfn.IFS(S675&gt;=10000,"High (&gt;10k)",S675&gt;=5000,"Medium (5k-10k)",S675&lt;5000,"Low (&lt;5k)")</f>
        <v>Low (&lt;5k)</v>
      </c>
      <c r="U675">
        <v>14004</v>
      </c>
      <c r="V675">
        <v>4</v>
      </c>
      <c r="W675" t="s">
        <v>43</v>
      </c>
      <c r="X675">
        <v>14</v>
      </c>
      <c r="Y675">
        <v>3</v>
      </c>
      <c r="Z675">
        <v>4</v>
      </c>
      <c r="AA675">
        <v>0</v>
      </c>
      <c r="AB675">
        <v>9</v>
      </c>
      <c r="AC675">
        <v>3</v>
      </c>
      <c r="AD675" t="s">
        <v>74</v>
      </c>
      <c r="AE675">
        <v>3</v>
      </c>
      <c r="AF675" t="str" cm="1">
        <f t="array" ref="AF675">_xlfn.IFS(AE675&gt;=10,"Veteran (10y+)",AE675&gt;=3,"Established (3-10y)",AE675&lt;3,"New Hire (&lt;3y)")</f>
        <v>Established (3-10y)</v>
      </c>
      <c r="AG675">
        <v>2</v>
      </c>
      <c r="AH675">
        <v>0</v>
      </c>
      <c r="AI675">
        <v>2</v>
      </c>
    </row>
    <row r="676" spans="1:35">
      <c r="A676">
        <v>35</v>
      </c>
      <c r="B676" t="str">
        <f t="shared" si="10"/>
        <v>Middle Aged</v>
      </c>
      <c r="C676">
        <v>0</v>
      </c>
      <c r="D676" t="s">
        <v>36</v>
      </c>
      <c r="E676">
        <v>1017</v>
      </c>
      <c r="F676" t="s">
        <v>45</v>
      </c>
      <c r="G676">
        <v>6</v>
      </c>
      <c r="H676" t="str" cm="1">
        <f t="array" ref="H676">_xlfn.IFS(G676&gt;15,"Long Commute",G676&gt;5,"Moderate",G676&lt;=5,"Near Office")</f>
        <v>Moderate</v>
      </c>
      <c r="I676" t="s">
        <v>83</v>
      </c>
      <c r="J676" t="s">
        <v>38</v>
      </c>
      <c r="K676">
        <v>2</v>
      </c>
      <c r="L676" t="s">
        <v>46</v>
      </c>
      <c r="M676">
        <v>82</v>
      </c>
      <c r="N676">
        <v>1</v>
      </c>
      <c r="O676">
        <v>2</v>
      </c>
      <c r="P676" t="s">
        <v>47</v>
      </c>
      <c r="Q676" t="s">
        <v>77</v>
      </c>
      <c r="R676" t="s">
        <v>41</v>
      </c>
      <c r="S676">
        <v>6646</v>
      </c>
      <c r="T676" t="str" cm="1">
        <f t="array" ref="T676">_xlfn.IFS(S676&gt;=10000,"High (&gt;10k)",S676&gt;=5000,"Medium (5k-10k)",S676&lt;5000,"Low (&lt;5k)")</f>
        <v>Medium (5k-10k)</v>
      </c>
      <c r="U676">
        <v>19368</v>
      </c>
      <c r="V676">
        <v>1</v>
      </c>
      <c r="W676" t="s">
        <v>43</v>
      </c>
      <c r="X676">
        <v>13</v>
      </c>
      <c r="Y676">
        <v>3</v>
      </c>
      <c r="Z676">
        <v>2</v>
      </c>
      <c r="AA676">
        <v>0</v>
      </c>
      <c r="AB676">
        <v>17</v>
      </c>
      <c r="AC676">
        <v>3</v>
      </c>
      <c r="AD676" t="s">
        <v>74</v>
      </c>
      <c r="AE676">
        <v>17</v>
      </c>
      <c r="AF676" t="str" cm="1">
        <f t="array" ref="AF676">_xlfn.IFS(AE676&gt;=10,"Veteran (10y+)",AE676&gt;=3,"Established (3-10y)",AE676&lt;3,"New Hire (&lt;3y)")</f>
        <v>Veteran (10y+)</v>
      </c>
      <c r="AG676">
        <v>11</v>
      </c>
      <c r="AH676">
        <v>11</v>
      </c>
      <c r="AI676">
        <v>8</v>
      </c>
    </row>
    <row r="677" spans="1:35">
      <c r="A677">
        <v>35</v>
      </c>
      <c r="B677" t="str">
        <f t="shared" si="10"/>
        <v>Middle Aged</v>
      </c>
      <c r="C677">
        <v>0</v>
      </c>
      <c r="D677" t="s">
        <v>55</v>
      </c>
      <c r="E677">
        <v>727</v>
      </c>
      <c r="F677" t="s">
        <v>45</v>
      </c>
      <c r="G677">
        <v>3</v>
      </c>
      <c r="H677" t="str" cm="1">
        <f t="array" ref="H677">_xlfn.IFS(G677&gt;15,"Long Commute",G677&gt;5,"Moderate",G677&lt;=5,"Near Office")</f>
        <v>Near Office</v>
      </c>
      <c r="I677" t="s">
        <v>72</v>
      </c>
      <c r="J677" t="s">
        <v>38</v>
      </c>
      <c r="K677">
        <v>3</v>
      </c>
      <c r="L677" t="s">
        <v>46</v>
      </c>
      <c r="M677">
        <v>41</v>
      </c>
      <c r="N677">
        <v>2</v>
      </c>
      <c r="O677">
        <v>1</v>
      </c>
      <c r="P677" t="s">
        <v>50</v>
      </c>
      <c r="Q677" t="s">
        <v>73</v>
      </c>
      <c r="R677" t="s">
        <v>48</v>
      </c>
      <c r="S677">
        <v>1281</v>
      </c>
      <c r="T677" t="str" cm="1">
        <f t="array" ref="T677">_xlfn.IFS(S677&gt;=10000,"High (&gt;10k)",S677&gt;=5000,"Medium (5k-10k)",S677&lt;5000,"Low (&lt;5k)")</f>
        <v>Low (&lt;5k)</v>
      </c>
      <c r="U677">
        <v>16900</v>
      </c>
      <c r="V677">
        <v>1</v>
      </c>
      <c r="W677" t="s">
        <v>43</v>
      </c>
      <c r="X677">
        <v>18</v>
      </c>
      <c r="Y677">
        <v>3</v>
      </c>
      <c r="Z677">
        <v>3</v>
      </c>
      <c r="AA677">
        <v>2</v>
      </c>
      <c r="AB677">
        <v>1</v>
      </c>
      <c r="AC677">
        <v>3</v>
      </c>
      <c r="AD677" t="s">
        <v>74</v>
      </c>
      <c r="AE677">
        <v>1</v>
      </c>
      <c r="AF677" t="str" cm="1">
        <f t="array" ref="AF677">_xlfn.IFS(AE677&gt;=10,"Veteran (10y+)",AE677&gt;=3,"Established (3-10y)",AE677&lt;3,"New Hire (&lt;3y)")</f>
        <v>New Hire (&lt;3y)</v>
      </c>
      <c r="AG677">
        <v>0</v>
      </c>
      <c r="AH677">
        <v>0</v>
      </c>
      <c r="AI677">
        <v>0</v>
      </c>
    </row>
    <row r="678" spans="1:35">
      <c r="A678">
        <v>35</v>
      </c>
      <c r="B678" t="str">
        <f t="shared" si="10"/>
        <v>Middle Aged</v>
      </c>
      <c r="C678">
        <v>0</v>
      </c>
      <c r="D678" t="s">
        <v>55</v>
      </c>
      <c r="E678">
        <v>1225</v>
      </c>
      <c r="F678" t="s">
        <v>45</v>
      </c>
      <c r="G678">
        <v>2</v>
      </c>
      <c r="H678" t="str" cm="1">
        <f t="array" ref="H678">_xlfn.IFS(G678&gt;15,"Long Commute",G678&gt;5,"Moderate",G678&lt;=5,"Near Office")</f>
        <v>Near Office</v>
      </c>
      <c r="I678" t="s">
        <v>83</v>
      </c>
      <c r="J678" t="s">
        <v>38</v>
      </c>
      <c r="K678">
        <v>4</v>
      </c>
      <c r="L678" t="s">
        <v>39</v>
      </c>
      <c r="M678">
        <v>61</v>
      </c>
      <c r="N678">
        <v>3</v>
      </c>
      <c r="O678">
        <v>2</v>
      </c>
      <c r="P678" t="s">
        <v>54</v>
      </c>
      <c r="Q678" t="s">
        <v>82</v>
      </c>
      <c r="R678" t="s">
        <v>52</v>
      </c>
      <c r="S678">
        <v>5093</v>
      </c>
      <c r="T678" t="str" cm="1">
        <f t="array" ref="T678">_xlfn.IFS(S678&gt;=10000,"High (&gt;10k)",S678&gt;=5000,"Medium (5k-10k)",S678&lt;5000,"Low (&lt;5k)")</f>
        <v>Medium (5k-10k)</v>
      </c>
      <c r="U678">
        <v>4761</v>
      </c>
      <c r="V678">
        <v>2</v>
      </c>
      <c r="W678" t="s">
        <v>43</v>
      </c>
      <c r="X678">
        <v>11</v>
      </c>
      <c r="Y678">
        <v>3</v>
      </c>
      <c r="Z678">
        <v>1</v>
      </c>
      <c r="AA678">
        <v>1</v>
      </c>
      <c r="AB678">
        <v>16</v>
      </c>
      <c r="AC678">
        <v>2</v>
      </c>
      <c r="AD678" t="s">
        <v>79</v>
      </c>
      <c r="AE678">
        <v>1</v>
      </c>
      <c r="AF678" t="str" cm="1">
        <f t="array" ref="AF678">_xlfn.IFS(AE678&gt;=10,"Veteran (10y+)",AE678&gt;=3,"Established (3-10y)",AE678&lt;3,"New Hire (&lt;3y)")</f>
        <v>New Hire (&lt;3y)</v>
      </c>
      <c r="AG678">
        <v>0</v>
      </c>
      <c r="AH678">
        <v>0</v>
      </c>
      <c r="AI678">
        <v>0</v>
      </c>
    </row>
    <row r="679" spans="1:35">
      <c r="A679">
        <v>35</v>
      </c>
      <c r="B679" t="str">
        <f t="shared" si="10"/>
        <v>Middle Aged</v>
      </c>
      <c r="C679">
        <v>0</v>
      </c>
      <c r="D679" t="s">
        <v>36</v>
      </c>
      <c r="E679">
        <v>384</v>
      </c>
      <c r="F679" t="s">
        <v>37</v>
      </c>
      <c r="G679">
        <v>8</v>
      </c>
      <c r="H679" t="str" cm="1">
        <f t="array" ref="H679">_xlfn.IFS(G679&gt;15,"Long Commute",G679&gt;5,"Moderate",G679&lt;=5,"Near Office")</f>
        <v>Moderate</v>
      </c>
      <c r="I679" t="s">
        <v>83</v>
      </c>
      <c r="J679" t="s">
        <v>38</v>
      </c>
      <c r="K679">
        <v>1</v>
      </c>
      <c r="L679" t="s">
        <v>39</v>
      </c>
      <c r="M679">
        <v>72</v>
      </c>
      <c r="N679">
        <v>3</v>
      </c>
      <c r="O679">
        <v>1</v>
      </c>
      <c r="P679" t="s">
        <v>57</v>
      </c>
      <c r="Q679" t="s">
        <v>77</v>
      </c>
      <c r="R679" t="s">
        <v>48</v>
      </c>
      <c r="S679">
        <v>2572</v>
      </c>
      <c r="T679" t="str" cm="1">
        <f t="array" ref="T679">_xlfn.IFS(S679&gt;=10000,"High (&gt;10k)",S679&gt;=5000,"Medium (5k-10k)",S679&lt;5000,"Low (&lt;5k)")</f>
        <v>Low (&lt;5k)</v>
      </c>
      <c r="U679">
        <v>20317</v>
      </c>
      <c r="V679">
        <v>1</v>
      </c>
      <c r="W679" t="s">
        <v>43</v>
      </c>
      <c r="X679">
        <v>16</v>
      </c>
      <c r="Y679">
        <v>3</v>
      </c>
      <c r="Z679">
        <v>2</v>
      </c>
      <c r="AA679">
        <v>1</v>
      </c>
      <c r="AB679">
        <v>3</v>
      </c>
      <c r="AC679">
        <v>1</v>
      </c>
      <c r="AD679" t="s">
        <v>81</v>
      </c>
      <c r="AE679">
        <v>3</v>
      </c>
      <c r="AF679" t="str" cm="1">
        <f t="array" ref="AF679">_xlfn.IFS(AE679&gt;=10,"Veteran (10y+)",AE679&gt;=3,"Established (3-10y)",AE679&lt;3,"New Hire (&lt;3y)")</f>
        <v>Established (3-10y)</v>
      </c>
      <c r="AG679">
        <v>2</v>
      </c>
      <c r="AH679">
        <v>0</v>
      </c>
      <c r="AI679">
        <v>2</v>
      </c>
    </row>
    <row r="680" spans="1:35">
      <c r="A680">
        <v>35</v>
      </c>
      <c r="B680" t="str">
        <f t="shared" si="10"/>
        <v>Middle Aged</v>
      </c>
      <c r="C680">
        <v>0</v>
      </c>
      <c r="D680" t="s">
        <v>36</v>
      </c>
      <c r="E680">
        <v>1258</v>
      </c>
      <c r="F680" t="s">
        <v>45</v>
      </c>
      <c r="G680">
        <v>1</v>
      </c>
      <c r="H680" t="str" cm="1">
        <f t="array" ref="H680">_xlfn.IFS(G680&gt;15,"Long Commute",G680&gt;5,"Moderate",G680&lt;=5,"Near Office")</f>
        <v>Near Office</v>
      </c>
      <c r="I680" t="s">
        <v>83</v>
      </c>
      <c r="J680" t="s">
        <v>38</v>
      </c>
      <c r="K680">
        <v>4</v>
      </c>
      <c r="L680" t="s">
        <v>39</v>
      </c>
      <c r="M680">
        <v>40</v>
      </c>
      <c r="N680">
        <v>4</v>
      </c>
      <c r="O680">
        <v>1</v>
      </c>
      <c r="P680" t="s">
        <v>47</v>
      </c>
      <c r="Q680" t="s">
        <v>73</v>
      </c>
      <c r="R680" t="s">
        <v>41</v>
      </c>
      <c r="S680">
        <v>2506</v>
      </c>
      <c r="T680" t="str" cm="1">
        <f t="array" ref="T680">_xlfn.IFS(S680&gt;=10000,"High (&gt;10k)",S680&gt;=5000,"Medium (5k-10k)",S680&lt;5000,"Low (&lt;5k)")</f>
        <v>Low (&lt;5k)</v>
      </c>
      <c r="U680">
        <v>13301</v>
      </c>
      <c r="V680">
        <v>3</v>
      </c>
      <c r="W680" t="s">
        <v>43</v>
      </c>
      <c r="X680">
        <v>13</v>
      </c>
      <c r="Y680">
        <v>3</v>
      </c>
      <c r="Z680">
        <v>3</v>
      </c>
      <c r="AA680">
        <v>0</v>
      </c>
      <c r="AB680">
        <v>7</v>
      </c>
      <c r="AC680">
        <v>0</v>
      </c>
      <c r="AD680" t="s">
        <v>74</v>
      </c>
      <c r="AE680">
        <v>2</v>
      </c>
      <c r="AF680" t="str" cm="1">
        <f t="array" ref="AF680">_xlfn.IFS(AE680&gt;=10,"Veteran (10y+)",AE680&gt;=3,"Established (3-10y)",AE680&lt;3,"New Hire (&lt;3y)")</f>
        <v>New Hire (&lt;3y)</v>
      </c>
      <c r="AG680">
        <v>2</v>
      </c>
      <c r="AH680">
        <v>2</v>
      </c>
      <c r="AI680">
        <v>2</v>
      </c>
    </row>
    <row r="681" spans="1:35">
      <c r="A681">
        <v>35</v>
      </c>
      <c r="B681" t="str">
        <f t="shared" si="10"/>
        <v>Middle Aged</v>
      </c>
      <c r="C681">
        <v>0</v>
      </c>
      <c r="D681" t="s">
        <v>36</v>
      </c>
      <c r="E681">
        <v>950</v>
      </c>
      <c r="F681" t="s">
        <v>45</v>
      </c>
      <c r="G681">
        <v>7</v>
      </c>
      <c r="H681" t="str" cm="1">
        <f t="array" ref="H681">_xlfn.IFS(G681&gt;15,"Long Commute",G681&gt;5,"Moderate",G681&lt;=5,"Near Office")</f>
        <v>Moderate</v>
      </c>
      <c r="I681" t="s">
        <v>72</v>
      </c>
      <c r="J681" t="s">
        <v>49</v>
      </c>
      <c r="K681">
        <v>3</v>
      </c>
      <c r="L681" t="s">
        <v>46</v>
      </c>
      <c r="M681">
        <v>59</v>
      </c>
      <c r="N681">
        <v>3</v>
      </c>
      <c r="O681">
        <v>3</v>
      </c>
      <c r="P681" t="s">
        <v>53</v>
      </c>
      <c r="Q681" t="s">
        <v>73</v>
      </c>
      <c r="R681" t="s">
        <v>41</v>
      </c>
      <c r="S681">
        <v>10221</v>
      </c>
      <c r="T681" t="str" cm="1">
        <f t="array" ref="T681">_xlfn.IFS(S681&gt;=10000,"High (&gt;10k)",S681&gt;=5000,"Medium (5k-10k)",S681&lt;5000,"Low (&lt;5k)")</f>
        <v>High (&gt;10k)</v>
      </c>
      <c r="U681">
        <v>18869</v>
      </c>
      <c r="V681">
        <v>3</v>
      </c>
      <c r="W681" t="s">
        <v>43</v>
      </c>
      <c r="X681">
        <v>21</v>
      </c>
      <c r="Y681">
        <v>4</v>
      </c>
      <c r="Z681">
        <v>2</v>
      </c>
      <c r="AA681">
        <v>0</v>
      </c>
      <c r="AB681">
        <v>17</v>
      </c>
      <c r="AC681">
        <v>3</v>
      </c>
      <c r="AD681" t="s">
        <v>79</v>
      </c>
      <c r="AE681">
        <v>8</v>
      </c>
      <c r="AF681" t="str" cm="1">
        <f t="array" ref="AF681">_xlfn.IFS(AE681&gt;=10,"Veteran (10y+)",AE681&gt;=3,"Established (3-10y)",AE681&lt;3,"New Hire (&lt;3y)")</f>
        <v>Established (3-10y)</v>
      </c>
      <c r="AG681">
        <v>5</v>
      </c>
      <c r="AH681">
        <v>1</v>
      </c>
      <c r="AI681">
        <v>6</v>
      </c>
    </row>
    <row r="682" spans="1:35">
      <c r="A682">
        <v>35</v>
      </c>
      <c r="B682" t="str">
        <f t="shared" si="10"/>
        <v>Middle Aged</v>
      </c>
      <c r="C682">
        <v>0</v>
      </c>
      <c r="D682" t="s">
        <v>36</v>
      </c>
      <c r="E682">
        <v>1343</v>
      </c>
      <c r="F682" t="s">
        <v>45</v>
      </c>
      <c r="G682">
        <v>27</v>
      </c>
      <c r="H682" t="str" cm="1">
        <f t="array" ref="H682">_xlfn.IFS(G682&gt;15,"Long Commute",G682&gt;5,"Moderate",G682&lt;=5,"Near Office")</f>
        <v>Long Commute</v>
      </c>
      <c r="I682" t="s">
        <v>78</v>
      </c>
      <c r="J682" t="s">
        <v>51</v>
      </c>
      <c r="K682">
        <v>3</v>
      </c>
      <c r="L682" t="s">
        <v>39</v>
      </c>
      <c r="M682">
        <v>53</v>
      </c>
      <c r="N682">
        <v>2</v>
      </c>
      <c r="O682">
        <v>1</v>
      </c>
      <c r="P682" t="s">
        <v>47</v>
      </c>
      <c r="Q682" t="s">
        <v>82</v>
      </c>
      <c r="R682" t="s">
        <v>41</v>
      </c>
      <c r="S682">
        <v>2559</v>
      </c>
      <c r="T682" t="str" cm="1">
        <f t="array" ref="T682">_xlfn.IFS(S682&gt;=10000,"High (&gt;10k)",S682&gt;=5000,"Medium (5k-10k)",S682&lt;5000,"Low (&lt;5k)")</f>
        <v>Low (&lt;5k)</v>
      </c>
      <c r="U682">
        <v>17852</v>
      </c>
      <c r="V682">
        <v>1</v>
      </c>
      <c r="W682" t="s">
        <v>43</v>
      </c>
      <c r="X682">
        <v>11</v>
      </c>
      <c r="Y682">
        <v>3</v>
      </c>
      <c r="Z682">
        <v>4</v>
      </c>
      <c r="AA682">
        <v>0</v>
      </c>
      <c r="AB682">
        <v>6</v>
      </c>
      <c r="AC682">
        <v>3</v>
      </c>
      <c r="AD682" t="s">
        <v>81</v>
      </c>
      <c r="AE682">
        <v>6</v>
      </c>
      <c r="AF682" t="str" cm="1">
        <f t="array" ref="AF682">_xlfn.IFS(AE682&gt;=10,"Veteran (10y+)",AE682&gt;=3,"Established (3-10y)",AE682&lt;3,"New Hire (&lt;3y)")</f>
        <v>Established (3-10y)</v>
      </c>
      <c r="AG682">
        <v>5</v>
      </c>
      <c r="AH682">
        <v>1</v>
      </c>
      <c r="AI682">
        <v>1</v>
      </c>
    </row>
    <row r="683" spans="1:35">
      <c r="A683">
        <v>35</v>
      </c>
      <c r="B683" t="str">
        <f t="shared" si="10"/>
        <v>Middle Aged</v>
      </c>
      <c r="C683">
        <v>0</v>
      </c>
      <c r="D683" t="s">
        <v>36</v>
      </c>
      <c r="E683">
        <v>607</v>
      </c>
      <c r="F683" t="s">
        <v>45</v>
      </c>
      <c r="G683">
        <v>9</v>
      </c>
      <c r="H683" t="str" cm="1">
        <f t="array" ref="H683">_xlfn.IFS(G683&gt;15,"Long Commute",G683&gt;5,"Moderate",G683&lt;=5,"Near Office")</f>
        <v>Moderate</v>
      </c>
      <c r="I683" t="s">
        <v>72</v>
      </c>
      <c r="J683" t="s">
        <v>38</v>
      </c>
      <c r="K683">
        <v>4</v>
      </c>
      <c r="L683" t="s">
        <v>39</v>
      </c>
      <c r="M683">
        <v>66</v>
      </c>
      <c r="N683">
        <v>2</v>
      </c>
      <c r="O683">
        <v>3</v>
      </c>
      <c r="P683" t="s">
        <v>53</v>
      </c>
      <c r="Q683" t="s">
        <v>73</v>
      </c>
      <c r="R683" t="s">
        <v>48</v>
      </c>
      <c r="S683">
        <v>10685</v>
      </c>
      <c r="T683" t="str" cm="1">
        <f t="array" ref="T683">_xlfn.IFS(S683&gt;=10000,"High (&gt;10k)",S683&gt;=5000,"Medium (5k-10k)",S683&lt;5000,"Low (&lt;5k)")</f>
        <v>High (&gt;10k)</v>
      </c>
      <c r="U683">
        <v>23457</v>
      </c>
      <c r="V683">
        <v>1</v>
      </c>
      <c r="W683" t="s">
        <v>35</v>
      </c>
      <c r="X683">
        <v>20</v>
      </c>
      <c r="Y683">
        <v>4</v>
      </c>
      <c r="Z683">
        <v>2</v>
      </c>
      <c r="AA683">
        <v>1</v>
      </c>
      <c r="AB683">
        <v>17</v>
      </c>
      <c r="AC683">
        <v>2</v>
      </c>
      <c r="AD683" t="s">
        <v>74</v>
      </c>
      <c r="AE683">
        <v>17</v>
      </c>
      <c r="AF683" t="str" cm="1">
        <f t="array" ref="AF683">_xlfn.IFS(AE683&gt;=10,"Veteran (10y+)",AE683&gt;=3,"Established (3-10y)",AE683&lt;3,"New Hire (&lt;3y)")</f>
        <v>Veteran (10y+)</v>
      </c>
      <c r="AG683">
        <v>14</v>
      </c>
      <c r="AH683">
        <v>5</v>
      </c>
      <c r="AI683">
        <v>15</v>
      </c>
    </row>
    <row r="684" spans="1:35">
      <c r="A684">
        <v>35</v>
      </c>
      <c r="B684" t="str">
        <f t="shared" si="10"/>
        <v>Middle Aged</v>
      </c>
      <c r="C684">
        <v>1</v>
      </c>
      <c r="D684" t="s">
        <v>44</v>
      </c>
      <c r="E684">
        <v>130</v>
      </c>
      <c r="F684" t="s">
        <v>45</v>
      </c>
      <c r="G684">
        <v>25</v>
      </c>
      <c r="H684" t="str" cm="1">
        <f t="array" ref="H684">_xlfn.IFS(G684&gt;15,"Long Commute",G684&gt;5,"Moderate",G684&lt;=5,"Near Office")</f>
        <v>Long Commute</v>
      </c>
      <c r="I684" t="s">
        <v>83</v>
      </c>
      <c r="J684" t="s">
        <v>38</v>
      </c>
      <c r="K684">
        <v>4</v>
      </c>
      <c r="L684" t="s">
        <v>39</v>
      </c>
      <c r="M684">
        <v>96</v>
      </c>
      <c r="N684">
        <v>3</v>
      </c>
      <c r="O684">
        <v>1</v>
      </c>
      <c r="P684" t="s">
        <v>47</v>
      </c>
      <c r="Q684" t="s">
        <v>75</v>
      </c>
      <c r="R684" t="s">
        <v>52</v>
      </c>
      <c r="S684">
        <v>2022</v>
      </c>
      <c r="T684" t="str" cm="1">
        <f t="array" ref="T684">_xlfn.IFS(S684&gt;=10000,"High (&gt;10k)",S684&gt;=5000,"Medium (5k-10k)",S684&lt;5000,"Low (&lt;5k)")</f>
        <v>Low (&lt;5k)</v>
      </c>
      <c r="U684">
        <v>16612</v>
      </c>
      <c r="V684">
        <v>1</v>
      </c>
      <c r="W684" t="s">
        <v>35</v>
      </c>
      <c r="X684">
        <v>19</v>
      </c>
      <c r="Y684">
        <v>3</v>
      </c>
      <c r="Z684">
        <v>1</v>
      </c>
      <c r="AA684">
        <v>1</v>
      </c>
      <c r="AB684">
        <v>10</v>
      </c>
      <c r="AC684">
        <v>3</v>
      </c>
      <c r="AD684" t="s">
        <v>81</v>
      </c>
      <c r="AE684">
        <v>10</v>
      </c>
      <c r="AF684" t="str" cm="1">
        <f t="array" ref="AF684">_xlfn.IFS(AE684&gt;=10,"Veteran (10y+)",AE684&gt;=3,"Established (3-10y)",AE684&lt;3,"New Hire (&lt;3y)")</f>
        <v>Veteran (10y+)</v>
      </c>
      <c r="AG684">
        <v>2</v>
      </c>
      <c r="AH684">
        <v>7</v>
      </c>
      <c r="AI684">
        <v>8</v>
      </c>
    </row>
    <row r="685" spans="1:35">
      <c r="A685">
        <v>35</v>
      </c>
      <c r="B685" t="str">
        <f t="shared" si="10"/>
        <v>Middle Aged</v>
      </c>
      <c r="C685">
        <v>0</v>
      </c>
      <c r="D685" t="s">
        <v>36</v>
      </c>
      <c r="E685">
        <v>672</v>
      </c>
      <c r="F685" t="s">
        <v>45</v>
      </c>
      <c r="G685">
        <v>25</v>
      </c>
      <c r="H685" t="str" cm="1">
        <f t="array" ref="H685">_xlfn.IFS(G685&gt;15,"Long Commute",G685&gt;5,"Moderate",G685&lt;=5,"Near Office")</f>
        <v>Long Commute</v>
      </c>
      <c r="I685" t="s">
        <v>72</v>
      </c>
      <c r="J685" t="s">
        <v>60</v>
      </c>
      <c r="K685">
        <v>4</v>
      </c>
      <c r="L685" t="s">
        <v>46</v>
      </c>
      <c r="M685">
        <v>78</v>
      </c>
      <c r="N685">
        <v>2</v>
      </c>
      <c r="O685">
        <v>3</v>
      </c>
      <c r="P685" t="s">
        <v>53</v>
      </c>
      <c r="Q685" t="s">
        <v>75</v>
      </c>
      <c r="R685" t="s">
        <v>48</v>
      </c>
      <c r="S685">
        <v>10903</v>
      </c>
      <c r="T685" t="str" cm="1">
        <f t="array" ref="T685">_xlfn.IFS(S685&gt;=10000,"High (&gt;10k)",S685&gt;=5000,"Medium (5k-10k)",S685&lt;5000,"Low (&lt;5k)")</f>
        <v>High (&gt;10k)</v>
      </c>
      <c r="U685">
        <v>9129</v>
      </c>
      <c r="V685">
        <v>3</v>
      </c>
      <c r="W685" t="s">
        <v>43</v>
      </c>
      <c r="X685">
        <v>16</v>
      </c>
      <c r="Y685">
        <v>3</v>
      </c>
      <c r="Z685">
        <v>1</v>
      </c>
      <c r="AA685">
        <v>0</v>
      </c>
      <c r="AB685">
        <v>16</v>
      </c>
      <c r="AC685">
        <v>2</v>
      </c>
      <c r="AD685" t="s">
        <v>74</v>
      </c>
      <c r="AE685">
        <v>13</v>
      </c>
      <c r="AF685" t="str" cm="1">
        <f t="array" ref="AF685">_xlfn.IFS(AE685&gt;=10,"Veteran (10y+)",AE685&gt;=3,"Established (3-10y)",AE685&lt;3,"New Hire (&lt;3y)")</f>
        <v>Veteran (10y+)</v>
      </c>
      <c r="AG685">
        <v>10</v>
      </c>
      <c r="AH685">
        <v>4</v>
      </c>
      <c r="AI685">
        <v>8</v>
      </c>
    </row>
    <row r="686" spans="1:35">
      <c r="A686">
        <v>35</v>
      </c>
      <c r="B686" t="str">
        <f t="shared" si="10"/>
        <v>Middle Aged</v>
      </c>
      <c r="C686">
        <v>0</v>
      </c>
      <c r="D686" t="s">
        <v>36</v>
      </c>
      <c r="E686">
        <v>1137</v>
      </c>
      <c r="F686" t="s">
        <v>45</v>
      </c>
      <c r="G686">
        <v>21</v>
      </c>
      <c r="H686" t="str" cm="1">
        <f t="array" ref="H686">_xlfn.IFS(G686&gt;15,"Long Commute",G686&gt;5,"Moderate",G686&lt;=5,"Near Office")</f>
        <v>Long Commute</v>
      </c>
      <c r="I686" t="s">
        <v>78</v>
      </c>
      <c r="J686" t="s">
        <v>38</v>
      </c>
      <c r="K686">
        <v>4</v>
      </c>
      <c r="L686" t="s">
        <v>39</v>
      </c>
      <c r="M686">
        <v>51</v>
      </c>
      <c r="N686">
        <v>3</v>
      </c>
      <c r="O686">
        <v>2</v>
      </c>
      <c r="P686" t="s">
        <v>54</v>
      </c>
      <c r="Q686" t="s">
        <v>77</v>
      </c>
      <c r="R686" t="s">
        <v>48</v>
      </c>
      <c r="S686">
        <v>4014</v>
      </c>
      <c r="T686" t="str" cm="1">
        <f t="array" ref="T686">_xlfn.IFS(S686&gt;=10000,"High (&gt;10k)",S686&gt;=5000,"Medium (5k-10k)",S686&lt;5000,"Low (&lt;5k)")</f>
        <v>Low (&lt;5k)</v>
      </c>
      <c r="U686">
        <v>19170</v>
      </c>
      <c r="V686">
        <v>1</v>
      </c>
      <c r="W686" t="s">
        <v>35</v>
      </c>
      <c r="X686">
        <v>25</v>
      </c>
      <c r="Y686">
        <v>4</v>
      </c>
      <c r="Z686">
        <v>4</v>
      </c>
      <c r="AA686">
        <v>1</v>
      </c>
      <c r="AB686">
        <v>10</v>
      </c>
      <c r="AC686">
        <v>2</v>
      </c>
      <c r="AD686" t="s">
        <v>80</v>
      </c>
      <c r="AE686">
        <v>10</v>
      </c>
      <c r="AF686" t="str" cm="1">
        <f t="array" ref="AF686">_xlfn.IFS(AE686&gt;=10,"Veteran (10y+)",AE686&gt;=3,"Established (3-10y)",AE686&lt;3,"New Hire (&lt;3y)")</f>
        <v>Veteran (10y+)</v>
      </c>
      <c r="AG686">
        <v>6</v>
      </c>
      <c r="AH686">
        <v>0</v>
      </c>
      <c r="AI686">
        <v>7</v>
      </c>
    </row>
    <row r="687" spans="1:35">
      <c r="A687">
        <v>35</v>
      </c>
      <c r="B687" t="str">
        <f t="shared" si="10"/>
        <v>Middle Aged</v>
      </c>
      <c r="C687">
        <v>0</v>
      </c>
      <c r="D687" t="s">
        <v>36</v>
      </c>
      <c r="E687">
        <v>1219</v>
      </c>
      <c r="F687" t="s">
        <v>37</v>
      </c>
      <c r="G687">
        <v>18</v>
      </c>
      <c r="H687" t="str" cm="1">
        <f t="array" ref="H687">_xlfn.IFS(G687&gt;15,"Long Commute",G687&gt;5,"Moderate",G687&lt;=5,"Near Office")</f>
        <v>Long Commute</v>
      </c>
      <c r="I687" t="s">
        <v>72</v>
      </c>
      <c r="J687" t="s">
        <v>51</v>
      </c>
      <c r="K687">
        <v>3</v>
      </c>
      <c r="L687" t="s">
        <v>39</v>
      </c>
      <c r="M687">
        <v>86</v>
      </c>
      <c r="N687">
        <v>3</v>
      </c>
      <c r="O687">
        <v>2</v>
      </c>
      <c r="P687" t="s">
        <v>40</v>
      </c>
      <c r="Q687" t="s">
        <v>73</v>
      </c>
      <c r="R687" t="s">
        <v>48</v>
      </c>
      <c r="S687">
        <v>4601</v>
      </c>
      <c r="T687" t="str" cm="1">
        <f t="array" ref="T687">_xlfn.IFS(S687&gt;=10000,"High (&gt;10k)",S687&gt;=5000,"Medium (5k-10k)",S687&lt;5000,"Low (&lt;5k)")</f>
        <v>Low (&lt;5k)</v>
      </c>
      <c r="U687">
        <v>6179</v>
      </c>
      <c r="V687">
        <v>1</v>
      </c>
      <c r="W687" t="s">
        <v>43</v>
      </c>
      <c r="X687">
        <v>16</v>
      </c>
      <c r="Y687">
        <v>3</v>
      </c>
      <c r="Z687">
        <v>2</v>
      </c>
      <c r="AA687">
        <v>0</v>
      </c>
      <c r="AB687">
        <v>5</v>
      </c>
      <c r="AC687">
        <v>3</v>
      </c>
      <c r="AD687" t="s">
        <v>74</v>
      </c>
      <c r="AE687">
        <v>5</v>
      </c>
      <c r="AF687" t="str" cm="1">
        <f t="array" ref="AF687">_xlfn.IFS(AE687&gt;=10,"Veteran (10y+)",AE687&gt;=3,"Established (3-10y)",AE687&lt;3,"New Hire (&lt;3y)")</f>
        <v>Established (3-10y)</v>
      </c>
      <c r="AG687">
        <v>2</v>
      </c>
      <c r="AH687">
        <v>1</v>
      </c>
      <c r="AI687">
        <v>0</v>
      </c>
    </row>
    <row r="688" spans="1:35">
      <c r="A688">
        <v>35</v>
      </c>
      <c r="B688" t="str">
        <f t="shared" si="10"/>
        <v>Middle Aged</v>
      </c>
      <c r="C688">
        <v>0</v>
      </c>
      <c r="D688" t="s">
        <v>36</v>
      </c>
      <c r="E688">
        <v>882</v>
      </c>
      <c r="F688" t="s">
        <v>37</v>
      </c>
      <c r="G688">
        <v>3</v>
      </c>
      <c r="H688" t="str" cm="1">
        <f t="array" ref="H688">_xlfn.IFS(G688&gt;15,"Long Commute",G688&gt;5,"Moderate",G688&lt;=5,"Near Office")</f>
        <v>Near Office</v>
      </c>
      <c r="I688" t="s">
        <v>83</v>
      </c>
      <c r="J688" t="s">
        <v>38</v>
      </c>
      <c r="K688">
        <v>4</v>
      </c>
      <c r="L688" t="s">
        <v>46</v>
      </c>
      <c r="M688">
        <v>92</v>
      </c>
      <c r="N688">
        <v>3</v>
      </c>
      <c r="O688">
        <v>3</v>
      </c>
      <c r="P688" t="s">
        <v>40</v>
      </c>
      <c r="Q688" t="s">
        <v>77</v>
      </c>
      <c r="R688" t="s">
        <v>52</v>
      </c>
      <c r="S688">
        <v>7823</v>
      </c>
      <c r="T688" t="str" cm="1">
        <f t="array" ref="T688">_xlfn.IFS(S688&gt;=10000,"High (&gt;10k)",S688&gt;=5000,"Medium (5k-10k)",S688&lt;5000,"Low (&lt;5k)")</f>
        <v>Medium (5k-10k)</v>
      </c>
      <c r="U688">
        <v>6812</v>
      </c>
      <c r="V688">
        <v>6</v>
      </c>
      <c r="W688" t="s">
        <v>43</v>
      </c>
      <c r="X688">
        <v>13</v>
      </c>
      <c r="Y688">
        <v>3</v>
      </c>
      <c r="Z688">
        <v>2</v>
      </c>
      <c r="AA688">
        <v>1</v>
      </c>
      <c r="AB688">
        <v>12</v>
      </c>
      <c r="AC688">
        <v>2</v>
      </c>
      <c r="AD688" t="s">
        <v>74</v>
      </c>
      <c r="AE688">
        <v>10</v>
      </c>
      <c r="AF688" t="str" cm="1">
        <f t="array" ref="AF688">_xlfn.IFS(AE688&gt;=10,"Veteran (10y+)",AE688&gt;=3,"Established (3-10y)",AE688&lt;3,"New Hire (&lt;3y)")</f>
        <v>Veteran (10y+)</v>
      </c>
      <c r="AG688">
        <v>9</v>
      </c>
      <c r="AH688">
        <v>0</v>
      </c>
      <c r="AI688">
        <v>8</v>
      </c>
    </row>
    <row r="689" spans="1:35">
      <c r="A689">
        <v>35</v>
      </c>
      <c r="B689" t="str">
        <f t="shared" si="10"/>
        <v>Middle Aged</v>
      </c>
      <c r="C689">
        <v>1</v>
      </c>
      <c r="D689" t="s">
        <v>36</v>
      </c>
      <c r="E689">
        <v>622</v>
      </c>
      <c r="F689" t="s">
        <v>45</v>
      </c>
      <c r="G689">
        <v>14</v>
      </c>
      <c r="H689" t="str" cm="1">
        <f t="array" ref="H689">_xlfn.IFS(G689&gt;15,"Long Commute",G689&gt;5,"Moderate",G689&lt;=5,"Near Office")</f>
        <v>Moderate</v>
      </c>
      <c r="I689" t="s">
        <v>83</v>
      </c>
      <c r="J689" t="s">
        <v>49</v>
      </c>
      <c r="K689">
        <v>3</v>
      </c>
      <c r="L689" t="s">
        <v>46</v>
      </c>
      <c r="M689">
        <v>39</v>
      </c>
      <c r="N689">
        <v>2</v>
      </c>
      <c r="O689">
        <v>1</v>
      </c>
      <c r="P689" t="s">
        <v>50</v>
      </c>
      <c r="Q689" t="s">
        <v>75</v>
      </c>
      <c r="R689" t="s">
        <v>52</v>
      </c>
      <c r="S689">
        <v>3743</v>
      </c>
      <c r="T689" t="str" cm="1">
        <f t="array" ref="T689">_xlfn.IFS(S689&gt;=10000,"High (&gt;10k)",S689&gt;=5000,"Medium (5k-10k)",S689&lt;5000,"Low (&lt;5k)")</f>
        <v>Low (&lt;5k)</v>
      </c>
      <c r="U689">
        <v>10074</v>
      </c>
      <c r="V689">
        <v>1</v>
      </c>
      <c r="W689" t="s">
        <v>35</v>
      </c>
      <c r="X689">
        <v>24</v>
      </c>
      <c r="Y689">
        <v>4</v>
      </c>
      <c r="Z689">
        <v>4</v>
      </c>
      <c r="AA689">
        <v>1</v>
      </c>
      <c r="AB689">
        <v>5</v>
      </c>
      <c r="AC689">
        <v>2</v>
      </c>
      <c r="AD689" t="s">
        <v>80</v>
      </c>
      <c r="AE689">
        <v>4</v>
      </c>
      <c r="AF689" t="str" cm="1">
        <f t="array" ref="AF689">_xlfn.IFS(AE689&gt;=10,"Veteran (10y+)",AE689&gt;=3,"Established (3-10y)",AE689&lt;3,"New Hire (&lt;3y)")</f>
        <v>Established (3-10y)</v>
      </c>
      <c r="AG689">
        <v>2</v>
      </c>
      <c r="AH689">
        <v>0</v>
      </c>
      <c r="AI689">
        <v>2</v>
      </c>
    </row>
    <row r="690" spans="1:35">
      <c r="A690">
        <v>35</v>
      </c>
      <c r="B690" t="str">
        <f t="shared" si="10"/>
        <v>Middle Aged</v>
      </c>
      <c r="C690">
        <v>0</v>
      </c>
      <c r="D690" t="s">
        <v>36</v>
      </c>
      <c r="E690">
        <v>583</v>
      </c>
      <c r="F690" t="s">
        <v>45</v>
      </c>
      <c r="G690">
        <v>25</v>
      </c>
      <c r="H690" t="str" cm="1">
        <f t="array" ref="H690">_xlfn.IFS(G690&gt;15,"Long Commute",G690&gt;5,"Moderate",G690&lt;=5,"Near Office")</f>
        <v>Long Commute</v>
      </c>
      <c r="I690" t="s">
        <v>83</v>
      </c>
      <c r="J690" t="s">
        <v>51</v>
      </c>
      <c r="K690">
        <v>3</v>
      </c>
      <c r="L690" t="s">
        <v>39</v>
      </c>
      <c r="M690">
        <v>57</v>
      </c>
      <c r="N690">
        <v>3</v>
      </c>
      <c r="O690">
        <v>3</v>
      </c>
      <c r="P690" t="s">
        <v>54</v>
      </c>
      <c r="Q690" t="s">
        <v>73</v>
      </c>
      <c r="R690" t="s">
        <v>52</v>
      </c>
      <c r="S690">
        <v>10388</v>
      </c>
      <c r="T690" t="str" cm="1">
        <f t="array" ref="T690">_xlfn.IFS(S690&gt;=10000,"High (&gt;10k)",S690&gt;=5000,"Medium (5k-10k)",S690&lt;5000,"Low (&lt;5k)")</f>
        <v>High (&gt;10k)</v>
      </c>
      <c r="U690">
        <v>6975</v>
      </c>
      <c r="V690">
        <v>1</v>
      </c>
      <c r="W690" t="s">
        <v>35</v>
      </c>
      <c r="X690">
        <v>11</v>
      </c>
      <c r="Y690">
        <v>3</v>
      </c>
      <c r="Z690">
        <v>3</v>
      </c>
      <c r="AA690">
        <v>1</v>
      </c>
      <c r="AB690">
        <v>16</v>
      </c>
      <c r="AC690">
        <v>3</v>
      </c>
      <c r="AD690" t="s">
        <v>81</v>
      </c>
      <c r="AE690">
        <v>16</v>
      </c>
      <c r="AF690" t="str" cm="1">
        <f t="array" ref="AF690">_xlfn.IFS(AE690&gt;=10,"Veteran (10y+)",AE690&gt;=3,"Established (3-10y)",AE690&lt;3,"New Hire (&lt;3y)")</f>
        <v>Veteran (10y+)</v>
      </c>
      <c r="AG690">
        <v>10</v>
      </c>
      <c r="AH690">
        <v>10</v>
      </c>
      <c r="AI690">
        <v>1</v>
      </c>
    </row>
    <row r="691" spans="1:35">
      <c r="A691">
        <v>35</v>
      </c>
      <c r="B691" t="str">
        <f t="shared" si="10"/>
        <v>Middle Aged</v>
      </c>
      <c r="C691">
        <v>0</v>
      </c>
      <c r="D691" t="s">
        <v>36</v>
      </c>
      <c r="E691">
        <v>802</v>
      </c>
      <c r="F691" t="s">
        <v>45</v>
      </c>
      <c r="G691">
        <v>10</v>
      </c>
      <c r="H691" t="str" cm="1">
        <f t="array" ref="H691">_xlfn.IFS(G691&gt;15,"Long Commute",G691&gt;5,"Moderate",G691&lt;=5,"Near Office")</f>
        <v>Moderate</v>
      </c>
      <c r="I691" t="s">
        <v>72</v>
      </c>
      <c r="J691" t="s">
        <v>49</v>
      </c>
      <c r="K691">
        <v>2</v>
      </c>
      <c r="L691" t="s">
        <v>46</v>
      </c>
      <c r="M691">
        <v>45</v>
      </c>
      <c r="N691">
        <v>3</v>
      </c>
      <c r="O691">
        <v>1</v>
      </c>
      <c r="P691" t="s">
        <v>50</v>
      </c>
      <c r="Q691" t="s">
        <v>77</v>
      </c>
      <c r="R691" t="s">
        <v>52</v>
      </c>
      <c r="S691">
        <v>3917</v>
      </c>
      <c r="T691" t="str" cm="1">
        <f t="array" ref="T691">_xlfn.IFS(S691&gt;=10000,"High (&gt;10k)",S691&gt;=5000,"Medium (5k-10k)",S691&lt;5000,"Low (&lt;5k)")</f>
        <v>Low (&lt;5k)</v>
      </c>
      <c r="U691">
        <v>9541</v>
      </c>
      <c r="V691">
        <v>1</v>
      </c>
      <c r="W691" t="s">
        <v>43</v>
      </c>
      <c r="X691">
        <v>20</v>
      </c>
      <c r="Y691">
        <v>4</v>
      </c>
      <c r="Z691">
        <v>1</v>
      </c>
      <c r="AA691">
        <v>1</v>
      </c>
      <c r="AB691">
        <v>3</v>
      </c>
      <c r="AC691">
        <v>4</v>
      </c>
      <c r="AD691" t="s">
        <v>81</v>
      </c>
      <c r="AE691">
        <v>3</v>
      </c>
      <c r="AF691" t="str" cm="1">
        <f t="array" ref="AF691">_xlfn.IFS(AE691&gt;=10,"Veteran (10y+)",AE691&gt;=3,"Established (3-10y)",AE691&lt;3,"New Hire (&lt;3y)")</f>
        <v>Established (3-10y)</v>
      </c>
      <c r="AG691">
        <v>2</v>
      </c>
      <c r="AH691">
        <v>1</v>
      </c>
      <c r="AI691">
        <v>2</v>
      </c>
    </row>
    <row r="692" spans="1:35">
      <c r="A692">
        <v>35</v>
      </c>
      <c r="B692" t="str">
        <f t="shared" si="10"/>
        <v>Middle Aged</v>
      </c>
      <c r="C692">
        <v>1</v>
      </c>
      <c r="D692" t="s">
        <v>36</v>
      </c>
      <c r="E692">
        <v>1204</v>
      </c>
      <c r="F692" t="s">
        <v>37</v>
      </c>
      <c r="G692">
        <v>4</v>
      </c>
      <c r="H692" t="str" cm="1">
        <f t="array" ref="H692">_xlfn.IFS(G692&gt;15,"Long Commute",G692&gt;5,"Moderate",G692&lt;=5,"Near Office")</f>
        <v>Near Office</v>
      </c>
      <c r="I692" t="s">
        <v>72</v>
      </c>
      <c r="J692" t="s">
        <v>60</v>
      </c>
      <c r="K692">
        <v>4</v>
      </c>
      <c r="L692" t="s">
        <v>46</v>
      </c>
      <c r="M692">
        <v>86</v>
      </c>
      <c r="N692">
        <v>3</v>
      </c>
      <c r="O692">
        <v>3</v>
      </c>
      <c r="P692" t="s">
        <v>40</v>
      </c>
      <c r="Q692" t="s">
        <v>82</v>
      </c>
      <c r="R692" t="s">
        <v>41</v>
      </c>
      <c r="S692">
        <v>9582</v>
      </c>
      <c r="T692" t="str" cm="1">
        <f t="array" ref="T692">_xlfn.IFS(S692&gt;=10000,"High (&gt;10k)",S692&gt;=5000,"Medium (5k-10k)",S692&lt;5000,"Low (&lt;5k)")</f>
        <v>Medium (5k-10k)</v>
      </c>
      <c r="U692">
        <v>10333</v>
      </c>
      <c r="V692">
        <v>0</v>
      </c>
      <c r="W692" t="s">
        <v>35</v>
      </c>
      <c r="X692">
        <v>22</v>
      </c>
      <c r="Y692">
        <v>4</v>
      </c>
      <c r="Z692">
        <v>1</v>
      </c>
      <c r="AA692">
        <v>0</v>
      </c>
      <c r="AB692">
        <v>9</v>
      </c>
      <c r="AC692">
        <v>2</v>
      </c>
      <c r="AD692" t="s">
        <v>74</v>
      </c>
      <c r="AE692">
        <v>8</v>
      </c>
      <c r="AF692" t="str" cm="1">
        <f t="array" ref="AF692">_xlfn.IFS(AE692&gt;=10,"Veteran (10y+)",AE692&gt;=3,"Established (3-10y)",AE692&lt;3,"New Hire (&lt;3y)")</f>
        <v>Established (3-10y)</v>
      </c>
      <c r="AG692">
        <v>7</v>
      </c>
      <c r="AH692">
        <v>4</v>
      </c>
      <c r="AI692">
        <v>7</v>
      </c>
    </row>
    <row r="693" spans="1:35">
      <c r="A693">
        <v>35</v>
      </c>
      <c r="B693" t="str">
        <f t="shared" si="10"/>
        <v>Middle Aged</v>
      </c>
      <c r="C693">
        <v>0</v>
      </c>
      <c r="D693" t="s">
        <v>44</v>
      </c>
      <c r="E693">
        <v>1182</v>
      </c>
      <c r="F693" t="s">
        <v>37</v>
      </c>
      <c r="G693">
        <v>11</v>
      </c>
      <c r="H693" t="str" cm="1">
        <f t="array" ref="H693">_xlfn.IFS(G693&gt;15,"Long Commute",G693&gt;5,"Moderate",G693&lt;=5,"Near Office")</f>
        <v>Moderate</v>
      </c>
      <c r="I693" t="s">
        <v>76</v>
      </c>
      <c r="J693" t="s">
        <v>59</v>
      </c>
      <c r="K693">
        <v>4</v>
      </c>
      <c r="L693" t="s">
        <v>46</v>
      </c>
      <c r="M693">
        <v>54</v>
      </c>
      <c r="N693">
        <v>3</v>
      </c>
      <c r="O693">
        <v>2</v>
      </c>
      <c r="P693" t="s">
        <v>40</v>
      </c>
      <c r="Q693" t="s">
        <v>77</v>
      </c>
      <c r="R693" t="s">
        <v>52</v>
      </c>
      <c r="S693">
        <v>4968</v>
      </c>
      <c r="T693" t="str" cm="1">
        <f t="array" ref="T693">_xlfn.IFS(S693&gt;=10000,"High (&gt;10k)",S693&gt;=5000,"Medium (5k-10k)",S693&lt;5000,"Low (&lt;5k)")</f>
        <v>Low (&lt;5k)</v>
      </c>
      <c r="U693">
        <v>18500</v>
      </c>
      <c r="V693">
        <v>1</v>
      </c>
      <c r="W693" t="s">
        <v>43</v>
      </c>
      <c r="X693">
        <v>11</v>
      </c>
      <c r="Y693">
        <v>3</v>
      </c>
      <c r="Z693">
        <v>4</v>
      </c>
      <c r="AA693">
        <v>1</v>
      </c>
      <c r="AB693">
        <v>5</v>
      </c>
      <c r="AC693">
        <v>3</v>
      </c>
      <c r="AD693" t="s">
        <v>74</v>
      </c>
      <c r="AE693">
        <v>5</v>
      </c>
      <c r="AF693" t="str" cm="1">
        <f t="array" ref="AF693">_xlfn.IFS(AE693&gt;=10,"Veteran (10y+)",AE693&gt;=3,"Established (3-10y)",AE693&lt;3,"New Hire (&lt;3y)")</f>
        <v>Established (3-10y)</v>
      </c>
      <c r="AG693">
        <v>2</v>
      </c>
      <c r="AH693">
        <v>0</v>
      </c>
      <c r="AI693">
        <v>2</v>
      </c>
    </row>
    <row r="694" spans="1:35">
      <c r="A694">
        <v>35</v>
      </c>
      <c r="B694" t="str">
        <f t="shared" si="10"/>
        <v>Middle Aged</v>
      </c>
      <c r="C694">
        <v>0</v>
      </c>
      <c r="D694" t="s">
        <v>36</v>
      </c>
      <c r="E694">
        <v>528</v>
      </c>
      <c r="F694" t="s">
        <v>61</v>
      </c>
      <c r="G694">
        <v>8</v>
      </c>
      <c r="H694" t="str" cm="1">
        <f t="array" ref="H694">_xlfn.IFS(G694&gt;15,"Long Commute",G694&gt;5,"Moderate",G694&lt;=5,"Near Office")</f>
        <v>Moderate</v>
      </c>
      <c r="I694" t="s">
        <v>83</v>
      </c>
      <c r="J694" t="s">
        <v>60</v>
      </c>
      <c r="K694">
        <v>3</v>
      </c>
      <c r="L694" t="s">
        <v>46</v>
      </c>
      <c r="M694">
        <v>100</v>
      </c>
      <c r="N694">
        <v>3</v>
      </c>
      <c r="O694">
        <v>1</v>
      </c>
      <c r="P694" t="s">
        <v>61</v>
      </c>
      <c r="Q694" t="s">
        <v>73</v>
      </c>
      <c r="R694" t="s">
        <v>41</v>
      </c>
      <c r="S694">
        <v>4323</v>
      </c>
      <c r="T694" t="str" cm="1">
        <f t="array" ref="T694">_xlfn.IFS(S694&gt;=10000,"High (&gt;10k)",S694&gt;=5000,"Medium (5k-10k)",S694&lt;5000,"Low (&lt;5k)")</f>
        <v>Low (&lt;5k)</v>
      </c>
      <c r="U694">
        <v>7108</v>
      </c>
      <c r="V694">
        <v>1</v>
      </c>
      <c r="W694" t="s">
        <v>43</v>
      </c>
      <c r="X694">
        <v>17</v>
      </c>
      <c r="Y694">
        <v>3</v>
      </c>
      <c r="Z694">
        <v>2</v>
      </c>
      <c r="AA694">
        <v>0</v>
      </c>
      <c r="AB694">
        <v>6</v>
      </c>
      <c r="AC694">
        <v>2</v>
      </c>
      <c r="AD694" t="s">
        <v>80</v>
      </c>
      <c r="AE694">
        <v>5</v>
      </c>
      <c r="AF694" t="str" cm="1">
        <f t="array" ref="AF694">_xlfn.IFS(AE694&gt;=10,"Veteran (10y+)",AE694&gt;=3,"Established (3-10y)",AE694&lt;3,"New Hire (&lt;3y)")</f>
        <v>Established (3-10y)</v>
      </c>
      <c r="AG694">
        <v>4</v>
      </c>
      <c r="AH694">
        <v>1</v>
      </c>
      <c r="AI694">
        <v>4</v>
      </c>
    </row>
    <row r="695" spans="1:35">
      <c r="A695">
        <v>35</v>
      </c>
      <c r="B695" t="str">
        <f t="shared" si="10"/>
        <v>Middle Aged</v>
      </c>
      <c r="C695">
        <v>0</v>
      </c>
      <c r="D695" t="s">
        <v>36</v>
      </c>
      <c r="E695">
        <v>982</v>
      </c>
      <c r="F695" t="s">
        <v>45</v>
      </c>
      <c r="G695">
        <v>1</v>
      </c>
      <c r="H695" t="str" cm="1">
        <f t="array" ref="H695">_xlfn.IFS(G695&gt;15,"Long Commute",G695&gt;5,"Moderate",G695&lt;=5,"Near Office")</f>
        <v>Near Office</v>
      </c>
      <c r="I695" t="s">
        <v>83</v>
      </c>
      <c r="J695" t="s">
        <v>51</v>
      </c>
      <c r="K695">
        <v>4</v>
      </c>
      <c r="L695" t="s">
        <v>46</v>
      </c>
      <c r="M695">
        <v>58</v>
      </c>
      <c r="N695">
        <v>2</v>
      </c>
      <c r="O695">
        <v>1</v>
      </c>
      <c r="P695" t="s">
        <v>50</v>
      </c>
      <c r="Q695" t="s">
        <v>73</v>
      </c>
      <c r="R695" t="s">
        <v>48</v>
      </c>
      <c r="S695">
        <v>2258</v>
      </c>
      <c r="T695" t="str" cm="1">
        <f t="array" ref="T695">_xlfn.IFS(S695&gt;=10000,"High (&gt;10k)",S695&gt;=5000,"Medium (5k-10k)",S695&lt;5000,"Low (&lt;5k)")</f>
        <v>Low (&lt;5k)</v>
      </c>
      <c r="U695">
        <v>16340</v>
      </c>
      <c r="V695">
        <v>6</v>
      </c>
      <c r="W695" t="s">
        <v>43</v>
      </c>
      <c r="X695">
        <v>12</v>
      </c>
      <c r="Y695">
        <v>3</v>
      </c>
      <c r="Z695">
        <v>2</v>
      </c>
      <c r="AA695">
        <v>1</v>
      </c>
      <c r="AB695">
        <v>10</v>
      </c>
      <c r="AC695">
        <v>2</v>
      </c>
      <c r="AD695" t="s">
        <v>74</v>
      </c>
      <c r="AE695">
        <v>8</v>
      </c>
      <c r="AF695" t="str" cm="1">
        <f t="array" ref="AF695">_xlfn.IFS(AE695&gt;=10,"Veteran (10y+)",AE695&gt;=3,"Established (3-10y)",AE695&lt;3,"New Hire (&lt;3y)")</f>
        <v>Established (3-10y)</v>
      </c>
      <c r="AG695">
        <v>0</v>
      </c>
      <c r="AH695">
        <v>1</v>
      </c>
      <c r="AI695">
        <v>7</v>
      </c>
    </row>
    <row r="696" spans="1:35">
      <c r="A696">
        <v>35</v>
      </c>
      <c r="B696" t="str">
        <f t="shared" si="10"/>
        <v>Middle Aged</v>
      </c>
      <c r="C696">
        <v>0</v>
      </c>
      <c r="D696" t="s">
        <v>36</v>
      </c>
      <c r="E696">
        <v>819</v>
      </c>
      <c r="F696" t="s">
        <v>45</v>
      </c>
      <c r="G696">
        <v>2</v>
      </c>
      <c r="H696" t="str" cm="1">
        <f t="array" ref="H696">_xlfn.IFS(G696&gt;15,"Long Commute",G696&gt;5,"Moderate",G696&lt;=5,"Near Office")</f>
        <v>Near Office</v>
      </c>
      <c r="I696" t="s">
        <v>72</v>
      </c>
      <c r="J696" t="s">
        <v>38</v>
      </c>
      <c r="K696">
        <v>3</v>
      </c>
      <c r="L696" t="s">
        <v>46</v>
      </c>
      <c r="M696">
        <v>44</v>
      </c>
      <c r="N696">
        <v>2</v>
      </c>
      <c r="O696">
        <v>3</v>
      </c>
      <c r="P696" t="s">
        <v>53</v>
      </c>
      <c r="Q696" t="s">
        <v>75</v>
      </c>
      <c r="R696" t="s">
        <v>52</v>
      </c>
      <c r="S696">
        <v>10274</v>
      </c>
      <c r="T696" t="str" cm="1">
        <f t="array" ref="T696">_xlfn.IFS(S696&gt;=10000,"High (&gt;10k)",S696&gt;=5000,"Medium (5k-10k)",S696&lt;5000,"Low (&lt;5k)")</f>
        <v>High (&gt;10k)</v>
      </c>
      <c r="U696">
        <v>19588</v>
      </c>
      <c r="V696">
        <v>2</v>
      </c>
      <c r="W696" t="s">
        <v>43</v>
      </c>
      <c r="X696">
        <v>18</v>
      </c>
      <c r="Y696">
        <v>3</v>
      </c>
      <c r="Z696">
        <v>2</v>
      </c>
      <c r="AA696">
        <v>1</v>
      </c>
      <c r="AB696">
        <v>15</v>
      </c>
      <c r="AC696">
        <v>2</v>
      </c>
      <c r="AD696" t="s">
        <v>79</v>
      </c>
      <c r="AE696">
        <v>7</v>
      </c>
      <c r="AF696" t="str" cm="1">
        <f t="array" ref="AF696">_xlfn.IFS(AE696&gt;=10,"Veteran (10y+)",AE696&gt;=3,"Established (3-10y)",AE696&lt;3,"New Hire (&lt;3y)")</f>
        <v>Established (3-10y)</v>
      </c>
      <c r="AG696">
        <v>7</v>
      </c>
      <c r="AH696">
        <v>6</v>
      </c>
      <c r="AI696">
        <v>4</v>
      </c>
    </row>
    <row r="697" spans="1:35">
      <c r="A697">
        <v>35</v>
      </c>
      <c r="B697" t="str">
        <f t="shared" si="10"/>
        <v>Middle Aged</v>
      </c>
      <c r="C697">
        <v>0</v>
      </c>
      <c r="D697" t="s">
        <v>44</v>
      </c>
      <c r="E697">
        <v>636</v>
      </c>
      <c r="F697" t="s">
        <v>45</v>
      </c>
      <c r="G697">
        <v>4</v>
      </c>
      <c r="H697" t="str" cm="1">
        <f t="array" ref="H697">_xlfn.IFS(G697&gt;15,"Long Commute",G697&gt;5,"Moderate",G697&lt;=5,"Near Office")</f>
        <v>Near Office</v>
      </c>
      <c r="I697" t="s">
        <v>83</v>
      </c>
      <c r="J697" t="s">
        <v>49</v>
      </c>
      <c r="K697">
        <v>4</v>
      </c>
      <c r="L697" t="s">
        <v>46</v>
      </c>
      <c r="M697">
        <v>47</v>
      </c>
      <c r="N697">
        <v>2</v>
      </c>
      <c r="O697">
        <v>1</v>
      </c>
      <c r="P697" t="s">
        <v>50</v>
      </c>
      <c r="Q697" t="s">
        <v>77</v>
      </c>
      <c r="R697" t="s">
        <v>48</v>
      </c>
      <c r="S697">
        <v>2376</v>
      </c>
      <c r="T697" t="str" cm="1">
        <f t="array" ref="T697">_xlfn.IFS(S697&gt;=10000,"High (&gt;10k)",S697&gt;=5000,"Medium (5k-10k)",S697&lt;5000,"Low (&lt;5k)")</f>
        <v>Low (&lt;5k)</v>
      </c>
      <c r="U697">
        <v>26537</v>
      </c>
      <c r="V697">
        <v>1</v>
      </c>
      <c r="W697" t="s">
        <v>43</v>
      </c>
      <c r="X697">
        <v>13</v>
      </c>
      <c r="Y697">
        <v>3</v>
      </c>
      <c r="Z697">
        <v>2</v>
      </c>
      <c r="AA697">
        <v>1</v>
      </c>
      <c r="AB697">
        <v>2</v>
      </c>
      <c r="AC697">
        <v>2</v>
      </c>
      <c r="AD697" t="s">
        <v>79</v>
      </c>
      <c r="AE697">
        <v>2</v>
      </c>
      <c r="AF697" t="str" cm="1">
        <f t="array" ref="AF697">_xlfn.IFS(AE697&gt;=10,"Veteran (10y+)",AE697&gt;=3,"Established (3-10y)",AE697&lt;3,"New Hire (&lt;3y)")</f>
        <v>New Hire (&lt;3y)</v>
      </c>
      <c r="AG697">
        <v>2</v>
      </c>
      <c r="AH697">
        <v>2</v>
      </c>
      <c r="AI697">
        <v>2</v>
      </c>
    </row>
    <row r="698" spans="1:35">
      <c r="A698">
        <v>35</v>
      </c>
      <c r="B698" t="str">
        <f t="shared" si="10"/>
        <v>Middle Aged</v>
      </c>
      <c r="C698">
        <v>0</v>
      </c>
      <c r="D698" t="s">
        <v>36</v>
      </c>
      <c r="E698">
        <v>1361</v>
      </c>
      <c r="F698" t="s">
        <v>37</v>
      </c>
      <c r="G698">
        <v>17</v>
      </c>
      <c r="H698" t="str" cm="1">
        <f t="array" ref="H698">_xlfn.IFS(G698&gt;15,"Long Commute",G698&gt;5,"Moderate",G698&lt;=5,"Near Office")</f>
        <v>Long Commute</v>
      </c>
      <c r="I698" t="s">
        <v>83</v>
      </c>
      <c r="J698" t="s">
        <v>38</v>
      </c>
      <c r="K698">
        <v>3</v>
      </c>
      <c r="L698" t="s">
        <v>46</v>
      </c>
      <c r="M698">
        <v>94</v>
      </c>
      <c r="N698">
        <v>3</v>
      </c>
      <c r="O698">
        <v>2</v>
      </c>
      <c r="P698" t="s">
        <v>40</v>
      </c>
      <c r="Q698" t="s">
        <v>82</v>
      </c>
      <c r="R698" t="s">
        <v>48</v>
      </c>
      <c r="S698">
        <v>8966</v>
      </c>
      <c r="T698" t="str" cm="1">
        <f t="array" ref="T698">_xlfn.IFS(S698&gt;=10000,"High (&gt;10k)",S698&gt;=5000,"Medium (5k-10k)",S698&lt;5000,"Low (&lt;5k)")</f>
        <v>Medium (5k-10k)</v>
      </c>
      <c r="U698">
        <v>21026</v>
      </c>
      <c r="V698">
        <v>3</v>
      </c>
      <c r="W698" t="s">
        <v>35</v>
      </c>
      <c r="X698">
        <v>15</v>
      </c>
      <c r="Y698">
        <v>3</v>
      </c>
      <c r="Z698">
        <v>4</v>
      </c>
      <c r="AA698">
        <v>3</v>
      </c>
      <c r="AB698">
        <v>15</v>
      </c>
      <c r="AC698">
        <v>2</v>
      </c>
      <c r="AD698" t="s">
        <v>74</v>
      </c>
      <c r="AE698">
        <v>7</v>
      </c>
      <c r="AF698" t="str" cm="1">
        <f t="array" ref="AF698">_xlfn.IFS(AE698&gt;=10,"Veteran (10y+)",AE698&gt;=3,"Established (3-10y)",AE698&lt;3,"New Hire (&lt;3y)")</f>
        <v>Established (3-10y)</v>
      </c>
      <c r="AG698">
        <v>7</v>
      </c>
      <c r="AH698">
        <v>1</v>
      </c>
      <c r="AI698">
        <v>7</v>
      </c>
    </row>
    <row r="699" spans="1:35">
      <c r="A699">
        <v>35</v>
      </c>
      <c r="B699" t="str">
        <f t="shared" si="10"/>
        <v>Middle Aged</v>
      </c>
      <c r="C699">
        <v>0</v>
      </c>
      <c r="D699" t="s">
        <v>55</v>
      </c>
      <c r="E699">
        <v>1212</v>
      </c>
      <c r="F699" t="s">
        <v>37</v>
      </c>
      <c r="G699">
        <v>8</v>
      </c>
      <c r="H699" t="str" cm="1">
        <f t="array" ref="H699">_xlfn.IFS(G699&gt;15,"Long Commute",G699&gt;5,"Moderate",G699&lt;=5,"Near Office")</f>
        <v>Moderate</v>
      </c>
      <c r="I699" t="s">
        <v>76</v>
      </c>
      <c r="J699" t="s">
        <v>59</v>
      </c>
      <c r="K699">
        <v>3</v>
      </c>
      <c r="L699" t="s">
        <v>39</v>
      </c>
      <c r="M699">
        <v>78</v>
      </c>
      <c r="N699">
        <v>2</v>
      </c>
      <c r="O699">
        <v>3</v>
      </c>
      <c r="P699" t="s">
        <v>40</v>
      </c>
      <c r="Q699" t="s">
        <v>77</v>
      </c>
      <c r="R699" t="s">
        <v>48</v>
      </c>
      <c r="S699">
        <v>10377</v>
      </c>
      <c r="T699" t="str" cm="1">
        <f t="array" ref="T699">_xlfn.IFS(S699&gt;=10000,"High (&gt;10k)",S699&gt;=5000,"Medium (5k-10k)",S699&lt;5000,"Low (&lt;5k)")</f>
        <v>High (&gt;10k)</v>
      </c>
      <c r="U699">
        <v>13755</v>
      </c>
      <c r="V699">
        <v>4</v>
      </c>
      <c r="W699" t="s">
        <v>35</v>
      </c>
      <c r="X699">
        <v>11</v>
      </c>
      <c r="Y699">
        <v>3</v>
      </c>
      <c r="Z699">
        <v>2</v>
      </c>
      <c r="AA699">
        <v>1</v>
      </c>
      <c r="AB699">
        <v>16</v>
      </c>
      <c r="AC699">
        <v>6</v>
      </c>
      <c r="AD699" t="s">
        <v>81</v>
      </c>
      <c r="AE699">
        <v>13</v>
      </c>
      <c r="AF699" t="str" cm="1">
        <f t="array" ref="AF699">_xlfn.IFS(AE699&gt;=10,"Veteran (10y+)",AE699&gt;=3,"Established (3-10y)",AE699&lt;3,"New Hire (&lt;3y)")</f>
        <v>Veteran (10y+)</v>
      </c>
      <c r="AG699">
        <v>2</v>
      </c>
      <c r="AH699">
        <v>4</v>
      </c>
      <c r="AI699">
        <v>12</v>
      </c>
    </row>
    <row r="700" spans="1:35">
      <c r="A700">
        <v>35</v>
      </c>
      <c r="B700" t="str">
        <f t="shared" si="10"/>
        <v>Middle Aged</v>
      </c>
      <c r="C700">
        <v>0</v>
      </c>
      <c r="D700" t="s">
        <v>36</v>
      </c>
      <c r="E700">
        <v>735</v>
      </c>
      <c r="F700" t="s">
        <v>45</v>
      </c>
      <c r="G700">
        <v>6</v>
      </c>
      <c r="H700" t="str" cm="1">
        <f t="array" ref="H700">_xlfn.IFS(G700&gt;15,"Long Commute",G700&gt;5,"Moderate",G700&lt;=5,"Near Office")</f>
        <v>Moderate</v>
      </c>
      <c r="I700" t="s">
        <v>78</v>
      </c>
      <c r="J700" t="s">
        <v>38</v>
      </c>
      <c r="K700">
        <v>3</v>
      </c>
      <c r="L700" t="s">
        <v>46</v>
      </c>
      <c r="M700">
        <v>66</v>
      </c>
      <c r="N700">
        <v>3</v>
      </c>
      <c r="O700">
        <v>1</v>
      </c>
      <c r="P700" t="s">
        <v>47</v>
      </c>
      <c r="Q700" t="s">
        <v>73</v>
      </c>
      <c r="R700" t="s">
        <v>48</v>
      </c>
      <c r="S700">
        <v>3506</v>
      </c>
      <c r="T700" t="str" cm="1">
        <f t="array" ref="T700">_xlfn.IFS(S700&gt;=10000,"High (&gt;10k)",S700&gt;=5000,"Medium (5k-10k)",S700&lt;5000,"Low (&lt;5k)")</f>
        <v>Low (&lt;5k)</v>
      </c>
      <c r="U700">
        <v>6020</v>
      </c>
      <c r="V700">
        <v>0</v>
      </c>
      <c r="W700" t="s">
        <v>35</v>
      </c>
      <c r="X700">
        <v>14</v>
      </c>
      <c r="Y700">
        <v>3</v>
      </c>
      <c r="Z700">
        <v>4</v>
      </c>
      <c r="AA700">
        <v>0</v>
      </c>
      <c r="AB700">
        <v>4</v>
      </c>
      <c r="AC700">
        <v>3</v>
      </c>
      <c r="AD700" t="s">
        <v>74</v>
      </c>
      <c r="AE700">
        <v>3</v>
      </c>
      <c r="AF700" t="str" cm="1">
        <f t="array" ref="AF700">_xlfn.IFS(AE700&gt;=10,"Veteran (10y+)",AE700&gt;=3,"Established (3-10y)",AE700&lt;3,"New Hire (&lt;3y)")</f>
        <v>Established (3-10y)</v>
      </c>
      <c r="AG700">
        <v>2</v>
      </c>
      <c r="AH700">
        <v>2</v>
      </c>
      <c r="AI700">
        <v>2</v>
      </c>
    </row>
    <row r="701" spans="1:35">
      <c r="A701">
        <v>35</v>
      </c>
      <c r="B701" t="str">
        <f t="shared" si="10"/>
        <v>Middle Aged</v>
      </c>
      <c r="C701">
        <v>0</v>
      </c>
      <c r="D701" t="s">
        <v>44</v>
      </c>
      <c r="E701">
        <v>482</v>
      </c>
      <c r="F701" t="s">
        <v>45</v>
      </c>
      <c r="G701">
        <v>4</v>
      </c>
      <c r="H701" t="str" cm="1">
        <f t="array" ref="H701">_xlfn.IFS(G701&gt;15,"Long Commute",G701&gt;5,"Moderate",G701&lt;=5,"Near Office")</f>
        <v>Near Office</v>
      </c>
      <c r="I701" t="s">
        <v>83</v>
      </c>
      <c r="J701" t="s">
        <v>38</v>
      </c>
      <c r="K701">
        <v>3</v>
      </c>
      <c r="L701" t="s">
        <v>46</v>
      </c>
      <c r="M701">
        <v>87</v>
      </c>
      <c r="N701">
        <v>3</v>
      </c>
      <c r="O701">
        <v>2</v>
      </c>
      <c r="P701" t="s">
        <v>47</v>
      </c>
      <c r="Q701" t="s">
        <v>73</v>
      </c>
      <c r="R701" t="s">
        <v>41</v>
      </c>
      <c r="S701">
        <v>4249</v>
      </c>
      <c r="T701" t="str" cm="1">
        <f t="array" ref="T701">_xlfn.IFS(S701&gt;=10000,"High (&gt;10k)",S701&gt;=5000,"Medium (5k-10k)",S701&lt;5000,"Low (&lt;5k)")</f>
        <v>Low (&lt;5k)</v>
      </c>
      <c r="U701">
        <v>2690</v>
      </c>
      <c r="V701">
        <v>1</v>
      </c>
      <c r="W701" t="s">
        <v>35</v>
      </c>
      <c r="X701">
        <v>11</v>
      </c>
      <c r="Y701">
        <v>3</v>
      </c>
      <c r="Z701">
        <v>2</v>
      </c>
      <c r="AA701">
        <v>0</v>
      </c>
      <c r="AB701">
        <v>9</v>
      </c>
      <c r="AC701">
        <v>3</v>
      </c>
      <c r="AD701" t="s">
        <v>74</v>
      </c>
      <c r="AE701">
        <v>9</v>
      </c>
      <c r="AF701" t="str" cm="1">
        <f t="array" ref="AF701">_xlfn.IFS(AE701&gt;=10,"Veteran (10y+)",AE701&gt;=3,"Established (3-10y)",AE701&lt;3,"New Hire (&lt;3y)")</f>
        <v>Established (3-10y)</v>
      </c>
      <c r="AG701">
        <v>6</v>
      </c>
      <c r="AH701">
        <v>1</v>
      </c>
      <c r="AI701">
        <v>1</v>
      </c>
    </row>
    <row r="702" spans="1:35">
      <c r="A702">
        <v>35</v>
      </c>
      <c r="B702" t="str">
        <f t="shared" si="10"/>
        <v>Middle Aged</v>
      </c>
      <c r="C702">
        <v>0</v>
      </c>
      <c r="D702" t="s">
        <v>36</v>
      </c>
      <c r="E702">
        <v>817</v>
      </c>
      <c r="F702" t="s">
        <v>45</v>
      </c>
      <c r="G702">
        <v>1</v>
      </c>
      <c r="H702" t="str" cm="1">
        <f t="array" ref="H702">_xlfn.IFS(G702&gt;15,"Long Commute",G702&gt;5,"Moderate",G702&lt;=5,"Near Office")</f>
        <v>Near Office</v>
      </c>
      <c r="I702" t="s">
        <v>72</v>
      </c>
      <c r="J702" t="s">
        <v>51</v>
      </c>
      <c r="K702">
        <v>4</v>
      </c>
      <c r="L702" t="s">
        <v>39</v>
      </c>
      <c r="M702">
        <v>60</v>
      </c>
      <c r="N702">
        <v>2</v>
      </c>
      <c r="O702">
        <v>2</v>
      </c>
      <c r="P702" t="s">
        <v>50</v>
      </c>
      <c r="Q702" t="s">
        <v>77</v>
      </c>
      <c r="R702" t="s">
        <v>48</v>
      </c>
      <c r="S702">
        <v>5363</v>
      </c>
      <c r="T702" t="str" cm="1">
        <f t="array" ref="T702">_xlfn.IFS(S702&gt;=10000,"High (&gt;10k)",S702&gt;=5000,"Medium (5k-10k)",S702&lt;5000,"Low (&lt;5k)")</f>
        <v>Medium (5k-10k)</v>
      </c>
      <c r="U702">
        <v>10846</v>
      </c>
      <c r="V702">
        <v>0</v>
      </c>
      <c r="W702" t="s">
        <v>43</v>
      </c>
      <c r="X702">
        <v>12</v>
      </c>
      <c r="Y702">
        <v>3</v>
      </c>
      <c r="Z702">
        <v>2</v>
      </c>
      <c r="AA702">
        <v>1</v>
      </c>
      <c r="AB702">
        <v>10</v>
      </c>
      <c r="AC702">
        <v>0</v>
      </c>
      <c r="AD702" t="s">
        <v>74</v>
      </c>
      <c r="AE702">
        <v>9</v>
      </c>
      <c r="AF702" t="str" cm="1">
        <f t="array" ref="AF702">_xlfn.IFS(AE702&gt;=10,"Veteran (10y+)",AE702&gt;=3,"Established (3-10y)",AE702&lt;3,"New Hire (&lt;3y)")</f>
        <v>Established (3-10y)</v>
      </c>
      <c r="AG702">
        <v>7</v>
      </c>
      <c r="AH702">
        <v>0</v>
      </c>
      <c r="AI702">
        <v>0</v>
      </c>
    </row>
    <row r="703" spans="1:35">
      <c r="A703">
        <v>35</v>
      </c>
      <c r="B703" t="str">
        <f t="shared" si="10"/>
        <v>Middle Aged</v>
      </c>
      <c r="C703">
        <v>1</v>
      </c>
      <c r="D703" t="s">
        <v>44</v>
      </c>
      <c r="E703">
        <v>662</v>
      </c>
      <c r="F703" t="s">
        <v>37</v>
      </c>
      <c r="G703">
        <v>18</v>
      </c>
      <c r="H703" t="str" cm="1">
        <f t="array" ref="H703">_xlfn.IFS(G703&gt;15,"Long Commute",G703&gt;5,"Moderate",G703&lt;=5,"Near Office")</f>
        <v>Long Commute</v>
      </c>
      <c r="I703" t="s">
        <v>83</v>
      </c>
      <c r="J703" t="s">
        <v>59</v>
      </c>
      <c r="K703">
        <v>4</v>
      </c>
      <c r="L703" t="s">
        <v>39</v>
      </c>
      <c r="M703">
        <v>67</v>
      </c>
      <c r="N703">
        <v>3</v>
      </c>
      <c r="O703">
        <v>2</v>
      </c>
      <c r="P703" t="s">
        <v>40</v>
      </c>
      <c r="Q703" t="s">
        <v>73</v>
      </c>
      <c r="R703" t="s">
        <v>48</v>
      </c>
      <c r="S703">
        <v>4614</v>
      </c>
      <c r="T703" t="str" cm="1">
        <f t="array" ref="T703">_xlfn.IFS(S703&gt;=10000,"High (&gt;10k)",S703&gt;=5000,"Medium (5k-10k)",S703&lt;5000,"Low (&lt;5k)")</f>
        <v>Low (&lt;5k)</v>
      </c>
      <c r="U703">
        <v>23288</v>
      </c>
      <c r="V703">
        <v>0</v>
      </c>
      <c r="W703" t="s">
        <v>35</v>
      </c>
      <c r="X703">
        <v>18</v>
      </c>
      <c r="Y703">
        <v>3</v>
      </c>
      <c r="Z703">
        <v>3</v>
      </c>
      <c r="AA703">
        <v>1</v>
      </c>
      <c r="AB703">
        <v>5</v>
      </c>
      <c r="AC703">
        <v>0</v>
      </c>
      <c r="AD703" t="s">
        <v>81</v>
      </c>
      <c r="AE703">
        <v>4</v>
      </c>
      <c r="AF703" t="str" cm="1">
        <f t="array" ref="AF703">_xlfn.IFS(AE703&gt;=10,"Veteran (10y+)",AE703&gt;=3,"Established (3-10y)",AE703&lt;3,"New Hire (&lt;3y)")</f>
        <v>Established (3-10y)</v>
      </c>
      <c r="AG703">
        <v>2</v>
      </c>
      <c r="AH703">
        <v>3</v>
      </c>
      <c r="AI703">
        <v>2</v>
      </c>
    </row>
    <row r="704" spans="1:35">
      <c r="A704">
        <v>35</v>
      </c>
      <c r="B704" t="str">
        <f t="shared" si="10"/>
        <v>Middle Aged</v>
      </c>
      <c r="C704">
        <v>0</v>
      </c>
      <c r="D704" t="s">
        <v>44</v>
      </c>
      <c r="E704">
        <v>200</v>
      </c>
      <c r="F704" t="s">
        <v>45</v>
      </c>
      <c r="G704">
        <v>18</v>
      </c>
      <c r="H704" t="str" cm="1">
        <f t="array" ref="H704">_xlfn.IFS(G704&gt;15,"Long Commute",G704&gt;5,"Moderate",G704&lt;=5,"Near Office")</f>
        <v>Long Commute</v>
      </c>
      <c r="I704" t="s">
        <v>76</v>
      </c>
      <c r="J704" t="s">
        <v>38</v>
      </c>
      <c r="K704">
        <v>3</v>
      </c>
      <c r="L704" t="s">
        <v>46</v>
      </c>
      <c r="M704">
        <v>60</v>
      </c>
      <c r="N704">
        <v>3</v>
      </c>
      <c r="O704">
        <v>3</v>
      </c>
      <c r="P704" t="s">
        <v>53</v>
      </c>
      <c r="Q704" t="s">
        <v>77</v>
      </c>
      <c r="R704" t="s">
        <v>41</v>
      </c>
      <c r="S704">
        <v>9362</v>
      </c>
      <c r="T704" t="str" cm="1">
        <f t="array" ref="T704">_xlfn.IFS(S704&gt;=10000,"High (&gt;10k)",S704&gt;=5000,"Medium (5k-10k)",S704&lt;5000,"Low (&lt;5k)")</f>
        <v>Medium (5k-10k)</v>
      </c>
      <c r="U704">
        <v>19944</v>
      </c>
      <c r="V704">
        <v>2</v>
      </c>
      <c r="W704" t="s">
        <v>43</v>
      </c>
      <c r="X704">
        <v>11</v>
      </c>
      <c r="Y704">
        <v>3</v>
      </c>
      <c r="Z704">
        <v>3</v>
      </c>
      <c r="AA704">
        <v>0</v>
      </c>
      <c r="AB704">
        <v>10</v>
      </c>
      <c r="AC704">
        <v>2</v>
      </c>
      <c r="AD704" t="s">
        <v>74</v>
      </c>
      <c r="AE704">
        <v>2</v>
      </c>
      <c r="AF704" t="str" cm="1">
        <f t="array" ref="AF704">_xlfn.IFS(AE704&gt;=10,"Veteran (10y+)",AE704&gt;=3,"Established (3-10y)",AE704&lt;3,"New Hire (&lt;3y)")</f>
        <v>New Hire (&lt;3y)</v>
      </c>
      <c r="AG704">
        <v>2</v>
      </c>
      <c r="AH704">
        <v>2</v>
      </c>
      <c r="AI704">
        <v>2</v>
      </c>
    </row>
    <row r="705" spans="1:35">
      <c r="A705">
        <v>35</v>
      </c>
      <c r="B705" t="str">
        <f t="shared" si="10"/>
        <v>Middle Aged</v>
      </c>
      <c r="C705">
        <v>0</v>
      </c>
      <c r="D705" t="s">
        <v>36</v>
      </c>
      <c r="E705">
        <v>660</v>
      </c>
      <c r="F705" t="s">
        <v>37</v>
      </c>
      <c r="G705">
        <v>7</v>
      </c>
      <c r="H705" t="str" cm="1">
        <f t="array" ref="H705">_xlfn.IFS(G705&gt;15,"Long Commute",G705&gt;5,"Moderate",G705&lt;=5,"Near Office")</f>
        <v>Moderate</v>
      </c>
      <c r="I705" t="s">
        <v>78</v>
      </c>
      <c r="J705" t="s">
        <v>38</v>
      </c>
      <c r="K705">
        <v>4</v>
      </c>
      <c r="L705" t="s">
        <v>46</v>
      </c>
      <c r="M705">
        <v>76</v>
      </c>
      <c r="N705">
        <v>3</v>
      </c>
      <c r="O705">
        <v>1</v>
      </c>
      <c r="P705" t="s">
        <v>57</v>
      </c>
      <c r="Q705" t="s">
        <v>73</v>
      </c>
      <c r="R705" t="s">
        <v>48</v>
      </c>
      <c r="S705">
        <v>2404</v>
      </c>
      <c r="T705" t="str" cm="1">
        <f t="array" ref="T705">_xlfn.IFS(S705&gt;=10000,"High (&gt;10k)",S705&gt;=5000,"Medium (5k-10k)",S705&lt;5000,"Low (&lt;5k)")</f>
        <v>Low (&lt;5k)</v>
      </c>
      <c r="U705">
        <v>16192</v>
      </c>
      <c r="V705">
        <v>1</v>
      </c>
      <c r="W705" t="s">
        <v>43</v>
      </c>
      <c r="X705">
        <v>13</v>
      </c>
      <c r="Y705">
        <v>3</v>
      </c>
      <c r="Z705">
        <v>1</v>
      </c>
      <c r="AA705">
        <v>1</v>
      </c>
      <c r="AB705">
        <v>1</v>
      </c>
      <c r="AC705">
        <v>3</v>
      </c>
      <c r="AD705" t="s">
        <v>74</v>
      </c>
      <c r="AE705">
        <v>1</v>
      </c>
      <c r="AF705" t="str" cm="1">
        <f t="array" ref="AF705">_xlfn.IFS(AE705&gt;=10,"Veteran (10y+)",AE705&gt;=3,"Established (3-10y)",AE705&lt;3,"New Hire (&lt;3y)")</f>
        <v>New Hire (&lt;3y)</v>
      </c>
      <c r="AG705">
        <v>0</v>
      </c>
      <c r="AH705">
        <v>0</v>
      </c>
      <c r="AI705">
        <v>0</v>
      </c>
    </row>
    <row r="706" spans="1:35">
      <c r="A706">
        <v>35</v>
      </c>
      <c r="B706" t="str">
        <f t="shared" si="10"/>
        <v>Middle Aged</v>
      </c>
      <c r="C706">
        <v>0</v>
      </c>
      <c r="D706" t="s">
        <v>36</v>
      </c>
      <c r="E706">
        <v>1029</v>
      </c>
      <c r="F706" t="s">
        <v>45</v>
      </c>
      <c r="G706">
        <v>16</v>
      </c>
      <c r="H706" t="str" cm="1">
        <f t="array" ref="H706">_xlfn.IFS(G706&gt;15,"Long Commute",G706&gt;5,"Moderate",G706&lt;=5,"Near Office")</f>
        <v>Long Commute</v>
      </c>
      <c r="I706" t="s">
        <v>72</v>
      </c>
      <c r="J706" t="s">
        <v>38</v>
      </c>
      <c r="K706">
        <v>4</v>
      </c>
      <c r="L706" t="s">
        <v>39</v>
      </c>
      <c r="M706">
        <v>91</v>
      </c>
      <c r="N706">
        <v>2</v>
      </c>
      <c r="O706">
        <v>3</v>
      </c>
      <c r="P706" t="s">
        <v>54</v>
      </c>
      <c r="Q706" t="s">
        <v>75</v>
      </c>
      <c r="R706" t="s">
        <v>41</v>
      </c>
      <c r="S706">
        <v>8606</v>
      </c>
      <c r="T706" t="str" cm="1">
        <f t="array" ref="T706">_xlfn.IFS(S706&gt;=10000,"High (&gt;10k)",S706&gt;=5000,"Medium (5k-10k)",S706&lt;5000,"Low (&lt;5k)")</f>
        <v>Medium (5k-10k)</v>
      </c>
      <c r="U706">
        <v>21195</v>
      </c>
      <c r="V706">
        <v>1</v>
      </c>
      <c r="W706" t="s">
        <v>43</v>
      </c>
      <c r="X706">
        <v>19</v>
      </c>
      <c r="Y706">
        <v>3</v>
      </c>
      <c r="Z706">
        <v>4</v>
      </c>
      <c r="AA706">
        <v>0</v>
      </c>
      <c r="AB706">
        <v>11</v>
      </c>
      <c r="AC706">
        <v>3</v>
      </c>
      <c r="AD706" t="s">
        <v>80</v>
      </c>
      <c r="AE706">
        <v>11</v>
      </c>
      <c r="AF706" t="str" cm="1">
        <f t="array" ref="AF706">_xlfn.IFS(AE706&gt;=10,"Veteran (10y+)",AE706&gt;=3,"Established (3-10y)",AE706&lt;3,"New Hire (&lt;3y)")</f>
        <v>Veteran (10y+)</v>
      </c>
      <c r="AG706">
        <v>8</v>
      </c>
      <c r="AH706">
        <v>3</v>
      </c>
      <c r="AI706">
        <v>3</v>
      </c>
    </row>
    <row r="707" spans="1:35">
      <c r="A707">
        <v>35</v>
      </c>
      <c r="B707" t="str">
        <f t="shared" ref="B707:B770" si="11">IF(A707&gt;=46,"Senior",IF(A707&gt;=30,"Middle Aged","Young Adults"))</f>
        <v>Middle Aged</v>
      </c>
      <c r="C707">
        <v>0</v>
      </c>
      <c r="D707" t="s">
        <v>36</v>
      </c>
      <c r="E707">
        <v>1402</v>
      </c>
      <c r="F707" t="s">
        <v>37</v>
      </c>
      <c r="G707">
        <v>28</v>
      </c>
      <c r="H707" t="str" cm="1">
        <f t="array" ref="H707">_xlfn.IFS(G707&gt;15,"Long Commute",G707&gt;5,"Moderate",G707&lt;=5,"Near Office")</f>
        <v>Long Commute</v>
      </c>
      <c r="I707" t="s">
        <v>83</v>
      </c>
      <c r="J707" t="s">
        <v>38</v>
      </c>
      <c r="K707">
        <v>2</v>
      </c>
      <c r="L707" t="s">
        <v>39</v>
      </c>
      <c r="M707">
        <v>98</v>
      </c>
      <c r="N707">
        <v>2</v>
      </c>
      <c r="O707">
        <v>1</v>
      </c>
      <c r="P707" t="s">
        <v>57</v>
      </c>
      <c r="Q707" t="s">
        <v>73</v>
      </c>
      <c r="R707" t="s">
        <v>48</v>
      </c>
      <c r="S707">
        <v>2430</v>
      </c>
      <c r="T707" t="str" cm="1">
        <f t="array" ref="T707">_xlfn.IFS(S707&gt;=10000,"High (&gt;10k)",S707&gt;=5000,"Medium (5k-10k)",S707&lt;5000,"Low (&lt;5k)")</f>
        <v>Low (&lt;5k)</v>
      </c>
      <c r="U707">
        <v>26204</v>
      </c>
      <c r="V707">
        <v>0</v>
      </c>
      <c r="W707" t="s">
        <v>43</v>
      </c>
      <c r="X707">
        <v>23</v>
      </c>
      <c r="Y707">
        <v>4</v>
      </c>
      <c r="Z707">
        <v>1</v>
      </c>
      <c r="AA707">
        <v>2</v>
      </c>
      <c r="AB707">
        <v>6</v>
      </c>
      <c r="AC707">
        <v>5</v>
      </c>
      <c r="AD707" t="s">
        <v>74</v>
      </c>
      <c r="AE707">
        <v>5</v>
      </c>
      <c r="AF707" t="str" cm="1">
        <f t="array" ref="AF707">_xlfn.IFS(AE707&gt;=10,"Veteran (10y+)",AE707&gt;=3,"Established (3-10y)",AE707&lt;3,"New Hire (&lt;3y)")</f>
        <v>Established (3-10y)</v>
      </c>
      <c r="AG707">
        <v>3</v>
      </c>
      <c r="AH707">
        <v>4</v>
      </c>
      <c r="AI707">
        <v>2</v>
      </c>
    </row>
    <row r="708" spans="1:35">
      <c r="A708">
        <v>35</v>
      </c>
      <c r="B708" t="str">
        <f t="shared" si="11"/>
        <v>Middle Aged</v>
      </c>
      <c r="C708">
        <v>0</v>
      </c>
      <c r="D708" t="s">
        <v>36</v>
      </c>
      <c r="E708">
        <v>992</v>
      </c>
      <c r="F708" t="s">
        <v>45</v>
      </c>
      <c r="G708">
        <v>1</v>
      </c>
      <c r="H708" t="str" cm="1">
        <f t="array" ref="H708">_xlfn.IFS(G708&gt;15,"Long Commute",G708&gt;5,"Moderate",G708&lt;=5,"Near Office")</f>
        <v>Near Office</v>
      </c>
      <c r="I708" t="s">
        <v>72</v>
      </c>
      <c r="J708" t="s">
        <v>51</v>
      </c>
      <c r="K708">
        <v>4</v>
      </c>
      <c r="L708" t="s">
        <v>46</v>
      </c>
      <c r="M708">
        <v>68</v>
      </c>
      <c r="N708">
        <v>2</v>
      </c>
      <c r="O708">
        <v>1</v>
      </c>
      <c r="P708" t="s">
        <v>50</v>
      </c>
      <c r="Q708" t="s">
        <v>82</v>
      </c>
      <c r="R708" t="s">
        <v>41</v>
      </c>
      <c r="S708">
        <v>2450</v>
      </c>
      <c r="T708" t="str" cm="1">
        <f t="array" ref="T708">_xlfn.IFS(S708&gt;=10000,"High (&gt;10k)",S708&gt;=5000,"Medium (5k-10k)",S708&lt;5000,"Low (&lt;5k)")</f>
        <v>Low (&lt;5k)</v>
      </c>
      <c r="U708">
        <v>21731</v>
      </c>
      <c r="V708">
        <v>1</v>
      </c>
      <c r="W708" t="s">
        <v>43</v>
      </c>
      <c r="X708">
        <v>19</v>
      </c>
      <c r="Y708">
        <v>3</v>
      </c>
      <c r="Z708">
        <v>2</v>
      </c>
      <c r="AA708">
        <v>0</v>
      </c>
      <c r="AB708">
        <v>3</v>
      </c>
      <c r="AC708">
        <v>3</v>
      </c>
      <c r="AD708" t="s">
        <v>74</v>
      </c>
      <c r="AE708">
        <v>3</v>
      </c>
      <c r="AF708" t="str" cm="1">
        <f t="array" ref="AF708">_xlfn.IFS(AE708&gt;=10,"Veteran (10y+)",AE708&gt;=3,"Established (3-10y)",AE708&lt;3,"New Hire (&lt;3y)")</f>
        <v>Established (3-10y)</v>
      </c>
      <c r="AG708">
        <v>0</v>
      </c>
      <c r="AH708">
        <v>1</v>
      </c>
      <c r="AI708">
        <v>2</v>
      </c>
    </row>
    <row r="709" spans="1:35">
      <c r="A709">
        <v>35</v>
      </c>
      <c r="B709" t="str">
        <f t="shared" si="11"/>
        <v>Middle Aged</v>
      </c>
      <c r="C709">
        <v>1</v>
      </c>
      <c r="D709" t="s">
        <v>36</v>
      </c>
      <c r="E709">
        <v>104</v>
      </c>
      <c r="F709" t="s">
        <v>45</v>
      </c>
      <c r="G709">
        <v>2</v>
      </c>
      <c r="H709" t="str" cm="1">
        <f t="array" ref="H709">_xlfn.IFS(G709&gt;15,"Long Commute",G709&gt;5,"Moderate",G709&lt;=5,"Near Office")</f>
        <v>Near Office</v>
      </c>
      <c r="I709" t="s">
        <v>72</v>
      </c>
      <c r="J709" t="s">
        <v>38</v>
      </c>
      <c r="K709">
        <v>1</v>
      </c>
      <c r="L709" t="s">
        <v>39</v>
      </c>
      <c r="M709">
        <v>69</v>
      </c>
      <c r="N709">
        <v>3</v>
      </c>
      <c r="O709">
        <v>1</v>
      </c>
      <c r="P709" t="s">
        <v>50</v>
      </c>
      <c r="Q709" t="s">
        <v>82</v>
      </c>
      <c r="R709" t="s">
        <v>52</v>
      </c>
      <c r="S709">
        <v>2074</v>
      </c>
      <c r="T709" t="str" cm="1">
        <f t="array" ref="T709">_xlfn.IFS(S709&gt;=10000,"High (&gt;10k)",S709&gt;=5000,"Medium (5k-10k)",S709&lt;5000,"Low (&lt;5k)")</f>
        <v>Low (&lt;5k)</v>
      </c>
      <c r="U709">
        <v>26619</v>
      </c>
      <c r="V709">
        <v>1</v>
      </c>
      <c r="W709" t="s">
        <v>35</v>
      </c>
      <c r="X709">
        <v>12</v>
      </c>
      <c r="Y709">
        <v>3</v>
      </c>
      <c r="Z709">
        <v>4</v>
      </c>
      <c r="AA709">
        <v>1</v>
      </c>
      <c r="AB709">
        <v>1</v>
      </c>
      <c r="AC709">
        <v>2</v>
      </c>
      <c r="AD709" t="s">
        <v>74</v>
      </c>
      <c r="AE709">
        <v>1</v>
      </c>
      <c r="AF709" t="str" cm="1">
        <f t="array" ref="AF709">_xlfn.IFS(AE709&gt;=10,"Veteran (10y+)",AE709&gt;=3,"Established (3-10y)",AE709&lt;3,"New Hire (&lt;3y)")</f>
        <v>New Hire (&lt;3y)</v>
      </c>
      <c r="AG709">
        <v>0</v>
      </c>
      <c r="AH709">
        <v>0</v>
      </c>
      <c r="AI709">
        <v>0</v>
      </c>
    </row>
    <row r="710" spans="1:35">
      <c r="A710">
        <v>35</v>
      </c>
      <c r="B710" t="str">
        <f t="shared" si="11"/>
        <v>Middle Aged</v>
      </c>
      <c r="C710">
        <v>0</v>
      </c>
      <c r="D710" t="s">
        <v>36</v>
      </c>
      <c r="E710">
        <v>670</v>
      </c>
      <c r="F710" t="s">
        <v>45</v>
      </c>
      <c r="G710">
        <v>10</v>
      </c>
      <c r="H710" t="str" cm="1">
        <f t="array" ref="H710">_xlfn.IFS(G710&gt;15,"Long Commute",G710&gt;5,"Moderate",G710&lt;=5,"Near Office")</f>
        <v>Moderate</v>
      </c>
      <c r="I710" t="s">
        <v>83</v>
      </c>
      <c r="J710" t="s">
        <v>51</v>
      </c>
      <c r="K710">
        <v>1</v>
      </c>
      <c r="L710" t="s">
        <v>39</v>
      </c>
      <c r="M710">
        <v>51</v>
      </c>
      <c r="N710">
        <v>3</v>
      </c>
      <c r="O710">
        <v>2</v>
      </c>
      <c r="P710" t="s">
        <v>54</v>
      </c>
      <c r="Q710" t="s">
        <v>73</v>
      </c>
      <c r="R710" t="s">
        <v>41</v>
      </c>
      <c r="S710">
        <v>6142</v>
      </c>
      <c r="T710" t="str" cm="1">
        <f t="array" ref="T710">_xlfn.IFS(S710&gt;=10000,"High (&gt;10k)",S710&gt;=5000,"Medium (5k-10k)",S710&lt;5000,"Low (&lt;5k)")</f>
        <v>Medium (5k-10k)</v>
      </c>
      <c r="U710">
        <v>4223</v>
      </c>
      <c r="V710">
        <v>3</v>
      </c>
      <c r="W710" t="s">
        <v>35</v>
      </c>
      <c r="X710">
        <v>16</v>
      </c>
      <c r="Y710">
        <v>3</v>
      </c>
      <c r="Z710">
        <v>3</v>
      </c>
      <c r="AA710">
        <v>0</v>
      </c>
      <c r="AB710">
        <v>10</v>
      </c>
      <c r="AC710">
        <v>4</v>
      </c>
      <c r="AD710" t="s">
        <v>74</v>
      </c>
      <c r="AE710">
        <v>5</v>
      </c>
      <c r="AF710" t="str" cm="1">
        <f t="array" ref="AF710">_xlfn.IFS(AE710&gt;=10,"Veteran (10y+)",AE710&gt;=3,"Established (3-10y)",AE710&lt;3,"New Hire (&lt;3y)")</f>
        <v>Established (3-10y)</v>
      </c>
      <c r="AG710">
        <v>2</v>
      </c>
      <c r="AH710">
        <v>0</v>
      </c>
      <c r="AI710">
        <v>4</v>
      </c>
    </row>
    <row r="711" spans="1:35">
      <c r="A711">
        <v>35</v>
      </c>
      <c r="B711" t="str">
        <f t="shared" si="11"/>
        <v>Middle Aged</v>
      </c>
      <c r="C711">
        <v>0</v>
      </c>
      <c r="D711" t="s">
        <v>36</v>
      </c>
      <c r="E711">
        <v>750</v>
      </c>
      <c r="F711" t="s">
        <v>45</v>
      </c>
      <c r="G711">
        <v>28</v>
      </c>
      <c r="H711" t="str" cm="1">
        <f t="array" ref="H711">_xlfn.IFS(G711&gt;15,"Long Commute",G711&gt;5,"Moderate",G711&lt;=5,"Near Office")</f>
        <v>Long Commute</v>
      </c>
      <c r="I711" t="s">
        <v>72</v>
      </c>
      <c r="J711" t="s">
        <v>38</v>
      </c>
      <c r="K711">
        <v>2</v>
      </c>
      <c r="L711" t="s">
        <v>46</v>
      </c>
      <c r="M711">
        <v>46</v>
      </c>
      <c r="N711">
        <v>4</v>
      </c>
      <c r="O711">
        <v>2</v>
      </c>
      <c r="P711" t="s">
        <v>50</v>
      </c>
      <c r="Q711" t="s">
        <v>73</v>
      </c>
      <c r="R711" t="s">
        <v>48</v>
      </c>
      <c r="S711">
        <v>3407</v>
      </c>
      <c r="T711" t="str" cm="1">
        <f t="array" ref="T711">_xlfn.IFS(S711&gt;=10000,"High (&gt;10k)",S711&gt;=5000,"Medium (5k-10k)",S711&lt;5000,"Low (&lt;5k)")</f>
        <v>Low (&lt;5k)</v>
      </c>
      <c r="U711">
        <v>25348</v>
      </c>
      <c r="V711">
        <v>1</v>
      </c>
      <c r="W711" t="s">
        <v>43</v>
      </c>
      <c r="X711">
        <v>17</v>
      </c>
      <c r="Y711">
        <v>3</v>
      </c>
      <c r="Z711">
        <v>4</v>
      </c>
      <c r="AA711">
        <v>2</v>
      </c>
      <c r="AB711">
        <v>10</v>
      </c>
      <c r="AC711">
        <v>3</v>
      </c>
      <c r="AD711" t="s">
        <v>81</v>
      </c>
      <c r="AE711">
        <v>10</v>
      </c>
      <c r="AF711" t="str" cm="1">
        <f t="array" ref="AF711">_xlfn.IFS(AE711&gt;=10,"Veteran (10y+)",AE711&gt;=3,"Established (3-10y)",AE711&lt;3,"New Hire (&lt;3y)")</f>
        <v>Veteran (10y+)</v>
      </c>
      <c r="AG711">
        <v>9</v>
      </c>
      <c r="AH711">
        <v>6</v>
      </c>
      <c r="AI711">
        <v>8</v>
      </c>
    </row>
    <row r="712" spans="1:35">
      <c r="A712">
        <v>35</v>
      </c>
      <c r="B712" t="str">
        <f t="shared" si="11"/>
        <v>Middle Aged</v>
      </c>
      <c r="C712">
        <v>0</v>
      </c>
      <c r="D712" t="s">
        <v>36</v>
      </c>
      <c r="E712">
        <v>1349</v>
      </c>
      <c r="F712" t="s">
        <v>45</v>
      </c>
      <c r="G712">
        <v>7</v>
      </c>
      <c r="H712" t="str" cm="1">
        <f t="array" ref="H712">_xlfn.IFS(G712&gt;15,"Long Commute",G712&gt;5,"Moderate",G712&lt;=5,"Near Office")</f>
        <v>Moderate</v>
      </c>
      <c r="I712" t="s">
        <v>76</v>
      </c>
      <c r="J712" t="s">
        <v>38</v>
      </c>
      <c r="K712">
        <v>3</v>
      </c>
      <c r="L712" t="s">
        <v>46</v>
      </c>
      <c r="M712">
        <v>63</v>
      </c>
      <c r="N712">
        <v>2</v>
      </c>
      <c r="O712">
        <v>1</v>
      </c>
      <c r="P712" t="s">
        <v>50</v>
      </c>
      <c r="Q712" t="s">
        <v>77</v>
      </c>
      <c r="R712" t="s">
        <v>48</v>
      </c>
      <c r="S712">
        <v>2690</v>
      </c>
      <c r="T712" t="str" cm="1">
        <f t="array" ref="T712">_xlfn.IFS(S712&gt;=10000,"High (&gt;10k)",S712&gt;=5000,"Medium (5k-10k)",S712&lt;5000,"Low (&lt;5k)")</f>
        <v>Low (&lt;5k)</v>
      </c>
      <c r="U712">
        <v>7713</v>
      </c>
      <c r="V712">
        <v>1</v>
      </c>
      <c r="W712" t="s">
        <v>43</v>
      </c>
      <c r="X712">
        <v>18</v>
      </c>
      <c r="Y712">
        <v>3</v>
      </c>
      <c r="Z712">
        <v>4</v>
      </c>
      <c r="AA712">
        <v>1</v>
      </c>
      <c r="AB712">
        <v>1</v>
      </c>
      <c r="AC712">
        <v>5</v>
      </c>
      <c r="AD712" t="s">
        <v>81</v>
      </c>
      <c r="AE712">
        <v>1</v>
      </c>
      <c r="AF712" t="str" cm="1">
        <f t="array" ref="AF712">_xlfn.IFS(AE712&gt;=10,"Veteran (10y+)",AE712&gt;=3,"Established (3-10y)",AE712&lt;3,"New Hire (&lt;3y)")</f>
        <v>New Hire (&lt;3y)</v>
      </c>
      <c r="AG712">
        <v>0</v>
      </c>
      <c r="AH712">
        <v>0</v>
      </c>
      <c r="AI712">
        <v>1</v>
      </c>
    </row>
    <row r="713" spans="1:35">
      <c r="A713">
        <v>35</v>
      </c>
      <c r="B713" t="str">
        <f t="shared" si="11"/>
        <v>Middle Aged</v>
      </c>
      <c r="C713">
        <v>0</v>
      </c>
      <c r="D713" t="s">
        <v>36</v>
      </c>
      <c r="E713">
        <v>819</v>
      </c>
      <c r="F713" t="s">
        <v>45</v>
      </c>
      <c r="G713">
        <v>18</v>
      </c>
      <c r="H713" t="str" cm="1">
        <f t="array" ref="H713">_xlfn.IFS(G713&gt;15,"Long Commute",G713&gt;5,"Moderate",G713&lt;=5,"Near Office")</f>
        <v>Long Commute</v>
      </c>
      <c r="I713" t="s">
        <v>84</v>
      </c>
      <c r="J713" t="s">
        <v>38</v>
      </c>
      <c r="K713">
        <v>2</v>
      </c>
      <c r="L713" t="s">
        <v>46</v>
      </c>
      <c r="M713">
        <v>48</v>
      </c>
      <c r="N713">
        <v>4</v>
      </c>
      <c r="O713">
        <v>2</v>
      </c>
      <c r="P713" t="s">
        <v>47</v>
      </c>
      <c r="Q713" t="s">
        <v>82</v>
      </c>
      <c r="R713" t="s">
        <v>48</v>
      </c>
      <c r="S713">
        <v>5208</v>
      </c>
      <c r="T713" t="str" cm="1">
        <f t="array" ref="T713">_xlfn.IFS(S713&gt;=10000,"High (&gt;10k)",S713&gt;=5000,"Medium (5k-10k)",S713&lt;5000,"Low (&lt;5k)")</f>
        <v>Medium (5k-10k)</v>
      </c>
      <c r="U713">
        <v>26312</v>
      </c>
      <c r="V713">
        <v>1</v>
      </c>
      <c r="W713" t="s">
        <v>43</v>
      </c>
      <c r="X713">
        <v>11</v>
      </c>
      <c r="Y713">
        <v>3</v>
      </c>
      <c r="Z713">
        <v>4</v>
      </c>
      <c r="AA713">
        <v>0</v>
      </c>
      <c r="AB713">
        <v>16</v>
      </c>
      <c r="AC713">
        <v>2</v>
      </c>
      <c r="AD713" t="s">
        <v>74</v>
      </c>
      <c r="AE713">
        <v>16</v>
      </c>
      <c r="AF713" t="str" cm="1">
        <f t="array" ref="AF713">_xlfn.IFS(AE713&gt;=10,"Veteran (10y+)",AE713&gt;=3,"Established (3-10y)",AE713&lt;3,"New Hire (&lt;3y)")</f>
        <v>Veteran (10y+)</v>
      </c>
      <c r="AG713">
        <v>15</v>
      </c>
      <c r="AH713">
        <v>1</v>
      </c>
      <c r="AI713">
        <v>10</v>
      </c>
    </row>
    <row r="714" spans="1:35">
      <c r="A714">
        <v>35</v>
      </c>
      <c r="B714" t="str">
        <f t="shared" si="11"/>
        <v>Middle Aged</v>
      </c>
      <c r="C714">
        <v>0</v>
      </c>
      <c r="D714" t="s">
        <v>55</v>
      </c>
      <c r="E714">
        <v>208</v>
      </c>
      <c r="F714" t="s">
        <v>45</v>
      </c>
      <c r="G714">
        <v>8</v>
      </c>
      <c r="H714" t="str" cm="1">
        <f t="array" ref="H714">_xlfn.IFS(G714&gt;15,"Long Commute",G714&gt;5,"Moderate",G714&lt;=5,"Near Office")</f>
        <v>Moderate</v>
      </c>
      <c r="I714" t="s">
        <v>83</v>
      </c>
      <c r="J714" t="s">
        <v>38</v>
      </c>
      <c r="K714">
        <v>3</v>
      </c>
      <c r="L714" t="s">
        <v>39</v>
      </c>
      <c r="M714">
        <v>52</v>
      </c>
      <c r="N714">
        <v>3</v>
      </c>
      <c r="O714">
        <v>2</v>
      </c>
      <c r="P714" t="s">
        <v>54</v>
      </c>
      <c r="Q714" t="s">
        <v>73</v>
      </c>
      <c r="R714" t="s">
        <v>48</v>
      </c>
      <c r="S714">
        <v>4148</v>
      </c>
      <c r="T714" t="str" cm="1">
        <f t="array" ref="T714">_xlfn.IFS(S714&gt;=10000,"High (&gt;10k)",S714&gt;=5000,"Medium (5k-10k)",S714&lt;5000,"Low (&lt;5k)")</f>
        <v>Low (&lt;5k)</v>
      </c>
      <c r="U714">
        <v>12250</v>
      </c>
      <c r="V714">
        <v>1</v>
      </c>
      <c r="W714" t="s">
        <v>43</v>
      </c>
      <c r="X714">
        <v>12</v>
      </c>
      <c r="Y714">
        <v>3</v>
      </c>
      <c r="Z714">
        <v>4</v>
      </c>
      <c r="AA714">
        <v>1</v>
      </c>
      <c r="AB714">
        <v>15</v>
      </c>
      <c r="AC714">
        <v>5</v>
      </c>
      <c r="AD714" t="s">
        <v>74</v>
      </c>
      <c r="AE714">
        <v>14</v>
      </c>
      <c r="AF714" t="str" cm="1">
        <f t="array" ref="AF714">_xlfn.IFS(AE714&gt;=10,"Veteran (10y+)",AE714&gt;=3,"Established (3-10y)",AE714&lt;3,"New Hire (&lt;3y)")</f>
        <v>Veteran (10y+)</v>
      </c>
      <c r="AG714">
        <v>11</v>
      </c>
      <c r="AH714">
        <v>2</v>
      </c>
      <c r="AI714">
        <v>9</v>
      </c>
    </row>
    <row r="715" spans="1:35">
      <c r="A715">
        <v>35</v>
      </c>
      <c r="B715" t="str">
        <f t="shared" si="11"/>
        <v>Middle Aged</v>
      </c>
      <c r="C715">
        <v>1</v>
      </c>
      <c r="D715" t="s">
        <v>36</v>
      </c>
      <c r="E715">
        <v>737</v>
      </c>
      <c r="F715" t="s">
        <v>37</v>
      </c>
      <c r="G715">
        <v>10</v>
      </c>
      <c r="H715" t="str" cm="1">
        <f t="array" ref="H715">_xlfn.IFS(G715&gt;15,"Long Commute",G715&gt;5,"Moderate",G715&lt;=5,"Near Office")</f>
        <v>Moderate</v>
      </c>
      <c r="I715" t="s">
        <v>72</v>
      </c>
      <c r="J715" t="s">
        <v>51</v>
      </c>
      <c r="K715">
        <v>4</v>
      </c>
      <c r="L715" t="s">
        <v>46</v>
      </c>
      <c r="M715">
        <v>55</v>
      </c>
      <c r="N715">
        <v>2</v>
      </c>
      <c r="O715">
        <v>3</v>
      </c>
      <c r="P715" t="s">
        <v>40</v>
      </c>
      <c r="Q715" t="s">
        <v>82</v>
      </c>
      <c r="R715" t="s">
        <v>48</v>
      </c>
      <c r="S715">
        <v>10306</v>
      </c>
      <c r="T715" t="str" cm="1">
        <f t="array" ref="T715">_xlfn.IFS(S715&gt;=10000,"High (&gt;10k)",S715&gt;=5000,"Medium (5k-10k)",S715&lt;5000,"Low (&lt;5k)")</f>
        <v>High (&gt;10k)</v>
      </c>
      <c r="U715">
        <v>21530</v>
      </c>
      <c r="V715">
        <v>9</v>
      </c>
      <c r="W715" t="s">
        <v>43</v>
      </c>
      <c r="X715">
        <v>17</v>
      </c>
      <c r="Y715">
        <v>3</v>
      </c>
      <c r="Z715">
        <v>3</v>
      </c>
      <c r="AA715">
        <v>0</v>
      </c>
      <c r="AB715">
        <v>15</v>
      </c>
      <c r="AC715">
        <v>3</v>
      </c>
      <c r="AD715" t="s">
        <v>74</v>
      </c>
      <c r="AE715">
        <v>13</v>
      </c>
      <c r="AF715" t="str" cm="1">
        <f t="array" ref="AF715">_xlfn.IFS(AE715&gt;=10,"Veteran (10y+)",AE715&gt;=3,"Established (3-10y)",AE715&lt;3,"New Hire (&lt;3y)")</f>
        <v>Veteran (10y+)</v>
      </c>
      <c r="AG715">
        <v>12</v>
      </c>
      <c r="AH715">
        <v>6</v>
      </c>
      <c r="AI715">
        <v>0</v>
      </c>
    </row>
    <row r="716" spans="1:35">
      <c r="A716">
        <v>35</v>
      </c>
      <c r="B716" t="str">
        <f t="shared" si="11"/>
        <v>Middle Aged</v>
      </c>
      <c r="C716">
        <v>1</v>
      </c>
      <c r="D716" t="s">
        <v>36</v>
      </c>
      <c r="E716">
        <v>763</v>
      </c>
      <c r="F716" t="s">
        <v>37</v>
      </c>
      <c r="G716">
        <v>15</v>
      </c>
      <c r="H716" t="str" cm="1">
        <f t="array" ref="H716">_xlfn.IFS(G716&gt;15,"Long Commute",G716&gt;5,"Moderate",G716&lt;=5,"Near Office")</f>
        <v>Moderate</v>
      </c>
      <c r="I716" t="s">
        <v>76</v>
      </c>
      <c r="J716" t="s">
        <v>51</v>
      </c>
      <c r="K716">
        <v>1</v>
      </c>
      <c r="L716" t="s">
        <v>46</v>
      </c>
      <c r="M716">
        <v>59</v>
      </c>
      <c r="N716">
        <v>1</v>
      </c>
      <c r="O716">
        <v>2</v>
      </c>
      <c r="P716" t="s">
        <v>40</v>
      </c>
      <c r="Q716" t="s">
        <v>77</v>
      </c>
      <c r="R716" t="s">
        <v>52</v>
      </c>
      <c r="S716">
        <v>5440</v>
      </c>
      <c r="T716" t="str" cm="1">
        <f t="array" ref="T716">_xlfn.IFS(S716&gt;=10000,"High (&gt;10k)",S716&gt;=5000,"Medium (5k-10k)",S716&lt;5000,"Low (&lt;5k)")</f>
        <v>Medium (5k-10k)</v>
      </c>
      <c r="U716">
        <v>22098</v>
      </c>
      <c r="V716">
        <v>6</v>
      </c>
      <c r="W716" t="s">
        <v>35</v>
      </c>
      <c r="X716">
        <v>14</v>
      </c>
      <c r="Y716">
        <v>3</v>
      </c>
      <c r="Z716">
        <v>4</v>
      </c>
      <c r="AA716">
        <v>2</v>
      </c>
      <c r="AB716">
        <v>7</v>
      </c>
      <c r="AC716">
        <v>2</v>
      </c>
      <c r="AD716" t="s">
        <v>81</v>
      </c>
      <c r="AE716">
        <v>2</v>
      </c>
      <c r="AF716" t="str" cm="1">
        <f t="array" ref="AF716">_xlfn.IFS(AE716&gt;=10,"Veteran (10y+)",AE716&gt;=3,"Established (3-10y)",AE716&lt;3,"New Hire (&lt;3y)")</f>
        <v>New Hire (&lt;3y)</v>
      </c>
      <c r="AG716">
        <v>2</v>
      </c>
      <c r="AH716">
        <v>2</v>
      </c>
      <c r="AI716">
        <v>2</v>
      </c>
    </row>
    <row r="717" spans="1:35">
      <c r="A717">
        <v>35</v>
      </c>
      <c r="B717" t="str">
        <f t="shared" si="11"/>
        <v>Middle Aged</v>
      </c>
      <c r="C717">
        <v>1</v>
      </c>
      <c r="D717" t="s">
        <v>44</v>
      </c>
      <c r="E717">
        <v>880</v>
      </c>
      <c r="F717" t="s">
        <v>37</v>
      </c>
      <c r="G717">
        <v>12</v>
      </c>
      <c r="H717" t="str" cm="1">
        <f t="array" ref="H717">_xlfn.IFS(G717&gt;15,"Long Commute",G717&gt;5,"Moderate",G717&lt;=5,"Near Office")</f>
        <v>Moderate</v>
      </c>
      <c r="I717" t="s">
        <v>83</v>
      </c>
      <c r="J717" t="s">
        <v>49</v>
      </c>
      <c r="K717">
        <v>4</v>
      </c>
      <c r="L717" t="s">
        <v>46</v>
      </c>
      <c r="M717">
        <v>36</v>
      </c>
      <c r="N717">
        <v>3</v>
      </c>
      <c r="O717">
        <v>2</v>
      </c>
      <c r="P717" t="s">
        <v>40</v>
      </c>
      <c r="Q717" t="s">
        <v>77</v>
      </c>
      <c r="R717" t="s">
        <v>41</v>
      </c>
      <c r="S717">
        <v>4581</v>
      </c>
      <c r="T717" t="str" cm="1">
        <f t="array" ref="T717">_xlfn.IFS(S717&gt;=10000,"High (&gt;10k)",S717&gt;=5000,"Medium (5k-10k)",S717&lt;5000,"Low (&lt;5k)")</f>
        <v>Low (&lt;5k)</v>
      </c>
      <c r="U717">
        <v>10414</v>
      </c>
      <c r="V717">
        <v>3</v>
      </c>
      <c r="W717" t="s">
        <v>35</v>
      </c>
      <c r="X717">
        <v>24</v>
      </c>
      <c r="Y717">
        <v>4</v>
      </c>
      <c r="Z717">
        <v>1</v>
      </c>
      <c r="AA717">
        <v>0</v>
      </c>
      <c r="AB717">
        <v>13</v>
      </c>
      <c r="AC717">
        <v>2</v>
      </c>
      <c r="AD717" t="s">
        <v>79</v>
      </c>
      <c r="AE717">
        <v>11</v>
      </c>
      <c r="AF717" t="str" cm="1">
        <f t="array" ref="AF717">_xlfn.IFS(AE717&gt;=10,"Veteran (10y+)",AE717&gt;=3,"Established (3-10y)",AE717&lt;3,"New Hire (&lt;3y)")</f>
        <v>Veteran (10y+)</v>
      </c>
      <c r="AG717">
        <v>9</v>
      </c>
      <c r="AH717">
        <v>6</v>
      </c>
      <c r="AI717">
        <v>7</v>
      </c>
    </row>
    <row r="718" spans="1:35">
      <c r="A718">
        <v>35</v>
      </c>
      <c r="B718" t="str">
        <f t="shared" si="11"/>
        <v>Middle Aged</v>
      </c>
      <c r="C718">
        <v>0</v>
      </c>
      <c r="D718" t="s">
        <v>44</v>
      </c>
      <c r="E718">
        <v>146</v>
      </c>
      <c r="F718" t="s">
        <v>45</v>
      </c>
      <c r="G718">
        <v>2</v>
      </c>
      <c r="H718" t="str" cm="1">
        <f t="array" ref="H718">_xlfn.IFS(G718&gt;15,"Long Commute",G718&gt;5,"Moderate",G718&lt;=5,"Near Office")</f>
        <v>Near Office</v>
      </c>
      <c r="I718" t="s">
        <v>83</v>
      </c>
      <c r="J718" t="s">
        <v>51</v>
      </c>
      <c r="K718">
        <v>1</v>
      </c>
      <c r="L718" t="s">
        <v>46</v>
      </c>
      <c r="M718">
        <v>79</v>
      </c>
      <c r="N718">
        <v>2</v>
      </c>
      <c r="O718">
        <v>1</v>
      </c>
      <c r="P718" t="s">
        <v>47</v>
      </c>
      <c r="Q718" t="s">
        <v>77</v>
      </c>
      <c r="R718" t="s">
        <v>41</v>
      </c>
      <c r="S718">
        <v>4930</v>
      </c>
      <c r="T718" t="str" cm="1">
        <f t="array" ref="T718">_xlfn.IFS(S718&gt;=10000,"High (&gt;10k)",S718&gt;=5000,"Medium (5k-10k)",S718&lt;5000,"Low (&lt;5k)")</f>
        <v>Low (&lt;5k)</v>
      </c>
      <c r="U718">
        <v>13970</v>
      </c>
      <c r="V718">
        <v>0</v>
      </c>
      <c r="W718" t="s">
        <v>35</v>
      </c>
      <c r="X718">
        <v>14</v>
      </c>
      <c r="Y718">
        <v>3</v>
      </c>
      <c r="Z718">
        <v>3</v>
      </c>
      <c r="AA718">
        <v>0</v>
      </c>
      <c r="AB718">
        <v>6</v>
      </c>
      <c r="AC718">
        <v>2</v>
      </c>
      <c r="AD718" t="s">
        <v>79</v>
      </c>
      <c r="AE718">
        <v>5</v>
      </c>
      <c r="AF718" t="str" cm="1">
        <f t="array" ref="AF718">_xlfn.IFS(AE718&gt;=10,"Veteran (10y+)",AE718&gt;=3,"Established (3-10y)",AE718&lt;3,"New Hire (&lt;3y)")</f>
        <v>Established (3-10y)</v>
      </c>
      <c r="AG718">
        <v>4</v>
      </c>
      <c r="AH718">
        <v>1</v>
      </c>
      <c r="AI718">
        <v>4</v>
      </c>
    </row>
    <row r="719" spans="1:35">
      <c r="A719">
        <v>35</v>
      </c>
      <c r="B719" t="str">
        <f t="shared" si="11"/>
        <v>Middle Aged</v>
      </c>
      <c r="C719">
        <v>0</v>
      </c>
      <c r="D719" t="s">
        <v>36</v>
      </c>
      <c r="E719">
        <v>1370</v>
      </c>
      <c r="F719" t="s">
        <v>45</v>
      </c>
      <c r="G719">
        <v>27</v>
      </c>
      <c r="H719" t="str" cm="1">
        <f t="array" ref="H719">_xlfn.IFS(G719&gt;15,"Long Commute",G719&gt;5,"Moderate",G719&lt;=5,"Near Office")</f>
        <v>Long Commute</v>
      </c>
      <c r="I719" t="s">
        <v>83</v>
      </c>
      <c r="J719" t="s">
        <v>38</v>
      </c>
      <c r="K719">
        <v>4</v>
      </c>
      <c r="L719" t="s">
        <v>46</v>
      </c>
      <c r="M719">
        <v>49</v>
      </c>
      <c r="N719">
        <v>3</v>
      </c>
      <c r="O719">
        <v>2</v>
      </c>
      <c r="P719" t="s">
        <v>53</v>
      </c>
      <c r="Q719" t="s">
        <v>73</v>
      </c>
      <c r="R719" t="s">
        <v>48</v>
      </c>
      <c r="S719">
        <v>6883</v>
      </c>
      <c r="T719" t="str" cm="1">
        <f t="array" ref="T719">_xlfn.IFS(S719&gt;=10000,"High (&gt;10k)",S719&gt;=5000,"Medium (5k-10k)",S719&lt;5000,"Low (&lt;5k)")</f>
        <v>Medium (5k-10k)</v>
      </c>
      <c r="U719">
        <v>5151</v>
      </c>
      <c r="V719">
        <v>2</v>
      </c>
      <c r="W719" t="s">
        <v>43</v>
      </c>
      <c r="X719">
        <v>16</v>
      </c>
      <c r="Y719">
        <v>3</v>
      </c>
      <c r="Z719">
        <v>2</v>
      </c>
      <c r="AA719">
        <v>1</v>
      </c>
      <c r="AB719">
        <v>17</v>
      </c>
      <c r="AC719">
        <v>3</v>
      </c>
      <c r="AD719" t="s">
        <v>74</v>
      </c>
      <c r="AE719">
        <v>7</v>
      </c>
      <c r="AF719" t="str" cm="1">
        <f t="array" ref="AF719">_xlfn.IFS(AE719&gt;=10,"Veteran (10y+)",AE719&gt;=3,"Established (3-10y)",AE719&lt;3,"New Hire (&lt;3y)")</f>
        <v>Established (3-10y)</v>
      </c>
      <c r="AG719">
        <v>7</v>
      </c>
      <c r="AH719">
        <v>0</v>
      </c>
      <c r="AI719">
        <v>7</v>
      </c>
    </row>
    <row r="720" spans="1:35">
      <c r="A720">
        <v>35</v>
      </c>
      <c r="B720" t="str">
        <f t="shared" si="11"/>
        <v>Middle Aged</v>
      </c>
      <c r="C720">
        <v>1</v>
      </c>
      <c r="D720" t="s">
        <v>36</v>
      </c>
      <c r="E720">
        <v>303</v>
      </c>
      <c r="F720" t="s">
        <v>37</v>
      </c>
      <c r="G720">
        <v>27</v>
      </c>
      <c r="H720" t="str" cm="1">
        <f t="array" ref="H720">_xlfn.IFS(G720&gt;15,"Long Commute",G720&gt;5,"Moderate",G720&lt;=5,"Near Office")</f>
        <v>Long Commute</v>
      </c>
      <c r="I720" t="s">
        <v>72</v>
      </c>
      <c r="J720" t="s">
        <v>38</v>
      </c>
      <c r="K720">
        <v>3</v>
      </c>
      <c r="L720" t="s">
        <v>46</v>
      </c>
      <c r="M720">
        <v>84</v>
      </c>
      <c r="N720">
        <v>3</v>
      </c>
      <c r="O720">
        <v>2</v>
      </c>
      <c r="P720" t="s">
        <v>40</v>
      </c>
      <c r="Q720" t="s">
        <v>77</v>
      </c>
      <c r="R720" t="s">
        <v>41</v>
      </c>
      <c r="S720">
        <v>5813</v>
      </c>
      <c r="T720" t="str" cm="1">
        <f t="array" ref="T720">_xlfn.IFS(S720&gt;=10000,"High (&gt;10k)",S720&gt;=5000,"Medium (5k-10k)",S720&lt;5000,"Low (&lt;5k)")</f>
        <v>Medium (5k-10k)</v>
      </c>
      <c r="U720">
        <v>13492</v>
      </c>
      <c r="V720">
        <v>1</v>
      </c>
      <c r="W720" t="s">
        <v>35</v>
      </c>
      <c r="X720">
        <v>18</v>
      </c>
      <c r="Y720">
        <v>3</v>
      </c>
      <c r="Z720">
        <v>4</v>
      </c>
      <c r="AA720">
        <v>0</v>
      </c>
      <c r="AB720">
        <v>10</v>
      </c>
      <c r="AC720">
        <v>2</v>
      </c>
      <c r="AD720" t="s">
        <v>74</v>
      </c>
      <c r="AE720">
        <v>10</v>
      </c>
      <c r="AF720" t="str" cm="1">
        <f t="array" ref="AF720">_xlfn.IFS(AE720&gt;=10,"Veteran (10y+)",AE720&gt;=3,"Established (3-10y)",AE720&lt;3,"New Hire (&lt;3y)")</f>
        <v>Veteran (10y+)</v>
      </c>
      <c r="AG720">
        <v>7</v>
      </c>
      <c r="AH720">
        <v>7</v>
      </c>
      <c r="AI720">
        <v>7</v>
      </c>
    </row>
    <row r="721" spans="1:35">
      <c r="A721">
        <v>35</v>
      </c>
      <c r="B721" t="str">
        <f t="shared" si="11"/>
        <v>Middle Aged</v>
      </c>
      <c r="C721">
        <v>0</v>
      </c>
      <c r="D721" t="s">
        <v>55</v>
      </c>
      <c r="E721">
        <v>1180</v>
      </c>
      <c r="F721" t="s">
        <v>45</v>
      </c>
      <c r="G721">
        <v>2</v>
      </c>
      <c r="H721" t="str" cm="1">
        <f t="array" ref="H721">_xlfn.IFS(G721&gt;15,"Long Commute",G721&gt;5,"Moderate",G721&lt;=5,"Near Office")</f>
        <v>Near Office</v>
      </c>
      <c r="I721" t="s">
        <v>76</v>
      </c>
      <c r="J721" t="s">
        <v>51</v>
      </c>
      <c r="K721">
        <v>2</v>
      </c>
      <c r="L721" t="s">
        <v>46</v>
      </c>
      <c r="M721">
        <v>90</v>
      </c>
      <c r="N721">
        <v>3</v>
      </c>
      <c r="O721">
        <v>2</v>
      </c>
      <c r="P721" t="s">
        <v>53</v>
      </c>
      <c r="Q721" t="s">
        <v>77</v>
      </c>
      <c r="R721" t="s">
        <v>52</v>
      </c>
      <c r="S721">
        <v>5762</v>
      </c>
      <c r="T721" t="str" cm="1">
        <f t="array" ref="T721">_xlfn.IFS(S721&gt;=10000,"High (&gt;10k)",S721&gt;=5000,"Medium (5k-10k)",S721&lt;5000,"Low (&lt;5k)")</f>
        <v>Medium (5k-10k)</v>
      </c>
      <c r="U721">
        <v>24442</v>
      </c>
      <c r="V721">
        <v>2</v>
      </c>
      <c r="W721" t="s">
        <v>43</v>
      </c>
      <c r="X721">
        <v>14</v>
      </c>
      <c r="Y721">
        <v>3</v>
      </c>
      <c r="Z721">
        <v>3</v>
      </c>
      <c r="AA721">
        <v>1</v>
      </c>
      <c r="AB721">
        <v>15</v>
      </c>
      <c r="AC721">
        <v>6</v>
      </c>
      <c r="AD721" t="s">
        <v>74</v>
      </c>
      <c r="AE721">
        <v>7</v>
      </c>
      <c r="AF721" t="str" cm="1">
        <f t="array" ref="AF721">_xlfn.IFS(AE721&gt;=10,"Veteran (10y+)",AE721&gt;=3,"Established (3-10y)",AE721&lt;3,"New Hire (&lt;3y)")</f>
        <v>Established (3-10y)</v>
      </c>
      <c r="AG721">
        <v>7</v>
      </c>
      <c r="AH721">
        <v>1</v>
      </c>
      <c r="AI721">
        <v>7</v>
      </c>
    </row>
    <row r="722" spans="1:35">
      <c r="A722">
        <v>35</v>
      </c>
      <c r="B722" t="str">
        <f t="shared" si="11"/>
        <v>Middle Aged</v>
      </c>
      <c r="C722">
        <v>0</v>
      </c>
      <c r="D722" t="s">
        <v>36</v>
      </c>
      <c r="E722">
        <v>185</v>
      </c>
      <c r="F722" t="s">
        <v>45</v>
      </c>
      <c r="G722">
        <v>23</v>
      </c>
      <c r="H722" t="str" cm="1">
        <f t="array" ref="H722">_xlfn.IFS(G722&gt;15,"Long Commute",G722&gt;5,"Moderate",G722&lt;=5,"Near Office")</f>
        <v>Long Commute</v>
      </c>
      <c r="I722" t="s">
        <v>83</v>
      </c>
      <c r="J722" t="s">
        <v>51</v>
      </c>
      <c r="K722">
        <v>2</v>
      </c>
      <c r="L722" t="s">
        <v>46</v>
      </c>
      <c r="M722">
        <v>91</v>
      </c>
      <c r="N722">
        <v>1</v>
      </c>
      <c r="O722">
        <v>1</v>
      </c>
      <c r="P722" t="s">
        <v>50</v>
      </c>
      <c r="Q722" t="s">
        <v>73</v>
      </c>
      <c r="R722" t="s">
        <v>48</v>
      </c>
      <c r="S722">
        <v>2705</v>
      </c>
      <c r="T722" t="str" cm="1">
        <f t="array" ref="T722">_xlfn.IFS(S722&gt;=10000,"High (&gt;10k)",S722&gt;=5000,"Medium (5k-10k)",S722&lt;5000,"Low (&lt;5k)")</f>
        <v>Low (&lt;5k)</v>
      </c>
      <c r="U722">
        <v>9696</v>
      </c>
      <c r="V722">
        <v>0</v>
      </c>
      <c r="W722" t="s">
        <v>43</v>
      </c>
      <c r="X722">
        <v>16</v>
      </c>
      <c r="Y722">
        <v>3</v>
      </c>
      <c r="Z722">
        <v>2</v>
      </c>
      <c r="AA722">
        <v>1</v>
      </c>
      <c r="AB722">
        <v>6</v>
      </c>
      <c r="AC722">
        <v>2</v>
      </c>
      <c r="AD722" t="s">
        <v>79</v>
      </c>
      <c r="AE722">
        <v>5</v>
      </c>
      <c r="AF722" t="str" cm="1">
        <f t="array" ref="AF722">_xlfn.IFS(AE722&gt;=10,"Veteran (10y+)",AE722&gt;=3,"Established (3-10y)",AE722&lt;3,"New Hire (&lt;3y)")</f>
        <v>Established (3-10y)</v>
      </c>
      <c r="AG722">
        <v>4</v>
      </c>
      <c r="AH722">
        <v>0</v>
      </c>
      <c r="AI722">
        <v>3</v>
      </c>
    </row>
    <row r="723" spans="1:35">
      <c r="A723">
        <v>35</v>
      </c>
      <c r="B723" t="str">
        <f t="shared" si="11"/>
        <v>Middle Aged</v>
      </c>
      <c r="C723">
        <v>0</v>
      </c>
      <c r="D723" t="s">
        <v>36</v>
      </c>
      <c r="E723">
        <v>219</v>
      </c>
      <c r="F723" t="s">
        <v>45</v>
      </c>
      <c r="G723">
        <v>16</v>
      </c>
      <c r="H723" t="str" cm="1">
        <f t="array" ref="H723">_xlfn.IFS(G723&gt;15,"Long Commute",G723&gt;5,"Moderate",G723&lt;=5,"Near Office")</f>
        <v>Long Commute</v>
      </c>
      <c r="I723" t="s">
        <v>76</v>
      </c>
      <c r="J723" t="s">
        <v>49</v>
      </c>
      <c r="K723">
        <v>4</v>
      </c>
      <c r="L723" t="s">
        <v>39</v>
      </c>
      <c r="M723">
        <v>44</v>
      </c>
      <c r="N723">
        <v>2</v>
      </c>
      <c r="O723">
        <v>2</v>
      </c>
      <c r="P723" t="s">
        <v>53</v>
      </c>
      <c r="Q723" t="s">
        <v>75</v>
      </c>
      <c r="R723" t="s">
        <v>48</v>
      </c>
      <c r="S723">
        <v>4788</v>
      </c>
      <c r="T723" t="str" cm="1">
        <f t="array" ref="T723">_xlfn.IFS(S723&gt;=10000,"High (&gt;10k)",S723&gt;=5000,"Medium (5k-10k)",S723&lt;5000,"Low (&lt;5k)")</f>
        <v>Low (&lt;5k)</v>
      </c>
      <c r="U723">
        <v>25388</v>
      </c>
      <c r="V723">
        <v>0</v>
      </c>
      <c r="W723" t="s">
        <v>35</v>
      </c>
      <c r="X723">
        <v>11</v>
      </c>
      <c r="Y723">
        <v>3</v>
      </c>
      <c r="Z723">
        <v>4</v>
      </c>
      <c r="AA723">
        <v>0</v>
      </c>
      <c r="AB723">
        <v>4</v>
      </c>
      <c r="AC723">
        <v>2</v>
      </c>
      <c r="AD723" t="s">
        <v>74</v>
      </c>
      <c r="AE723">
        <v>3</v>
      </c>
      <c r="AF723" t="str" cm="1">
        <f t="array" ref="AF723">_xlfn.IFS(AE723&gt;=10,"Veteran (10y+)",AE723&gt;=3,"Established (3-10y)",AE723&lt;3,"New Hire (&lt;3y)")</f>
        <v>Established (3-10y)</v>
      </c>
      <c r="AG723">
        <v>2</v>
      </c>
      <c r="AH723">
        <v>0</v>
      </c>
      <c r="AI723">
        <v>2</v>
      </c>
    </row>
    <row r="724" spans="1:35">
      <c r="A724">
        <v>35</v>
      </c>
      <c r="B724" t="str">
        <f t="shared" si="11"/>
        <v>Middle Aged</v>
      </c>
      <c r="C724">
        <v>0</v>
      </c>
      <c r="D724" t="s">
        <v>36</v>
      </c>
      <c r="E724">
        <v>682</v>
      </c>
      <c r="F724" t="s">
        <v>37</v>
      </c>
      <c r="G724">
        <v>18</v>
      </c>
      <c r="H724" t="str" cm="1">
        <f t="array" ref="H724">_xlfn.IFS(G724&gt;15,"Long Commute",G724&gt;5,"Moderate",G724&lt;=5,"Near Office")</f>
        <v>Long Commute</v>
      </c>
      <c r="I724" t="s">
        <v>83</v>
      </c>
      <c r="J724" t="s">
        <v>51</v>
      </c>
      <c r="K724">
        <v>2</v>
      </c>
      <c r="L724" t="s">
        <v>46</v>
      </c>
      <c r="M724">
        <v>71</v>
      </c>
      <c r="N724">
        <v>3</v>
      </c>
      <c r="O724">
        <v>2</v>
      </c>
      <c r="P724" t="s">
        <v>40</v>
      </c>
      <c r="Q724" t="s">
        <v>82</v>
      </c>
      <c r="R724" t="s">
        <v>48</v>
      </c>
      <c r="S724">
        <v>5561</v>
      </c>
      <c r="T724" t="str" cm="1">
        <f t="array" ref="T724">_xlfn.IFS(S724&gt;=10000,"High (&gt;10k)",S724&gt;=5000,"Medium (5k-10k)",S724&lt;5000,"Low (&lt;5k)")</f>
        <v>Medium (5k-10k)</v>
      </c>
      <c r="U724">
        <v>15975</v>
      </c>
      <c r="V724">
        <v>0</v>
      </c>
      <c r="W724" t="s">
        <v>43</v>
      </c>
      <c r="X724">
        <v>16</v>
      </c>
      <c r="Y724">
        <v>3</v>
      </c>
      <c r="Z724">
        <v>4</v>
      </c>
      <c r="AA724">
        <v>1</v>
      </c>
      <c r="AB724">
        <v>6</v>
      </c>
      <c r="AC724">
        <v>2</v>
      </c>
      <c r="AD724" t="s">
        <v>80</v>
      </c>
      <c r="AE724">
        <v>5</v>
      </c>
      <c r="AF724" t="str" cm="1">
        <f t="array" ref="AF724">_xlfn.IFS(AE724&gt;=10,"Veteran (10y+)",AE724&gt;=3,"Established (3-10y)",AE724&lt;3,"New Hire (&lt;3y)")</f>
        <v>Established (3-10y)</v>
      </c>
      <c r="AG724">
        <v>3</v>
      </c>
      <c r="AH724">
        <v>0</v>
      </c>
      <c r="AI724">
        <v>4</v>
      </c>
    </row>
    <row r="725" spans="1:35">
      <c r="A725">
        <v>35</v>
      </c>
      <c r="B725" t="str">
        <f t="shared" si="11"/>
        <v>Middle Aged</v>
      </c>
      <c r="C725">
        <v>0</v>
      </c>
      <c r="D725" t="s">
        <v>36</v>
      </c>
      <c r="E725">
        <v>1224</v>
      </c>
      <c r="F725" t="s">
        <v>37</v>
      </c>
      <c r="G725">
        <v>7</v>
      </c>
      <c r="H725" t="str" cm="1">
        <f t="array" ref="H725">_xlfn.IFS(G725&gt;15,"Long Commute",G725&gt;5,"Moderate",G725&lt;=5,"Near Office")</f>
        <v>Moderate</v>
      </c>
      <c r="I725" t="s">
        <v>83</v>
      </c>
      <c r="J725" t="s">
        <v>38</v>
      </c>
      <c r="K725">
        <v>3</v>
      </c>
      <c r="L725" t="s">
        <v>39</v>
      </c>
      <c r="M725">
        <v>55</v>
      </c>
      <c r="N725">
        <v>3</v>
      </c>
      <c r="O725">
        <v>2</v>
      </c>
      <c r="P725" t="s">
        <v>40</v>
      </c>
      <c r="Q725" t="s">
        <v>77</v>
      </c>
      <c r="R725" t="s">
        <v>48</v>
      </c>
      <c r="S725">
        <v>5204</v>
      </c>
      <c r="T725" t="str" cm="1">
        <f t="array" ref="T725">_xlfn.IFS(S725&gt;=10000,"High (&gt;10k)",S725&gt;=5000,"Medium (5k-10k)",S725&lt;5000,"Low (&lt;5k)")</f>
        <v>Medium (5k-10k)</v>
      </c>
      <c r="U725">
        <v>13586</v>
      </c>
      <c r="V725">
        <v>1</v>
      </c>
      <c r="W725" t="s">
        <v>35</v>
      </c>
      <c r="X725">
        <v>11</v>
      </c>
      <c r="Y725">
        <v>3</v>
      </c>
      <c r="Z725">
        <v>4</v>
      </c>
      <c r="AA725">
        <v>0</v>
      </c>
      <c r="AB725">
        <v>10</v>
      </c>
      <c r="AC725">
        <v>2</v>
      </c>
      <c r="AD725" t="s">
        <v>74</v>
      </c>
      <c r="AE725">
        <v>10</v>
      </c>
      <c r="AF725" t="str" cm="1">
        <f t="array" ref="AF725">_xlfn.IFS(AE725&gt;=10,"Veteran (10y+)",AE725&gt;=3,"Established (3-10y)",AE725&lt;3,"New Hire (&lt;3y)")</f>
        <v>Veteran (10y+)</v>
      </c>
      <c r="AG725">
        <v>8</v>
      </c>
      <c r="AH725">
        <v>0</v>
      </c>
      <c r="AI725">
        <v>9</v>
      </c>
    </row>
    <row r="726" spans="1:35">
      <c r="A726">
        <v>35</v>
      </c>
      <c r="B726" t="str">
        <f t="shared" si="11"/>
        <v>Middle Aged</v>
      </c>
      <c r="C726">
        <v>0</v>
      </c>
      <c r="D726" t="s">
        <v>36</v>
      </c>
      <c r="E726">
        <v>1490</v>
      </c>
      <c r="F726" t="s">
        <v>45</v>
      </c>
      <c r="G726">
        <v>11</v>
      </c>
      <c r="H726" t="str" cm="1">
        <f t="array" ref="H726">_xlfn.IFS(G726&gt;15,"Long Commute",G726&gt;5,"Moderate",G726&lt;=5,"Near Office")</f>
        <v>Moderate</v>
      </c>
      <c r="I726" t="s">
        <v>83</v>
      </c>
      <c r="J726" t="s">
        <v>51</v>
      </c>
      <c r="K726">
        <v>4</v>
      </c>
      <c r="L726" t="s">
        <v>46</v>
      </c>
      <c r="M726">
        <v>43</v>
      </c>
      <c r="N726">
        <v>3</v>
      </c>
      <c r="O726">
        <v>1</v>
      </c>
      <c r="P726" t="s">
        <v>50</v>
      </c>
      <c r="Q726" t="s">
        <v>73</v>
      </c>
      <c r="R726" t="s">
        <v>48</v>
      </c>
      <c r="S726">
        <v>2660</v>
      </c>
      <c r="T726" t="str" cm="1">
        <f t="array" ref="T726">_xlfn.IFS(S726&gt;=10000,"High (&gt;10k)",S726&gt;=5000,"Medium (5k-10k)",S726&lt;5000,"Low (&lt;5k)")</f>
        <v>Low (&lt;5k)</v>
      </c>
      <c r="U726">
        <v>20232</v>
      </c>
      <c r="V726">
        <v>7</v>
      </c>
      <c r="W726" t="s">
        <v>35</v>
      </c>
      <c r="X726">
        <v>11</v>
      </c>
      <c r="Y726">
        <v>3</v>
      </c>
      <c r="Z726">
        <v>3</v>
      </c>
      <c r="AA726">
        <v>1</v>
      </c>
      <c r="AB726">
        <v>5</v>
      </c>
      <c r="AC726">
        <v>3</v>
      </c>
      <c r="AD726" t="s">
        <v>74</v>
      </c>
      <c r="AE726">
        <v>2</v>
      </c>
      <c r="AF726" t="str" cm="1">
        <f t="array" ref="AF726">_xlfn.IFS(AE726&gt;=10,"Veteran (10y+)",AE726&gt;=3,"Established (3-10y)",AE726&lt;3,"New Hire (&lt;3y)")</f>
        <v>New Hire (&lt;3y)</v>
      </c>
      <c r="AG726">
        <v>2</v>
      </c>
      <c r="AH726">
        <v>2</v>
      </c>
      <c r="AI726">
        <v>2</v>
      </c>
    </row>
    <row r="727" spans="1:35">
      <c r="A727">
        <v>35</v>
      </c>
      <c r="B727" t="str">
        <f t="shared" si="11"/>
        <v>Middle Aged</v>
      </c>
      <c r="C727">
        <v>0</v>
      </c>
      <c r="D727" t="s">
        <v>36</v>
      </c>
      <c r="E727">
        <v>1395</v>
      </c>
      <c r="F727" t="s">
        <v>45</v>
      </c>
      <c r="G727">
        <v>9</v>
      </c>
      <c r="H727" t="str" cm="1">
        <f t="array" ref="H727">_xlfn.IFS(G727&gt;15,"Long Commute",G727&gt;5,"Moderate",G727&lt;=5,"Near Office")</f>
        <v>Moderate</v>
      </c>
      <c r="I727" t="s">
        <v>83</v>
      </c>
      <c r="J727" t="s">
        <v>51</v>
      </c>
      <c r="K727">
        <v>2</v>
      </c>
      <c r="L727" t="s">
        <v>46</v>
      </c>
      <c r="M727">
        <v>48</v>
      </c>
      <c r="N727">
        <v>3</v>
      </c>
      <c r="O727">
        <v>2</v>
      </c>
      <c r="P727" t="s">
        <v>47</v>
      </c>
      <c r="Q727" t="s">
        <v>73</v>
      </c>
      <c r="R727" t="s">
        <v>41</v>
      </c>
      <c r="S727">
        <v>5098</v>
      </c>
      <c r="T727" t="str" cm="1">
        <f t="array" ref="T727">_xlfn.IFS(S727&gt;=10000,"High (&gt;10k)",S727&gt;=5000,"Medium (5k-10k)",S727&lt;5000,"Low (&lt;5k)")</f>
        <v>Medium (5k-10k)</v>
      </c>
      <c r="U727">
        <v>18698</v>
      </c>
      <c r="V727">
        <v>1</v>
      </c>
      <c r="W727" t="s">
        <v>43</v>
      </c>
      <c r="X727">
        <v>19</v>
      </c>
      <c r="Y727">
        <v>3</v>
      </c>
      <c r="Z727">
        <v>2</v>
      </c>
      <c r="AA727">
        <v>0</v>
      </c>
      <c r="AB727">
        <v>10</v>
      </c>
      <c r="AC727">
        <v>5</v>
      </c>
      <c r="AD727" t="s">
        <v>74</v>
      </c>
      <c r="AE727">
        <v>10</v>
      </c>
      <c r="AF727" t="str" cm="1">
        <f t="array" ref="AF727">_xlfn.IFS(AE727&gt;=10,"Veteran (10y+)",AE727&gt;=3,"Established (3-10y)",AE727&lt;3,"New Hire (&lt;3y)")</f>
        <v>Veteran (10y+)</v>
      </c>
      <c r="AG727">
        <v>7</v>
      </c>
      <c r="AH727">
        <v>0</v>
      </c>
      <c r="AI727">
        <v>8</v>
      </c>
    </row>
    <row r="728" spans="1:35">
      <c r="A728">
        <v>35</v>
      </c>
      <c r="B728" t="str">
        <f t="shared" si="11"/>
        <v>Middle Aged</v>
      </c>
      <c r="C728">
        <v>0</v>
      </c>
      <c r="D728" t="s">
        <v>36</v>
      </c>
      <c r="E728">
        <v>1146</v>
      </c>
      <c r="F728" t="s">
        <v>61</v>
      </c>
      <c r="G728">
        <v>26</v>
      </c>
      <c r="H728" t="str" cm="1">
        <f t="array" ref="H728">_xlfn.IFS(G728&gt;15,"Long Commute",G728&gt;5,"Moderate",G728&lt;=5,"Near Office")</f>
        <v>Long Commute</v>
      </c>
      <c r="I728" t="s">
        <v>83</v>
      </c>
      <c r="J728" t="s">
        <v>38</v>
      </c>
      <c r="K728">
        <v>3</v>
      </c>
      <c r="L728" t="s">
        <v>39</v>
      </c>
      <c r="M728">
        <v>31</v>
      </c>
      <c r="N728">
        <v>3</v>
      </c>
      <c r="O728">
        <v>3</v>
      </c>
      <c r="P728" t="s">
        <v>61</v>
      </c>
      <c r="Q728" t="s">
        <v>77</v>
      </c>
      <c r="R728" t="s">
        <v>41</v>
      </c>
      <c r="S728">
        <v>8837</v>
      </c>
      <c r="T728" t="str" cm="1">
        <f t="array" ref="T728">_xlfn.IFS(S728&gt;=10000,"High (&gt;10k)",S728&gt;=5000,"Medium (5k-10k)",S728&lt;5000,"Low (&lt;5k)")</f>
        <v>Medium (5k-10k)</v>
      </c>
      <c r="U728">
        <v>16642</v>
      </c>
      <c r="V728">
        <v>1</v>
      </c>
      <c r="W728" t="s">
        <v>35</v>
      </c>
      <c r="X728">
        <v>16</v>
      </c>
      <c r="Y728">
        <v>3</v>
      </c>
      <c r="Z728">
        <v>3</v>
      </c>
      <c r="AA728">
        <v>0</v>
      </c>
      <c r="AB728">
        <v>9</v>
      </c>
      <c r="AC728">
        <v>2</v>
      </c>
      <c r="AD728" t="s">
        <v>74</v>
      </c>
      <c r="AE728">
        <v>9</v>
      </c>
      <c r="AF728" t="str" cm="1">
        <f t="array" ref="AF728">_xlfn.IFS(AE728&gt;=10,"Veteran (10y+)",AE728&gt;=3,"Established (3-10y)",AE728&lt;3,"New Hire (&lt;3y)")</f>
        <v>Established (3-10y)</v>
      </c>
      <c r="AG728">
        <v>0</v>
      </c>
      <c r="AH728">
        <v>1</v>
      </c>
      <c r="AI728">
        <v>7</v>
      </c>
    </row>
    <row r="729" spans="1:35">
      <c r="A729">
        <v>35</v>
      </c>
      <c r="B729" t="str">
        <f t="shared" si="11"/>
        <v>Middle Aged</v>
      </c>
      <c r="C729">
        <v>0</v>
      </c>
      <c r="D729" t="s">
        <v>44</v>
      </c>
      <c r="E729">
        <v>1199</v>
      </c>
      <c r="F729" t="s">
        <v>45</v>
      </c>
      <c r="G729">
        <v>18</v>
      </c>
      <c r="H729" t="str" cm="1">
        <f t="array" ref="H729">_xlfn.IFS(G729&gt;15,"Long Commute",G729&gt;5,"Moderate",G729&lt;=5,"Near Office")</f>
        <v>Long Commute</v>
      </c>
      <c r="I729" t="s">
        <v>83</v>
      </c>
      <c r="J729" t="s">
        <v>38</v>
      </c>
      <c r="K729">
        <v>3</v>
      </c>
      <c r="L729" t="s">
        <v>46</v>
      </c>
      <c r="M729">
        <v>80</v>
      </c>
      <c r="N729">
        <v>3</v>
      </c>
      <c r="O729">
        <v>2</v>
      </c>
      <c r="P729" t="s">
        <v>54</v>
      </c>
      <c r="Q729" t="s">
        <v>73</v>
      </c>
      <c r="R729" t="s">
        <v>48</v>
      </c>
      <c r="S729">
        <v>5689</v>
      </c>
      <c r="T729" t="str" cm="1">
        <f t="array" ref="T729">_xlfn.IFS(S729&gt;=10000,"High (&gt;10k)",S729&gt;=5000,"Medium (5k-10k)",S729&lt;5000,"Low (&lt;5k)")</f>
        <v>Medium (5k-10k)</v>
      </c>
      <c r="U729">
        <v>24594</v>
      </c>
      <c r="V729">
        <v>1</v>
      </c>
      <c r="W729" t="s">
        <v>35</v>
      </c>
      <c r="X729">
        <v>14</v>
      </c>
      <c r="Y729">
        <v>3</v>
      </c>
      <c r="Z729">
        <v>4</v>
      </c>
      <c r="AA729">
        <v>2</v>
      </c>
      <c r="AB729">
        <v>10</v>
      </c>
      <c r="AC729">
        <v>2</v>
      </c>
      <c r="AD729" t="s">
        <v>79</v>
      </c>
      <c r="AE729">
        <v>10</v>
      </c>
      <c r="AF729" t="str" cm="1">
        <f t="array" ref="AF729">_xlfn.IFS(AE729&gt;=10,"Veteran (10y+)",AE729&gt;=3,"Established (3-10y)",AE729&lt;3,"New Hire (&lt;3y)")</f>
        <v>Veteran (10y+)</v>
      </c>
      <c r="AG729">
        <v>2</v>
      </c>
      <c r="AH729">
        <v>0</v>
      </c>
      <c r="AI729">
        <v>2</v>
      </c>
    </row>
    <row r="730" spans="1:35">
      <c r="A730">
        <v>35</v>
      </c>
      <c r="B730" t="str">
        <f t="shared" si="11"/>
        <v>Middle Aged</v>
      </c>
      <c r="C730">
        <v>0</v>
      </c>
      <c r="D730" t="s">
        <v>36</v>
      </c>
      <c r="E730">
        <v>287</v>
      </c>
      <c r="F730" t="s">
        <v>45</v>
      </c>
      <c r="G730">
        <v>1</v>
      </c>
      <c r="H730" t="str" cm="1">
        <f t="array" ref="H730">_xlfn.IFS(G730&gt;15,"Long Commute",G730&gt;5,"Moderate",G730&lt;=5,"Near Office")</f>
        <v>Near Office</v>
      </c>
      <c r="I730" t="s">
        <v>83</v>
      </c>
      <c r="J730" t="s">
        <v>38</v>
      </c>
      <c r="K730">
        <v>3</v>
      </c>
      <c r="L730" t="s">
        <v>39</v>
      </c>
      <c r="M730">
        <v>62</v>
      </c>
      <c r="N730">
        <v>1</v>
      </c>
      <c r="O730">
        <v>1</v>
      </c>
      <c r="P730" t="s">
        <v>47</v>
      </c>
      <c r="Q730" t="s">
        <v>77</v>
      </c>
      <c r="R730" t="s">
        <v>48</v>
      </c>
      <c r="S730">
        <v>2977</v>
      </c>
      <c r="T730" t="str" cm="1">
        <f t="array" ref="T730">_xlfn.IFS(S730&gt;=10000,"High (&gt;10k)",S730&gt;=5000,"Medium (5k-10k)",S730&lt;5000,"Low (&lt;5k)")</f>
        <v>Low (&lt;5k)</v>
      </c>
      <c r="U730">
        <v>8952</v>
      </c>
      <c r="V730">
        <v>1</v>
      </c>
      <c r="W730" t="s">
        <v>43</v>
      </c>
      <c r="X730">
        <v>12</v>
      </c>
      <c r="Y730">
        <v>3</v>
      </c>
      <c r="Z730">
        <v>4</v>
      </c>
      <c r="AA730">
        <v>1</v>
      </c>
      <c r="AB730">
        <v>4</v>
      </c>
      <c r="AC730">
        <v>5</v>
      </c>
      <c r="AD730" t="s">
        <v>74</v>
      </c>
      <c r="AE730">
        <v>4</v>
      </c>
      <c r="AF730" t="str" cm="1">
        <f t="array" ref="AF730">_xlfn.IFS(AE730&gt;=10,"Veteran (10y+)",AE730&gt;=3,"Established (3-10y)",AE730&lt;3,"New Hire (&lt;3y)")</f>
        <v>Established (3-10y)</v>
      </c>
      <c r="AG730">
        <v>3</v>
      </c>
      <c r="AH730">
        <v>1</v>
      </c>
      <c r="AI730">
        <v>1</v>
      </c>
    </row>
    <row r="731" spans="1:35">
      <c r="A731">
        <v>36</v>
      </c>
      <c r="B731" t="str">
        <f t="shared" si="11"/>
        <v>Middle Aged</v>
      </c>
      <c r="C731">
        <v>0</v>
      </c>
      <c r="D731" t="s">
        <v>36</v>
      </c>
      <c r="E731">
        <v>1299</v>
      </c>
      <c r="F731" t="s">
        <v>45</v>
      </c>
      <c r="G731">
        <v>27</v>
      </c>
      <c r="H731" t="str" cm="1">
        <f t="array" ref="H731">_xlfn.IFS(G731&gt;15,"Long Commute",G731&gt;5,"Moderate",G731&lt;=5,"Near Office")</f>
        <v>Long Commute</v>
      </c>
      <c r="I731" t="s">
        <v>72</v>
      </c>
      <c r="J731" t="s">
        <v>51</v>
      </c>
      <c r="K731">
        <v>3</v>
      </c>
      <c r="L731" t="s">
        <v>46</v>
      </c>
      <c r="M731">
        <v>94</v>
      </c>
      <c r="N731">
        <v>3</v>
      </c>
      <c r="O731">
        <v>2</v>
      </c>
      <c r="P731" t="s">
        <v>54</v>
      </c>
      <c r="Q731" t="s">
        <v>73</v>
      </c>
      <c r="R731" t="s">
        <v>48</v>
      </c>
      <c r="S731">
        <v>5237</v>
      </c>
      <c r="T731" t="str" cm="1">
        <f t="array" ref="T731">_xlfn.IFS(S731&gt;=10000,"High (&gt;10k)",S731&gt;=5000,"Medium (5k-10k)",S731&lt;5000,"Low (&lt;5k)")</f>
        <v>Medium (5k-10k)</v>
      </c>
      <c r="U731">
        <v>16577</v>
      </c>
      <c r="V731">
        <v>6</v>
      </c>
      <c r="W731" t="s">
        <v>43</v>
      </c>
      <c r="X731">
        <v>13</v>
      </c>
      <c r="Y731">
        <v>3</v>
      </c>
      <c r="Z731">
        <v>2</v>
      </c>
      <c r="AA731">
        <v>2</v>
      </c>
      <c r="AB731">
        <v>17</v>
      </c>
      <c r="AC731">
        <v>3</v>
      </c>
      <c r="AD731" t="s">
        <v>81</v>
      </c>
      <c r="AE731">
        <v>7</v>
      </c>
      <c r="AF731" t="str" cm="1">
        <f t="array" ref="AF731">_xlfn.IFS(AE731&gt;=10,"Veteran (10y+)",AE731&gt;=3,"Established (3-10y)",AE731&lt;3,"New Hire (&lt;3y)")</f>
        <v>Established (3-10y)</v>
      </c>
      <c r="AG731">
        <v>7</v>
      </c>
      <c r="AH731">
        <v>7</v>
      </c>
      <c r="AI731">
        <v>7</v>
      </c>
    </row>
    <row r="732" spans="1:35">
      <c r="A732">
        <v>36</v>
      </c>
      <c r="B732" t="str">
        <f t="shared" si="11"/>
        <v>Middle Aged</v>
      </c>
      <c r="C732">
        <v>1</v>
      </c>
      <c r="D732" t="s">
        <v>36</v>
      </c>
      <c r="E732">
        <v>1218</v>
      </c>
      <c r="F732" t="s">
        <v>37</v>
      </c>
      <c r="G732">
        <v>9</v>
      </c>
      <c r="H732" t="str" cm="1">
        <f t="array" ref="H732">_xlfn.IFS(G732&gt;15,"Long Commute",G732&gt;5,"Moderate",G732&lt;=5,"Near Office")</f>
        <v>Moderate</v>
      </c>
      <c r="I732" t="s">
        <v>83</v>
      </c>
      <c r="J732" t="s">
        <v>38</v>
      </c>
      <c r="K732">
        <v>3</v>
      </c>
      <c r="L732" t="s">
        <v>46</v>
      </c>
      <c r="M732">
        <v>82</v>
      </c>
      <c r="N732">
        <v>2</v>
      </c>
      <c r="O732">
        <v>1</v>
      </c>
      <c r="P732" t="s">
        <v>57</v>
      </c>
      <c r="Q732" t="s">
        <v>82</v>
      </c>
      <c r="R732" t="s">
        <v>41</v>
      </c>
      <c r="S732">
        <v>3407</v>
      </c>
      <c r="T732" t="str" cm="1">
        <f t="array" ref="T732">_xlfn.IFS(S732&gt;=10000,"High (&gt;10k)",S732&gt;=5000,"Medium (5k-10k)",S732&lt;5000,"Low (&lt;5k)")</f>
        <v>Low (&lt;5k)</v>
      </c>
      <c r="U732">
        <v>6986</v>
      </c>
      <c r="V732">
        <v>7</v>
      </c>
      <c r="W732" t="s">
        <v>43</v>
      </c>
      <c r="X732">
        <v>23</v>
      </c>
      <c r="Y732">
        <v>4</v>
      </c>
      <c r="Z732">
        <v>2</v>
      </c>
      <c r="AA732">
        <v>0</v>
      </c>
      <c r="AB732">
        <v>10</v>
      </c>
      <c r="AC732">
        <v>4</v>
      </c>
      <c r="AD732" t="s">
        <v>74</v>
      </c>
      <c r="AE732">
        <v>5</v>
      </c>
      <c r="AF732" t="str" cm="1">
        <f t="array" ref="AF732">_xlfn.IFS(AE732&gt;=10,"Veteran (10y+)",AE732&gt;=3,"Established (3-10y)",AE732&lt;3,"New Hire (&lt;3y)")</f>
        <v>Established (3-10y)</v>
      </c>
      <c r="AG732">
        <v>3</v>
      </c>
      <c r="AH732">
        <v>0</v>
      </c>
      <c r="AI732">
        <v>3</v>
      </c>
    </row>
    <row r="733" spans="1:35">
      <c r="A733">
        <v>36</v>
      </c>
      <c r="B733" t="str">
        <f t="shared" si="11"/>
        <v>Middle Aged</v>
      </c>
      <c r="C733">
        <v>0</v>
      </c>
      <c r="D733" t="s">
        <v>36</v>
      </c>
      <c r="E733">
        <v>852</v>
      </c>
      <c r="F733" t="s">
        <v>45</v>
      </c>
      <c r="G733">
        <v>5</v>
      </c>
      <c r="H733" t="str" cm="1">
        <f t="array" ref="H733">_xlfn.IFS(G733&gt;15,"Long Commute",G733&gt;5,"Moderate",G733&lt;=5,"Near Office")</f>
        <v>Near Office</v>
      </c>
      <c r="I733" t="s">
        <v>83</v>
      </c>
      <c r="J733" t="s">
        <v>38</v>
      </c>
      <c r="K733">
        <v>2</v>
      </c>
      <c r="L733" t="s">
        <v>39</v>
      </c>
      <c r="M733">
        <v>82</v>
      </c>
      <c r="N733">
        <v>2</v>
      </c>
      <c r="O733">
        <v>1</v>
      </c>
      <c r="P733" t="s">
        <v>47</v>
      </c>
      <c r="Q733" t="s">
        <v>82</v>
      </c>
      <c r="R733" t="s">
        <v>48</v>
      </c>
      <c r="S733">
        <v>3419</v>
      </c>
      <c r="T733" t="str" cm="1">
        <f t="array" ref="T733">_xlfn.IFS(S733&gt;=10000,"High (&gt;10k)",S733&gt;=5000,"Medium (5k-10k)",S733&lt;5000,"Low (&lt;5k)")</f>
        <v>Low (&lt;5k)</v>
      </c>
      <c r="U733">
        <v>13072</v>
      </c>
      <c r="V733">
        <v>9</v>
      </c>
      <c r="W733" t="s">
        <v>35</v>
      </c>
      <c r="X733">
        <v>14</v>
      </c>
      <c r="Y733">
        <v>3</v>
      </c>
      <c r="Z733">
        <v>4</v>
      </c>
      <c r="AA733">
        <v>1</v>
      </c>
      <c r="AB733">
        <v>6</v>
      </c>
      <c r="AC733">
        <v>3</v>
      </c>
      <c r="AD733" t="s">
        <v>79</v>
      </c>
      <c r="AE733">
        <v>1</v>
      </c>
      <c r="AF733" t="str" cm="1">
        <f t="array" ref="AF733">_xlfn.IFS(AE733&gt;=10,"Veteran (10y+)",AE733&gt;=3,"Established (3-10y)",AE733&lt;3,"New Hire (&lt;3y)")</f>
        <v>New Hire (&lt;3y)</v>
      </c>
      <c r="AG733">
        <v>1</v>
      </c>
      <c r="AH733">
        <v>0</v>
      </c>
      <c r="AI733">
        <v>0</v>
      </c>
    </row>
    <row r="734" spans="1:35">
      <c r="A734">
        <v>36</v>
      </c>
      <c r="B734" t="str">
        <f t="shared" si="11"/>
        <v>Middle Aged</v>
      </c>
      <c r="C734">
        <v>0</v>
      </c>
      <c r="D734" t="s">
        <v>36</v>
      </c>
      <c r="E734">
        <v>1223</v>
      </c>
      <c r="F734" t="s">
        <v>45</v>
      </c>
      <c r="G734">
        <v>8</v>
      </c>
      <c r="H734" t="str" cm="1">
        <f t="array" ref="H734">_xlfn.IFS(G734&gt;15,"Long Commute",G734&gt;5,"Moderate",G734&lt;=5,"Near Office")</f>
        <v>Moderate</v>
      </c>
      <c r="I734" t="s">
        <v>72</v>
      </c>
      <c r="J734" t="s">
        <v>60</v>
      </c>
      <c r="K734">
        <v>3</v>
      </c>
      <c r="L734" t="s">
        <v>39</v>
      </c>
      <c r="M734">
        <v>59</v>
      </c>
      <c r="N734">
        <v>3</v>
      </c>
      <c r="O734">
        <v>3</v>
      </c>
      <c r="P734" t="s">
        <v>54</v>
      </c>
      <c r="Q734" t="s">
        <v>73</v>
      </c>
      <c r="R734" t="s">
        <v>52</v>
      </c>
      <c r="S734">
        <v>10096</v>
      </c>
      <c r="T734" t="str" cm="1">
        <f t="array" ref="T734">_xlfn.IFS(S734&gt;=10000,"High (&gt;10k)",S734&gt;=5000,"Medium (5k-10k)",S734&lt;5000,"Low (&lt;5k)")</f>
        <v>High (&gt;10k)</v>
      </c>
      <c r="U734">
        <v>8202</v>
      </c>
      <c r="V734">
        <v>1</v>
      </c>
      <c r="W734" t="s">
        <v>43</v>
      </c>
      <c r="X734">
        <v>13</v>
      </c>
      <c r="Y734">
        <v>3</v>
      </c>
      <c r="Z734">
        <v>2</v>
      </c>
      <c r="AA734">
        <v>3</v>
      </c>
      <c r="AB734">
        <v>17</v>
      </c>
      <c r="AC734">
        <v>2</v>
      </c>
      <c r="AD734" t="s">
        <v>74</v>
      </c>
      <c r="AE734">
        <v>17</v>
      </c>
      <c r="AF734" t="str" cm="1">
        <f t="array" ref="AF734">_xlfn.IFS(AE734&gt;=10,"Veteran (10y+)",AE734&gt;=3,"Established (3-10y)",AE734&lt;3,"New Hire (&lt;3y)")</f>
        <v>Veteran (10y+)</v>
      </c>
      <c r="AG734">
        <v>14</v>
      </c>
      <c r="AH734">
        <v>12</v>
      </c>
      <c r="AI734">
        <v>8</v>
      </c>
    </row>
    <row r="735" spans="1:35">
      <c r="A735">
        <v>36</v>
      </c>
      <c r="B735" t="str">
        <f t="shared" si="11"/>
        <v>Middle Aged</v>
      </c>
      <c r="C735">
        <v>0</v>
      </c>
      <c r="D735" t="s">
        <v>44</v>
      </c>
      <c r="E735">
        <v>1195</v>
      </c>
      <c r="F735" t="s">
        <v>45</v>
      </c>
      <c r="G735">
        <v>11</v>
      </c>
      <c r="H735" t="str" cm="1">
        <f t="array" ref="H735">_xlfn.IFS(G735&gt;15,"Long Commute",G735&gt;5,"Moderate",G735&lt;=5,"Near Office")</f>
        <v>Moderate</v>
      </c>
      <c r="I735" t="s">
        <v>72</v>
      </c>
      <c r="J735" t="s">
        <v>38</v>
      </c>
      <c r="K735">
        <v>2</v>
      </c>
      <c r="L735" t="s">
        <v>46</v>
      </c>
      <c r="M735">
        <v>95</v>
      </c>
      <c r="N735">
        <v>2</v>
      </c>
      <c r="O735">
        <v>2</v>
      </c>
      <c r="P735" t="s">
        <v>53</v>
      </c>
      <c r="Q735" t="s">
        <v>75</v>
      </c>
      <c r="R735" t="s">
        <v>41</v>
      </c>
      <c r="S735">
        <v>6499</v>
      </c>
      <c r="T735" t="str" cm="1">
        <f t="array" ref="T735">_xlfn.IFS(S735&gt;=10000,"High (&gt;10k)",S735&gt;=5000,"Medium (5k-10k)",S735&lt;5000,"Low (&lt;5k)")</f>
        <v>Medium (5k-10k)</v>
      </c>
      <c r="U735">
        <v>22656</v>
      </c>
      <c r="V735">
        <v>1</v>
      </c>
      <c r="W735" t="s">
        <v>43</v>
      </c>
      <c r="X735">
        <v>13</v>
      </c>
      <c r="Y735">
        <v>3</v>
      </c>
      <c r="Z735">
        <v>3</v>
      </c>
      <c r="AA735">
        <v>0</v>
      </c>
      <c r="AB735">
        <v>6</v>
      </c>
      <c r="AC735">
        <v>3</v>
      </c>
      <c r="AD735" t="s">
        <v>74</v>
      </c>
      <c r="AE735">
        <v>6</v>
      </c>
      <c r="AF735" t="str" cm="1">
        <f t="array" ref="AF735">_xlfn.IFS(AE735&gt;=10,"Veteran (10y+)",AE735&gt;=3,"Established (3-10y)",AE735&lt;3,"New Hire (&lt;3y)")</f>
        <v>Established (3-10y)</v>
      </c>
      <c r="AG735">
        <v>5</v>
      </c>
      <c r="AH735">
        <v>0</v>
      </c>
      <c r="AI735">
        <v>3</v>
      </c>
    </row>
    <row r="736" spans="1:35">
      <c r="A736">
        <v>36</v>
      </c>
      <c r="B736" t="str">
        <f t="shared" si="11"/>
        <v>Middle Aged</v>
      </c>
      <c r="C736">
        <v>1</v>
      </c>
      <c r="D736" t="s">
        <v>36</v>
      </c>
      <c r="E736">
        <v>318</v>
      </c>
      <c r="F736" t="s">
        <v>45</v>
      </c>
      <c r="G736">
        <v>9</v>
      </c>
      <c r="H736" t="str" cm="1">
        <f t="array" ref="H736">_xlfn.IFS(G736&gt;15,"Long Commute",G736&gt;5,"Moderate",G736&lt;=5,"Near Office")</f>
        <v>Moderate</v>
      </c>
      <c r="I736" t="s">
        <v>72</v>
      </c>
      <c r="J736" t="s">
        <v>51</v>
      </c>
      <c r="K736">
        <v>4</v>
      </c>
      <c r="L736" t="s">
        <v>46</v>
      </c>
      <c r="M736">
        <v>79</v>
      </c>
      <c r="N736">
        <v>2</v>
      </c>
      <c r="O736">
        <v>1</v>
      </c>
      <c r="P736" t="s">
        <v>47</v>
      </c>
      <c r="Q736" t="s">
        <v>73</v>
      </c>
      <c r="R736" t="s">
        <v>48</v>
      </c>
      <c r="S736">
        <v>3388</v>
      </c>
      <c r="T736" t="str" cm="1">
        <f t="array" ref="T736">_xlfn.IFS(S736&gt;=10000,"High (&gt;10k)",S736&gt;=5000,"Medium (5k-10k)",S736&lt;5000,"Low (&lt;5k)")</f>
        <v>Low (&lt;5k)</v>
      </c>
      <c r="U736">
        <v>21777</v>
      </c>
      <c r="V736">
        <v>0</v>
      </c>
      <c r="W736" t="s">
        <v>35</v>
      </c>
      <c r="X736">
        <v>17</v>
      </c>
      <c r="Y736">
        <v>3</v>
      </c>
      <c r="Z736">
        <v>1</v>
      </c>
      <c r="AA736">
        <v>1</v>
      </c>
      <c r="AB736">
        <v>2</v>
      </c>
      <c r="AC736">
        <v>0</v>
      </c>
      <c r="AD736" t="s">
        <v>81</v>
      </c>
      <c r="AE736">
        <v>1</v>
      </c>
      <c r="AF736" t="str" cm="1">
        <f t="array" ref="AF736">_xlfn.IFS(AE736&gt;=10,"Veteran (10y+)",AE736&gt;=3,"Established (3-10y)",AE736&lt;3,"New Hire (&lt;3y)")</f>
        <v>New Hire (&lt;3y)</v>
      </c>
      <c r="AG736">
        <v>0</v>
      </c>
      <c r="AH736">
        <v>0</v>
      </c>
      <c r="AI736">
        <v>0</v>
      </c>
    </row>
    <row r="737" spans="1:35">
      <c r="A737">
        <v>36</v>
      </c>
      <c r="B737" t="str">
        <f t="shared" si="11"/>
        <v>Middle Aged</v>
      </c>
      <c r="C737">
        <v>0</v>
      </c>
      <c r="D737" t="s">
        <v>36</v>
      </c>
      <c r="E737">
        <v>132</v>
      </c>
      <c r="F737" t="s">
        <v>45</v>
      </c>
      <c r="G737">
        <v>6</v>
      </c>
      <c r="H737" t="str" cm="1">
        <f t="array" ref="H737">_xlfn.IFS(G737&gt;15,"Long Commute",G737&gt;5,"Moderate",G737&lt;=5,"Near Office")</f>
        <v>Moderate</v>
      </c>
      <c r="I737" t="s">
        <v>72</v>
      </c>
      <c r="J737" t="s">
        <v>38</v>
      </c>
      <c r="K737">
        <v>2</v>
      </c>
      <c r="L737" t="s">
        <v>39</v>
      </c>
      <c r="M737">
        <v>55</v>
      </c>
      <c r="N737">
        <v>4</v>
      </c>
      <c r="O737">
        <v>1</v>
      </c>
      <c r="P737" t="s">
        <v>50</v>
      </c>
      <c r="Q737" t="s">
        <v>77</v>
      </c>
      <c r="R737" t="s">
        <v>48</v>
      </c>
      <c r="S737">
        <v>3038</v>
      </c>
      <c r="T737" t="str" cm="1">
        <f t="array" ref="T737">_xlfn.IFS(S737&gt;=10000,"High (&gt;10k)",S737&gt;=5000,"Medium (5k-10k)",S737&lt;5000,"Low (&lt;5k)")</f>
        <v>Low (&lt;5k)</v>
      </c>
      <c r="U737">
        <v>22002</v>
      </c>
      <c r="V737">
        <v>3</v>
      </c>
      <c r="W737" t="s">
        <v>43</v>
      </c>
      <c r="X737">
        <v>12</v>
      </c>
      <c r="Y737">
        <v>3</v>
      </c>
      <c r="Z737">
        <v>2</v>
      </c>
      <c r="AA737">
        <v>0</v>
      </c>
      <c r="AB737">
        <v>5</v>
      </c>
      <c r="AC737">
        <v>3</v>
      </c>
      <c r="AD737" t="s">
        <v>74</v>
      </c>
      <c r="AE737">
        <v>1</v>
      </c>
      <c r="AF737" t="str" cm="1">
        <f t="array" ref="AF737">_xlfn.IFS(AE737&gt;=10,"Veteran (10y+)",AE737&gt;=3,"Established (3-10y)",AE737&lt;3,"New Hire (&lt;3y)")</f>
        <v>New Hire (&lt;3y)</v>
      </c>
      <c r="AG737">
        <v>0</v>
      </c>
      <c r="AH737">
        <v>0</v>
      </c>
      <c r="AI737">
        <v>0</v>
      </c>
    </row>
    <row r="738" spans="1:35">
      <c r="A738">
        <v>36</v>
      </c>
      <c r="B738" t="str">
        <f t="shared" si="11"/>
        <v>Middle Aged</v>
      </c>
      <c r="C738">
        <v>0</v>
      </c>
      <c r="D738" t="s">
        <v>44</v>
      </c>
      <c r="E738">
        <v>1467</v>
      </c>
      <c r="F738" t="s">
        <v>37</v>
      </c>
      <c r="G738">
        <v>11</v>
      </c>
      <c r="H738" t="str" cm="1">
        <f t="array" ref="H738">_xlfn.IFS(G738&gt;15,"Long Commute",G738&gt;5,"Moderate",G738&lt;=5,"Near Office")</f>
        <v>Moderate</v>
      </c>
      <c r="I738" t="s">
        <v>76</v>
      </c>
      <c r="J738" t="s">
        <v>60</v>
      </c>
      <c r="K738">
        <v>2</v>
      </c>
      <c r="L738" t="s">
        <v>39</v>
      </c>
      <c r="M738">
        <v>92</v>
      </c>
      <c r="N738">
        <v>3</v>
      </c>
      <c r="O738">
        <v>3</v>
      </c>
      <c r="P738" t="s">
        <v>40</v>
      </c>
      <c r="Q738" t="s">
        <v>77</v>
      </c>
      <c r="R738" t="s">
        <v>48</v>
      </c>
      <c r="S738">
        <v>9738</v>
      </c>
      <c r="T738" t="str" cm="1">
        <f t="array" ref="T738">_xlfn.IFS(S738&gt;=10000,"High (&gt;10k)",S738&gt;=5000,"Medium (5k-10k)",S738&lt;5000,"Low (&lt;5k)")</f>
        <v>Medium (5k-10k)</v>
      </c>
      <c r="U738">
        <v>22952</v>
      </c>
      <c r="V738">
        <v>0</v>
      </c>
      <c r="W738" t="s">
        <v>43</v>
      </c>
      <c r="X738">
        <v>14</v>
      </c>
      <c r="Y738">
        <v>3</v>
      </c>
      <c r="Z738">
        <v>3</v>
      </c>
      <c r="AA738">
        <v>1</v>
      </c>
      <c r="AB738">
        <v>10</v>
      </c>
      <c r="AC738">
        <v>6</v>
      </c>
      <c r="AD738" t="s">
        <v>74</v>
      </c>
      <c r="AE738">
        <v>9</v>
      </c>
      <c r="AF738" t="str" cm="1">
        <f t="array" ref="AF738">_xlfn.IFS(AE738&gt;=10,"Veteran (10y+)",AE738&gt;=3,"Established (3-10y)",AE738&lt;3,"New Hire (&lt;3y)")</f>
        <v>Established (3-10y)</v>
      </c>
      <c r="AG738">
        <v>7</v>
      </c>
      <c r="AH738">
        <v>2</v>
      </c>
      <c r="AI738">
        <v>8</v>
      </c>
    </row>
    <row r="739" spans="1:35">
      <c r="A739">
        <v>36</v>
      </c>
      <c r="B739" t="str">
        <f t="shared" si="11"/>
        <v>Middle Aged</v>
      </c>
      <c r="C739">
        <v>0</v>
      </c>
      <c r="D739" t="s">
        <v>36</v>
      </c>
      <c r="E739">
        <v>922</v>
      </c>
      <c r="F739" t="s">
        <v>45</v>
      </c>
      <c r="G739">
        <v>3</v>
      </c>
      <c r="H739" t="str" cm="1">
        <f t="array" ref="H739">_xlfn.IFS(G739&gt;15,"Long Commute",G739&gt;5,"Moderate",G739&lt;=5,"Near Office")</f>
        <v>Near Office</v>
      </c>
      <c r="I739" t="s">
        <v>76</v>
      </c>
      <c r="J739" t="s">
        <v>38</v>
      </c>
      <c r="K739">
        <v>1</v>
      </c>
      <c r="L739" t="s">
        <v>39</v>
      </c>
      <c r="M739">
        <v>39</v>
      </c>
      <c r="N739">
        <v>3</v>
      </c>
      <c r="O739">
        <v>1</v>
      </c>
      <c r="P739" t="s">
        <v>50</v>
      </c>
      <c r="Q739" t="s">
        <v>77</v>
      </c>
      <c r="R739" t="s">
        <v>52</v>
      </c>
      <c r="S739">
        <v>2835</v>
      </c>
      <c r="T739" t="str" cm="1">
        <f t="array" ref="T739">_xlfn.IFS(S739&gt;=10000,"High (&gt;10k)",S739&gt;=5000,"Medium (5k-10k)",S739&lt;5000,"Low (&lt;5k)")</f>
        <v>Low (&lt;5k)</v>
      </c>
      <c r="U739">
        <v>2561</v>
      </c>
      <c r="V739">
        <v>5</v>
      </c>
      <c r="W739" t="s">
        <v>43</v>
      </c>
      <c r="X739">
        <v>22</v>
      </c>
      <c r="Y739">
        <v>4</v>
      </c>
      <c r="Z739">
        <v>1</v>
      </c>
      <c r="AA739">
        <v>1</v>
      </c>
      <c r="AB739">
        <v>7</v>
      </c>
      <c r="AC739">
        <v>2</v>
      </c>
      <c r="AD739" t="s">
        <v>74</v>
      </c>
      <c r="AE739">
        <v>1</v>
      </c>
      <c r="AF739" t="str" cm="1">
        <f t="array" ref="AF739">_xlfn.IFS(AE739&gt;=10,"Veteran (10y+)",AE739&gt;=3,"Established (3-10y)",AE739&lt;3,"New Hire (&lt;3y)")</f>
        <v>New Hire (&lt;3y)</v>
      </c>
      <c r="AG739">
        <v>0</v>
      </c>
      <c r="AH739">
        <v>0</v>
      </c>
      <c r="AI739">
        <v>0</v>
      </c>
    </row>
    <row r="740" spans="1:35">
      <c r="A740">
        <v>36</v>
      </c>
      <c r="B740" t="str">
        <f t="shared" si="11"/>
        <v>Middle Aged</v>
      </c>
      <c r="C740">
        <v>0</v>
      </c>
      <c r="D740" t="s">
        <v>36</v>
      </c>
      <c r="E740">
        <v>216</v>
      </c>
      <c r="F740" t="s">
        <v>45</v>
      </c>
      <c r="G740">
        <v>6</v>
      </c>
      <c r="H740" t="str" cm="1">
        <f t="array" ref="H740">_xlfn.IFS(G740&gt;15,"Long Commute",G740&gt;5,"Moderate",G740&lt;=5,"Near Office")</f>
        <v>Moderate</v>
      </c>
      <c r="I740" t="s">
        <v>76</v>
      </c>
      <c r="J740" t="s">
        <v>51</v>
      </c>
      <c r="K740">
        <v>2</v>
      </c>
      <c r="L740" t="s">
        <v>46</v>
      </c>
      <c r="M740">
        <v>84</v>
      </c>
      <c r="N740">
        <v>3</v>
      </c>
      <c r="O740">
        <v>2</v>
      </c>
      <c r="P740" t="s">
        <v>53</v>
      </c>
      <c r="Q740" t="s">
        <v>75</v>
      </c>
      <c r="R740" t="s">
        <v>52</v>
      </c>
      <c r="S740">
        <v>4941</v>
      </c>
      <c r="T740" t="str" cm="1">
        <f t="array" ref="T740">_xlfn.IFS(S740&gt;=10000,"High (&gt;10k)",S740&gt;=5000,"Medium (5k-10k)",S740&lt;5000,"Low (&lt;5k)")</f>
        <v>Low (&lt;5k)</v>
      </c>
      <c r="U740">
        <v>2819</v>
      </c>
      <c r="V740">
        <v>6</v>
      </c>
      <c r="W740" t="s">
        <v>43</v>
      </c>
      <c r="X740">
        <v>20</v>
      </c>
      <c r="Y740">
        <v>4</v>
      </c>
      <c r="Z740">
        <v>4</v>
      </c>
      <c r="AA740">
        <v>2</v>
      </c>
      <c r="AB740">
        <v>7</v>
      </c>
      <c r="AC740">
        <v>0</v>
      </c>
      <c r="AD740" t="s">
        <v>74</v>
      </c>
      <c r="AE740">
        <v>3</v>
      </c>
      <c r="AF740" t="str" cm="1">
        <f t="array" ref="AF740">_xlfn.IFS(AE740&gt;=10,"Veteran (10y+)",AE740&gt;=3,"Established (3-10y)",AE740&lt;3,"New Hire (&lt;3y)")</f>
        <v>Established (3-10y)</v>
      </c>
      <c r="AG740">
        <v>2</v>
      </c>
      <c r="AH740">
        <v>0</v>
      </c>
      <c r="AI740">
        <v>1</v>
      </c>
    </row>
    <row r="741" spans="1:35">
      <c r="A741">
        <v>36</v>
      </c>
      <c r="B741" t="str">
        <f t="shared" si="11"/>
        <v>Middle Aged</v>
      </c>
      <c r="C741">
        <v>0</v>
      </c>
      <c r="D741" t="s">
        <v>44</v>
      </c>
      <c r="E741">
        <v>1480</v>
      </c>
      <c r="F741" t="s">
        <v>45</v>
      </c>
      <c r="G741">
        <v>3</v>
      </c>
      <c r="H741" t="str" cm="1">
        <f t="array" ref="H741">_xlfn.IFS(G741&gt;15,"Long Commute",G741&gt;5,"Moderate",G741&lt;=5,"Near Office")</f>
        <v>Near Office</v>
      </c>
      <c r="I741" t="s">
        <v>76</v>
      </c>
      <c r="J741" t="s">
        <v>51</v>
      </c>
      <c r="K741">
        <v>4</v>
      </c>
      <c r="L741" t="s">
        <v>46</v>
      </c>
      <c r="M741">
        <v>30</v>
      </c>
      <c r="N741">
        <v>3</v>
      </c>
      <c r="O741">
        <v>1</v>
      </c>
      <c r="P741" t="s">
        <v>50</v>
      </c>
      <c r="Q741" t="s">
        <v>75</v>
      </c>
      <c r="R741" t="s">
        <v>41</v>
      </c>
      <c r="S741">
        <v>2088</v>
      </c>
      <c r="T741" t="str" cm="1">
        <f t="array" ref="T741">_xlfn.IFS(S741&gt;=10000,"High (&gt;10k)",S741&gt;=5000,"Medium (5k-10k)",S741&lt;5000,"Low (&lt;5k)")</f>
        <v>Low (&lt;5k)</v>
      </c>
      <c r="U741">
        <v>15062</v>
      </c>
      <c r="V741">
        <v>4</v>
      </c>
      <c r="W741" t="s">
        <v>43</v>
      </c>
      <c r="X741">
        <v>12</v>
      </c>
      <c r="Y741">
        <v>3</v>
      </c>
      <c r="Z741">
        <v>3</v>
      </c>
      <c r="AA741">
        <v>0</v>
      </c>
      <c r="AB741">
        <v>13</v>
      </c>
      <c r="AC741">
        <v>3</v>
      </c>
      <c r="AD741" t="s">
        <v>81</v>
      </c>
      <c r="AE741">
        <v>8</v>
      </c>
      <c r="AF741" t="str" cm="1">
        <f t="array" ref="AF741">_xlfn.IFS(AE741&gt;=10,"Veteran (10y+)",AE741&gt;=3,"Established (3-10y)",AE741&lt;3,"New Hire (&lt;3y)")</f>
        <v>Established (3-10y)</v>
      </c>
      <c r="AG741">
        <v>7</v>
      </c>
      <c r="AH741">
        <v>7</v>
      </c>
      <c r="AI741">
        <v>2</v>
      </c>
    </row>
    <row r="742" spans="1:35">
      <c r="A742">
        <v>36</v>
      </c>
      <c r="B742" t="str">
        <f t="shared" si="11"/>
        <v>Middle Aged</v>
      </c>
      <c r="C742">
        <v>0</v>
      </c>
      <c r="D742" t="s">
        <v>44</v>
      </c>
      <c r="E742">
        <v>635</v>
      </c>
      <c r="F742" t="s">
        <v>45</v>
      </c>
      <c r="G742">
        <v>18</v>
      </c>
      <c r="H742" t="str" cm="1">
        <f t="array" ref="H742">_xlfn.IFS(G742&gt;15,"Long Commute",G742&gt;5,"Moderate",G742&lt;=5,"Near Office")</f>
        <v>Long Commute</v>
      </c>
      <c r="I742" t="s">
        <v>78</v>
      </c>
      <c r="J742" t="s">
        <v>51</v>
      </c>
      <c r="K742">
        <v>2</v>
      </c>
      <c r="L742" t="s">
        <v>39</v>
      </c>
      <c r="M742">
        <v>73</v>
      </c>
      <c r="N742">
        <v>3</v>
      </c>
      <c r="O742">
        <v>1</v>
      </c>
      <c r="P742" t="s">
        <v>50</v>
      </c>
      <c r="Q742" t="s">
        <v>77</v>
      </c>
      <c r="R742" t="s">
        <v>41</v>
      </c>
      <c r="S742">
        <v>2153</v>
      </c>
      <c r="T742" t="str" cm="1">
        <f t="array" ref="T742">_xlfn.IFS(S742&gt;=10000,"High (&gt;10k)",S742&gt;=5000,"Medium (5k-10k)",S742&lt;5000,"Low (&lt;5k)")</f>
        <v>Low (&lt;5k)</v>
      </c>
      <c r="U742">
        <v>7703</v>
      </c>
      <c r="V742">
        <v>1</v>
      </c>
      <c r="W742" t="s">
        <v>43</v>
      </c>
      <c r="X742">
        <v>13</v>
      </c>
      <c r="Y742">
        <v>3</v>
      </c>
      <c r="Z742">
        <v>1</v>
      </c>
      <c r="AA742">
        <v>0</v>
      </c>
      <c r="AB742">
        <v>8</v>
      </c>
      <c r="AC742">
        <v>2</v>
      </c>
      <c r="AD742" t="s">
        <v>74</v>
      </c>
      <c r="AE742">
        <v>8</v>
      </c>
      <c r="AF742" t="str" cm="1">
        <f t="array" ref="AF742">_xlfn.IFS(AE742&gt;=10,"Veteran (10y+)",AE742&gt;=3,"Established (3-10y)",AE742&lt;3,"New Hire (&lt;3y)")</f>
        <v>Established (3-10y)</v>
      </c>
      <c r="AG742">
        <v>1</v>
      </c>
      <c r="AH742">
        <v>1</v>
      </c>
      <c r="AI742">
        <v>7</v>
      </c>
    </row>
    <row r="743" spans="1:35">
      <c r="A743">
        <v>36</v>
      </c>
      <c r="B743" t="str">
        <f t="shared" si="11"/>
        <v>Middle Aged</v>
      </c>
      <c r="C743">
        <v>0</v>
      </c>
      <c r="D743" t="s">
        <v>36</v>
      </c>
      <c r="E743">
        <v>1396</v>
      </c>
      <c r="F743" t="s">
        <v>45</v>
      </c>
      <c r="G743">
        <v>5</v>
      </c>
      <c r="H743" t="str" cm="1">
        <f t="array" ref="H743">_xlfn.IFS(G743&gt;15,"Long Commute",G743&gt;5,"Moderate",G743&lt;=5,"Near Office")</f>
        <v>Near Office</v>
      </c>
      <c r="I743" t="s">
        <v>76</v>
      </c>
      <c r="J743" t="s">
        <v>38</v>
      </c>
      <c r="K743">
        <v>4</v>
      </c>
      <c r="L743" t="s">
        <v>46</v>
      </c>
      <c r="M743">
        <v>62</v>
      </c>
      <c r="N743">
        <v>3</v>
      </c>
      <c r="O743">
        <v>2</v>
      </c>
      <c r="P743" t="s">
        <v>50</v>
      </c>
      <c r="Q743" t="s">
        <v>75</v>
      </c>
      <c r="R743" t="s">
        <v>41</v>
      </c>
      <c r="S743">
        <v>5914</v>
      </c>
      <c r="T743" t="str" cm="1">
        <f t="array" ref="T743">_xlfn.IFS(S743&gt;=10000,"High (&gt;10k)",S743&gt;=5000,"Medium (5k-10k)",S743&lt;5000,"Low (&lt;5k)")</f>
        <v>Medium (5k-10k)</v>
      </c>
      <c r="U743">
        <v>9945</v>
      </c>
      <c r="V743">
        <v>8</v>
      </c>
      <c r="W743" t="s">
        <v>43</v>
      </c>
      <c r="X743">
        <v>16</v>
      </c>
      <c r="Y743">
        <v>3</v>
      </c>
      <c r="Z743">
        <v>4</v>
      </c>
      <c r="AA743">
        <v>0</v>
      </c>
      <c r="AB743">
        <v>16</v>
      </c>
      <c r="AC743">
        <v>3</v>
      </c>
      <c r="AD743" t="s">
        <v>79</v>
      </c>
      <c r="AE743">
        <v>13</v>
      </c>
      <c r="AF743" t="str" cm="1">
        <f t="array" ref="AF743">_xlfn.IFS(AE743&gt;=10,"Veteran (10y+)",AE743&gt;=3,"Established (3-10y)",AE743&lt;3,"New Hire (&lt;3y)")</f>
        <v>Veteran (10y+)</v>
      </c>
      <c r="AG743">
        <v>11</v>
      </c>
      <c r="AH743">
        <v>3</v>
      </c>
      <c r="AI743">
        <v>7</v>
      </c>
    </row>
    <row r="744" spans="1:35">
      <c r="A744">
        <v>36</v>
      </c>
      <c r="B744" t="str">
        <f t="shared" si="11"/>
        <v>Middle Aged</v>
      </c>
      <c r="C744">
        <v>0</v>
      </c>
      <c r="D744" t="s">
        <v>36</v>
      </c>
      <c r="E744">
        <v>1403</v>
      </c>
      <c r="F744" t="s">
        <v>45</v>
      </c>
      <c r="G744">
        <v>6</v>
      </c>
      <c r="H744" t="str" cm="1">
        <f t="array" ref="H744">_xlfn.IFS(G744&gt;15,"Long Commute",G744&gt;5,"Moderate",G744&lt;=5,"Near Office")</f>
        <v>Moderate</v>
      </c>
      <c r="I744" t="s">
        <v>72</v>
      </c>
      <c r="J744" t="s">
        <v>38</v>
      </c>
      <c r="K744">
        <v>4</v>
      </c>
      <c r="L744" t="s">
        <v>46</v>
      </c>
      <c r="M744">
        <v>47</v>
      </c>
      <c r="N744">
        <v>3</v>
      </c>
      <c r="O744">
        <v>1</v>
      </c>
      <c r="P744" t="s">
        <v>50</v>
      </c>
      <c r="Q744" t="s">
        <v>77</v>
      </c>
      <c r="R744" t="s">
        <v>48</v>
      </c>
      <c r="S744">
        <v>3210</v>
      </c>
      <c r="T744" t="str" cm="1">
        <f t="array" ref="T744">_xlfn.IFS(S744&gt;=10000,"High (&gt;10k)",S744&gt;=5000,"Medium (5k-10k)",S744&lt;5000,"Low (&lt;5k)")</f>
        <v>Low (&lt;5k)</v>
      </c>
      <c r="U744">
        <v>20251</v>
      </c>
      <c r="V744">
        <v>0</v>
      </c>
      <c r="W744" t="s">
        <v>43</v>
      </c>
      <c r="X744">
        <v>11</v>
      </c>
      <c r="Y744">
        <v>3</v>
      </c>
      <c r="Z744">
        <v>3</v>
      </c>
      <c r="AA744">
        <v>1</v>
      </c>
      <c r="AB744">
        <v>16</v>
      </c>
      <c r="AC744">
        <v>4</v>
      </c>
      <c r="AD744" t="s">
        <v>74</v>
      </c>
      <c r="AE744">
        <v>15</v>
      </c>
      <c r="AF744" t="str" cm="1">
        <f t="array" ref="AF744">_xlfn.IFS(AE744&gt;=10,"Veteran (10y+)",AE744&gt;=3,"Established (3-10y)",AE744&lt;3,"New Hire (&lt;3y)")</f>
        <v>Veteran (10y+)</v>
      </c>
      <c r="AG744">
        <v>13</v>
      </c>
      <c r="AH744">
        <v>10</v>
      </c>
      <c r="AI744">
        <v>11</v>
      </c>
    </row>
    <row r="745" spans="1:35">
      <c r="A745">
        <v>36</v>
      </c>
      <c r="B745" t="str">
        <f t="shared" si="11"/>
        <v>Middle Aged</v>
      </c>
      <c r="C745">
        <v>0</v>
      </c>
      <c r="D745" t="s">
        <v>36</v>
      </c>
      <c r="E745">
        <v>506</v>
      </c>
      <c r="F745" t="s">
        <v>45</v>
      </c>
      <c r="G745">
        <v>3</v>
      </c>
      <c r="H745" t="str" cm="1">
        <f t="array" ref="H745">_xlfn.IFS(G745&gt;15,"Long Commute",G745&gt;5,"Moderate",G745&lt;=5,"Near Office")</f>
        <v>Near Office</v>
      </c>
      <c r="I745" t="s">
        <v>72</v>
      </c>
      <c r="J745" t="s">
        <v>60</v>
      </c>
      <c r="K745">
        <v>3</v>
      </c>
      <c r="L745" t="s">
        <v>46</v>
      </c>
      <c r="M745">
        <v>30</v>
      </c>
      <c r="N745">
        <v>3</v>
      </c>
      <c r="O745">
        <v>2</v>
      </c>
      <c r="P745" t="s">
        <v>47</v>
      </c>
      <c r="Q745" t="s">
        <v>75</v>
      </c>
      <c r="R745" t="s">
        <v>41</v>
      </c>
      <c r="S745">
        <v>4485</v>
      </c>
      <c r="T745" t="str" cm="1">
        <f t="array" ref="T745">_xlfn.IFS(S745&gt;=10000,"High (&gt;10k)",S745&gt;=5000,"Medium (5k-10k)",S745&lt;5000,"Low (&lt;5k)")</f>
        <v>Low (&lt;5k)</v>
      </c>
      <c r="U745">
        <v>26285</v>
      </c>
      <c r="V745">
        <v>4</v>
      </c>
      <c r="W745" t="s">
        <v>43</v>
      </c>
      <c r="X745">
        <v>12</v>
      </c>
      <c r="Y745">
        <v>3</v>
      </c>
      <c r="Z745">
        <v>4</v>
      </c>
      <c r="AA745">
        <v>0</v>
      </c>
      <c r="AB745">
        <v>10</v>
      </c>
      <c r="AC745">
        <v>2</v>
      </c>
      <c r="AD745" t="s">
        <v>74</v>
      </c>
      <c r="AE745">
        <v>8</v>
      </c>
      <c r="AF745" t="str" cm="1">
        <f t="array" ref="AF745">_xlfn.IFS(AE745&gt;=10,"Veteran (10y+)",AE745&gt;=3,"Established (3-10y)",AE745&lt;3,"New Hire (&lt;3y)")</f>
        <v>Established (3-10y)</v>
      </c>
      <c r="AG745">
        <v>0</v>
      </c>
      <c r="AH745">
        <v>7</v>
      </c>
      <c r="AI745">
        <v>7</v>
      </c>
    </row>
    <row r="746" spans="1:35">
      <c r="A746">
        <v>36</v>
      </c>
      <c r="B746" t="str">
        <f t="shared" si="11"/>
        <v>Middle Aged</v>
      </c>
      <c r="C746">
        <v>0</v>
      </c>
      <c r="D746" t="s">
        <v>44</v>
      </c>
      <c r="E746">
        <v>566</v>
      </c>
      <c r="F746" t="s">
        <v>45</v>
      </c>
      <c r="G746">
        <v>18</v>
      </c>
      <c r="H746" t="str" cm="1">
        <f t="array" ref="H746">_xlfn.IFS(G746&gt;15,"Long Commute",G746&gt;5,"Moderate",G746&lt;=5,"Near Office")</f>
        <v>Long Commute</v>
      </c>
      <c r="I746" t="s">
        <v>83</v>
      </c>
      <c r="J746" t="s">
        <v>38</v>
      </c>
      <c r="K746">
        <v>3</v>
      </c>
      <c r="L746" t="s">
        <v>46</v>
      </c>
      <c r="M746">
        <v>81</v>
      </c>
      <c r="N746">
        <v>4</v>
      </c>
      <c r="O746">
        <v>1</v>
      </c>
      <c r="P746" t="s">
        <v>50</v>
      </c>
      <c r="Q746" t="s">
        <v>77</v>
      </c>
      <c r="R746" t="s">
        <v>48</v>
      </c>
      <c r="S746">
        <v>3688</v>
      </c>
      <c r="T746" t="str" cm="1">
        <f t="array" ref="T746">_xlfn.IFS(S746&gt;=10000,"High (&gt;10k)",S746&gt;=5000,"Medium (5k-10k)",S746&lt;5000,"Low (&lt;5k)")</f>
        <v>Low (&lt;5k)</v>
      </c>
      <c r="U746">
        <v>7122</v>
      </c>
      <c r="V746">
        <v>4</v>
      </c>
      <c r="W746" t="s">
        <v>43</v>
      </c>
      <c r="X746">
        <v>18</v>
      </c>
      <c r="Y746">
        <v>3</v>
      </c>
      <c r="Z746">
        <v>4</v>
      </c>
      <c r="AA746">
        <v>2</v>
      </c>
      <c r="AB746">
        <v>4</v>
      </c>
      <c r="AC746">
        <v>2</v>
      </c>
      <c r="AD746" t="s">
        <v>74</v>
      </c>
      <c r="AE746">
        <v>1</v>
      </c>
      <c r="AF746" t="str" cm="1">
        <f t="array" ref="AF746">_xlfn.IFS(AE746&gt;=10,"Veteran (10y+)",AE746&gt;=3,"Established (3-10y)",AE746&lt;3,"New Hire (&lt;3y)")</f>
        <v>New Hire (&lt;3y)</v>
      </c>
      <c r="AG746">
        <v>0</v>
      </c>
      <c r="AH746">
        <v>0</v>
      </c>
      <c r="AI746">
        <v>0</v>
      </c>
    </row>
    <row r="747" spans="1:35">
      <c r="A747">
        <v>36</v>
      </c>
      <c r="B747" t="str">
        <f t="shared" si="11"/>
        <v>Middle Aged</v>
      </c>
      <c r="C747">
        <v>0</v>
      </c>
      <c r="D747" t="s">
        <v>55</v>
      </c>
      <c r="E747">
        <v>1105</v>
      </c>
      <c r="F747" t="s">
        <v>45</v>
      </c>
      <c r="G747">
        <v>24</v>
      </c>
      <c r="H747" t="str" cm="1">
        <f t="array" ref="H747">_xlfn.IFS(G747&gt;15,"Long Commute",G747&gt;5,"Moderate",G747&lt;=5,"Near Office")</f>
        <v>Long Commute</v>
      </c>
      <c r="I747" t="s">
        <v>83</v>
      </c>
      <c r="J747" t="s">
        <v>38</v>
      </c>
      <c r="K747">
        <v>2</v>
      </c>
      <c r="L747" t="s">
        <v>39</v>
      </c>
      <c r="M747">
        <v>47</v>
      </c>
      <c r="N747">
        <v>3</v>
      </c>
      <c r="O747">
        <v>2</v>
      </c>
      <c r="P747" t="s">
        <v>50</v>
      </c>
      <c r="Q747" t="s">
        <v>75</v>
      </c>
      <c r="R747" t="s">
        <v>48</v>
      </c>
      <c r="S747">
        <v>5674</v>
      </c>
      <c r="T747" t="str" cm="1">
        <f t="array" ref="T747">_xlfn.IFS(S747&gt;=10000,"High (&gt;10k)",S747&gt;=5000,"Medium (5k-10k)",S747&lt;5000,"Low (&lt;5k)")</f>
        <v>Medium (5k-10k)</v>
      </c>
      <c r="U747">
        <v>6927</v>
      </c>
      <c r="V747">
        <v>7</v>
      </c>
      <c r="W747" t="s">
        <v>43</v>
      </c>
      <c r="X747">
        <v>15</v>
      </c>
      <c r="Y747">
        <v>3</v>
      </c>
      <c r="Z747">
        <v>3</v>
      </c>
      <c r="AA747">
        <v>1</v>
      </c>
      <c r="AB747">
        <v>11</v>
      </c>
      <c r="AC747">
        <v>3</v>
      </c>
      <c r="AD747" t="s">
        <v>74</v>
      </c>
      <c r="AE747">
        <v>9</v>
      </c>
      <c r="AF747" t="str" cm="1">
        <f t="array" ref="AF747">_xlfn.IFS(AE747&gt;=10,"Veteran (10y+)",AE747&gt;=3,"Established (3-10y)",AE747&lt;3,"New Hire (&lt;3y)")</f>
        <v>Established (3-10y)</v>
      </c>
      <c r="AG747">
        <v>8</v>
      </c>
      <c r="AH747">
        <v>0</v>
      </c>
      <c r="AI747">
        <v>8</v>
      </c>
    </row>
    <row r="748" spans="1:35">
      <c r="A748">
        <v>36</v>
      </c>
      <c r="B748" t="str">
        <f t="shared" si="11"/>
        <v>Middle Aged</v>
      </c>
      <c r="C748">
        <v>0</v>
      </c>
      <c r="D748" t="s">
        <v>55</v>
      </c>
      <c r="E748">
        <v>845</v>
      </c>
      <c r="F748" t="s">
        <v>37</v>
      </c>
      <c r="G748">
        <v>1</v>
      </c>
      <c r="H748" t="str" cm="1">
        <f t="array" ref="H748">_xlfn.IFS(G748&gt;15,"Long Commute",G748&gt;5,"Moderate",G748&lt;=5,"Near Office")</f>
        <v>Near Office</v>
      </c>
      <c r="I748" t="s">
        <v>84</v>
      </c>
      <c r="J748" t="s">
        <v>51</v>
      </c>
      <c r="K748">
        <v>4</v>
      </c>
      <c r="L748" t="s">
        <v>39</v>
      </c>
      <c r="M748">
        <v>45</v>
      </c>
      <c r="N748">
        <v>3</v>
      </c>
      <c r="O748">
        <v>2</v>
      </c>
      <c r="P748" t="s">
        <v>40</v>
      </c>
      <c r="Q748" t="s">
        <v>77</v>
      </c>
      <c r="R748" t="s">
        <v>41</v>
      </c>
      <c r="S748">
        <v>6653</v>
      </c>
      <c r="T748" t="str" cm="1">
        <f t="array" ref="T748">_xlfn.IFS(S748&gt;=10000,"High (&gt;10k)",S748&gt;=5000,"Medium (5k-10k)",S748&lt;5000,"Low (&lt;5k)")</f>
        <v>Medium (5k-10k)</v>
      </c>
      <c r="U748">
        <v>15276</v>
      </c>
      <c r="V748">
        <v>4</v>
      </c>
      <c r="W748" t="s">
        <v>43</v>
      </c>
      <c r="X748">
        <v>15</v>
      </c>
      <c r="Y748">
        <v>3</v>
      </c>
      <c r="Z748">
        <v>2</v>
      </c>
      <c r="AA748">
        <v>0</v>
      </c>
      <c r="AB748">
        <v>7</v>
      </c>
      <c r="AC748">
        <v>6</v>
      </c>
      <c r="AD748" t="s">
        <v>74</v>
      </c>
      <c r="AE748">
        <v>1</v>
      </c>
      <c r="AF748" t="str" cm="1">
        <f t="array" ref="AF748">_xlfn.IFS(AE748&gt;=10,"Veteran (10y+)",AE748&gt;=3,"Established (3-10y)",AE748&lt;3,"New Hire (&lt;3y)")</f>
        <v>New Hire (&lt;3y)</v>
      </c>
      <c r="AG748">
        <v>0</v>
      </c>
      <c r="AH748">
        <v>0</v>
      </c>
      <c r="AI748">
        <v>0</v>
      </c>
    </row>
    <row r="749" spans="1:35">
      <c r="A749">
        <v>36</v>
      </c>
      <c r="B749" t="str">
        <f t="shared" si="11"/>
        <v>Middle Aged</v>
      </c>
      <c r="C749">
        <v>0</v>
      </c>
      <c r="D749" t="s">
        <v>44</v>
      </c>
      <c r="E749">
        <v>541</v>
      </c>
      <c r="F749" t="s">
        <v>37</v>
      </c>
      <c r="G749">
        <v>3</v>
      </c>
      <c r="H749" t="str" cm="1">
        <f t="array" ref="H749">_xlfn.IFS(G749&gt;15,"Long Commute",G749&gt;5,"Moderate",G749&lt;=5,"Near Office")</f>
        <v>Near Office</v>
      </c>
      <c r="I749" t="s">
        <v>83</v>
      </c>
      <c r="J749" t="s">
        <v>51</v>
      </c>
      <c r="K749">
        <v>1</v>
      </c>
      <c r="L749" t="s">
        <v>46</v>
      </c>
      <c r="M749">
        <v>48</v>
      </c>
      <c r="N749">
        <v>2</v>
      </c>
      <c r="O749">
        <v>3</v>
      </c>
      <c r="P749" t="s">
        <v>40</v>
      </c>
      <c r="Q749" t="s">
        <v>77</v>
      </c>
      <c r="R749" t="s">
        <v>48</v>
      </c>
      <c r="S749">
        <v>9699</v>
      </c>
      <c r="T749" t="str" cm="1">
        <f t="array" ref="T749">_xlfn.IFS(S749&gt;=10000,"High (&gt;10k)",S749&gt;=5000,"Medium (5k-10k)",S749&lt;5000,"Low (&lt;5k)")</f>
        <v>Medium (5k-10k)</v>
      </c>
      <c r="U749">
        <v>7246</v>
      </c>
      <c r="V749">
        <v>4</v>
      </c>
      <c r="W749" t="s">
        <v>43</v>
      </c>
      <c r="X749">
        <v>11</v>
      </c>
      <c r="Y749">
        <v>3</v>
      </c>
      <c r="Z749">
        <v>1</v>
      </c>
      <c r="AA749">
        <v>1</v>
      </c>
      <c r="AB749">
        <v>16</v>
      </c>
      <c r="AC749">
        <v>2</v>
      </c>
      <c r="AD749" t="s">
        <v>74</v>
      </c>
      <c r="AE749">
        <v>13</v>
      </c>
      <c r="AF749" t="str" cm="1">
        <f t="array" ref="AF749">_xlfn.IFS(AE749&gt;=10,"Veteran (10y+)",AE749&gt;=3,"Established (3-10y)",AE749&lt;3,"New Hire (&lt;3y)")</f>
        <v>Veteran (10y+)</v>
      </c>
      <c r="AG749">
        <v>9</v>
      </c>
      <c r="AH749">
        <v>1</v>
      </c>
      <c r="AI749">
        <v>12</v>
      </c>
    </row>
    <row r="750" spans="1:35">
      <c r="A750">
        <v>36</v>
      </c>
      <c r="B750" t="str">
        <f t="shared" si="11"/>
        <v>Middle Aged</v>
      </c>
      <c r="C750">
        <v>0</v>
      </c>
      <c r="D750" t="s">
        <v>36</v>
      </c>
      <c r="E750">
        <v>329</v>
      </c>
      <c r="F750" t="s">
        <v>45</v>
      </c>
      <c r="G750">
        <v>2</v>
      </c>
      <c r="H750" t="str" cm="1">
        <f t="array" ref="H750">_xlfn.IFS(G750&gt;15,"Long Commute",G750&gt;5,"Moderate",G750&lt;=5,"Near Office")</f>
        <v>Near Office</v>
      </c>
      <c r="I750" t="s">
        <v>72</v>
      </c>
      <c r="J750" t="s">
        <v>38</v>
      </c>
      <c r="K750">
        <v>4</v>
      </c>
      <c r="L750" t="s">
        <v>39</v>
      </c>
      <c r="M750">
        <v>96</v>
      </c>
      <c r="N750">
        <v>3</v>
      </c>
      <c r="O750">
        <v>1</v>
      </c>
      <c r="P750" t="s">
        <v>47</v>
      </c>
      <c r="Q750" t="s">
        <v>73</v>
      </c>
      <c r="R750" t="s">
        <v>48</v>
      </c>
      <c r="S750">
        <v>2543</v>
      </c>
      <c r="T750" t="str" cm="1">
        <f t="array" ref="T750">_xlfn.IFS(S750&gt;=10000,"High (&gt;10k)",S750&gt;=5000,"Medium (5k-10k)",S750&lt;5000,"Low (&lt;5k)")</f>
        <v>Low (&lt;5k)</v>
      </c>
      <c r="U750">
        <v>11868</v>
      </c>
      <c r="V750">
        <v>4</v>
      </c>
      <c r="W750" t="s">
        <v>43</v>
      </c>
      <c r="X750">
        <v>13</v>
      </c>
      <c r="Y750">
        <v>3</v>
      </c>
      <c r="Z750">
        <v>2</v>
      </c>
      <c r="AA750">
        <v>1</v>
      </c>
      <c r="AB750">
        <v>6</v>
      </c>
      <c r="AC750">
        <v>3</v>
      </c>
      <c r="AD750" t="s">
        <v>74</v>
      </c>
      <c r="AE750">
        <v>2</v>
      </c>
      <c r="AF750" t="str" cm="1">
        <f t="array" ref="AF750">_xlfn.IFS(AE750&gt;=10,"Veteran (10y+)",AE750&gt;=3,"Established (3-10y)",AE750&lt;3,"New Hire (&lt;3y)")</f>
        <v>New Hire (&lt;3y)</v>
      </c>
      <c r="AG750">
        <v>2</v>
      </c>
      <c r="AH750">
        <v>2</v>
      </c>
      <c r="AI750">
        <v>2</v>
      </c>
    </row>
    <row r="751" spans="1:35">
      <c r="A751">
        <v>36</v>
      </c>
      <c r="B751" t="str">
        <f t="shared" si="11"/>
        <v>Middle Aged</v>
      </c>
      <c r="C751">
        <v>0</v>
      </c>
      <c r="D751" t="s">
        <v>36</v>
      </c>
      <c r="E751">
        <v>164</v>
      </c>
      <c r="F751" t="s">
        <v>37</v>
      </c>
      <c r="G751">
        <v>2</v>
      </c>
      <c r="H751" t="str" cm="1">
        <f t="array" ref="H751">_xlfn.IFS(G751&gt;15,"Long Commute",G751&gt;5,"Moderate",G751&lt;=5,"Near Office")</f>
        <v>Near Office</v>
      </c>
      <c r="I751" t="s">
        <v>76</v>
      </c>
      <c r="J751" t="s">
        <v>51</v>
      </c>
      <c r="K751">
        <v>2</v>
      </c>
      <c r="L751" t="s">
        <v>46</v>
      </c>
      <c r="M751">
        <v>61</v>
      </c>
      <c r="N751">
        <v>2</v>
      </c>
      <c r="O751">
        <v>3</v>
      </c>
      <c r="P751" t="s">
        <v>40</v>
      </c>
      <c r="Q751" t="s">
        <v>73</v>
      </c>
      <c r="R751" t="s">
        <v>48</v>
      </c>
      <c r="S751">
        <v>7596</v>
      </c>
      <c r="T751" t="str" cm="1">
        <f t="array" ref="T751">_xlfn.IFS(S751&gt;=10000,"High (&gt;10k)",S751&gt;=5000,"Medium (5k-10k)",S751&lt;5000,"Low (&lt;5k)")</f>
        <v>Medium (5k-10k)</v>
      </c>
      <c r="U751">
        <v>3809</v>
      </c>
      <c r="V751">
        <v>1</v>
      </c>
      <c r="W751" t="s">
        <v>43</v>
      </c>
      <c r="X751">
        <v>13</v>
      </c>
      <c r="Y751">
        <v>3</v>
      </c>
      <c r="Z751">
        <v>2</v>
      </c>
      <c r="AA751">
        <v>2</v>
      </c>
      <c r="AB751">
        <v>10</v>
      </c>
      <c r="AC751">
        <v>2</v>
      </c>
      <c r="AD751" t="s">
        <v>74</v>
      </c>
      <c r="AE751">
        <v>10</v>
      </c>
      <c r="AF751" t="str" cm="1">
        <f t="array" ref="AF751">_xlfn.IFS(AE751&gt;=10,"Veteran (10y+)",AE751&gt;=3,"Established (3-10y)",AE751&lt;3,"New Hire (&lt;3y)")</f>
        <v>Veteran (10y+)</v>
      </c>
      <c r="AG751">
        <v>9</v>
      </c>
      <c r="AH751">
        <v>9</v>
      </c>
      <c r="AI751">
        <v>0</v>
      </c>
    </row>
    <row r="752" spans="1:35">
      <c r="A752">
        <v>36</v>
      </c>
      <c r="B752" t="str">
        <f t="shared" si="11"/>
        <v>Middle Aged</v>
      </c>
      <c r="C752">
        <v>0</v>
      </c>
      <c r="D752" t="s">
        <v>55</v>
      </c>
      <c r="E752">
        <v>635</v>
      </c>
      <c r="F752" t="s">
        <v>37</v>
      </c>
      <c r="G752">
        <v>10</v>
      </c>
      <c r="H752" t="str" cm="1">
        <f t="array" ref="H752">_xlfn.IFS(G752&gt;15,"Long Commute",G752&gt;5,"Moderate",G752&lt;=5,"Near Office")</f>
        <v>Moderate</v>
      </c>
      <c r="I752" t="s">
        <v>83</v>
      </c>
      <c r="J752" t="s">
        <v>51</v>
      </c>
      <c r="K752">
        <v>2</v>
      </c>
      <c r="L752" t="s">
        <v>46</v>
      </c>
      <c r="M752">
        <v>32</v>
      </c>
      <c r="N752">
        <v>3</v>
      </c>
      <c r="O752">
        <v>3</v>
      </c>
      <c r="P752" t="s">
        <v>40</v>
      </c>
      <c r="Q752" t="s">
        <v>77</v>
      </c>
      <c r="R752" t="s">
        <v>41</v>
      </c>
      <c r="S752">
        <v>9980</v>
      </c>
      <c r="T752" t="str" cm="1">
        <f t="array" ref="T752">_xlfn.IFS(S752&gt;=10000,"High (&gt;10k)",S752&gt;=5000,"Medium (5k-10k)",S752&lt;5000,"Low (&lt;5k)")</f>
        <v>Medium (5k-10k)</v>
      </c>
      <c r="U752">
        <v>15318</v>
      </c>
      <c r="V752">
        <v>1</v>
      </c>
      <c r="W752" t="s">
        <v>43</v>
      </c>
      <c r="X752">
        <v>14</v>
      </c>
      <c r="Y752">
        <v>3</v>
      </c>
      <c r="Z752">
        <v>4</v>
      </c>
      <c r="AA752">
        <v>0</v>
      </c>
      <c r="AB752">
        <v>10</v>
      </c>
      <c r="AC752">
        <v>3</v>
      </c>
      <c r="AD752" t="s">
        <v>81</v>
      </c>
      <c r="AE752">
        <v>10</v>
      </c>
      <c r="AF752" t="str" cm="1">
        <f t="array" ref="AF752">_xlfn.IFS(AE752&gt;=10,"Veteran (10y+)",AE752&gt;=3,"Established (3-10y)",AE752&lt;3,"New Hire (&lt;3y)")</f>
        <v>Veteran (10y+)</v>
      </c>
      <c r="AG752">
        <v>3</v>
      </c>
      <c r="AH752">
        <v>9</v>
      </c>
      <c r="AI752">
        <v>7</v>
      </c>
    </row>
    <row r="753" spans="1:35">
      <c r="A753">
        <v>36</v>
      </c>
      <c r="B753" t="str">
        <f t="shared" si="11"/>
        <v>Middle Aged</v>
      </c>
      <c r="C753">
        <v>0</v>
      </c>
      <c r="D753" t="s">
        <v>36</v>
      </c>
      <c r="E753">
        <v>913</v>
      </c>
      <c r="F753" t="s">
        <v>45</v>
      </c>
      <c r="G753">
        <v>9</v>
      </c>
      <c r="H753" t="str" cm="1">
        <f t="array" ref="H753">_xlfn.IFS(G753&gt;15,"Long Commute",G753&gt;5,"Moderate",G753&lt;=5,"Near Office")</f>
        <v>Moderate</v>
      </c>
      <c r="I753" t="s">
        <v>76</v>
      </c>
      <c r="J753" t="s">
        <v>51</v>
      </c>
      <c r="K753">
        <v>2</v>
      </c>
      <c r="L753" t="s">
        <v>46</v>
      </c>
      <c r="M753">
        <v>48</v>
      </c>
      <c r="N753">
        <v>2</v>
      </c>
      <c r="O753">
        <v>2</v>
      </c>
      <c r="P753" t="s">
        <v>53</v>
      </c>
      <c r="Q753" t="s">
        <v>75</v>
      </c>
      <c r="R753" t="s">
        <v>52</v>
      </c>
      <c r="S753">
        <v>8847</v>
      </c>
      <c r="T753" t="str" cm="1">
        <f t="array" ref="T753">_xlfn.IFS(S753&gt;=10000,"High (&gt;10k)",S753&gt;=5000,"Medium (5k-10k)",S753&lt;5000,"Low (&lt;5k)")</f>
        <v>Medium (5k-10k)</v>
      </c>
      <c r="U753">
        <v>13934</v>
      </c>
      <c r="V753">
        <v>2</v>
      </c>
      <c r="W753" t="s">
        <v>35</v>
      </c>
      <c r="X753">
        <v>11</v>
      </c>
      <c r="Y753">
        <v>3</v>
      </c>
      <c r="Z753">
        <v>3</v>
      </c>
      <c r="AA753">
        <v>1</v>
      </c>
      <c r="AB753">
        <v>13</v>
      </c>
      <c r="AC753">
        <v>2</v>
      </c>
      <c r="AD753" t="s">
        <v>74</v>
      </c>
      <c r="AE753">
        <v>3</v>
      </c>
      <c r="AF753" t="str" cm="1">
        <f t="array" ref="AF753">_xlfn.IFS(AE753&gt;=10,"Veteran (10y+)",AE753&gt;=3,"Established (3-10y)",AE753&lt;3,"New Hire (&lt;3y)")</f>
        <v>Established (3-10y)</v>
      </c>
      <c r="AG753">
        <v>2</v>
      </c>
      <c r="AH753">
        <v>0</v>
      </c>
      <c r="AI753">
        <v>2</v>
      </c>
    </row>
    <row r="754" spans="1:35">
      <c r="A754">
        <v>36</v>
      </c>
      <c r="B754" t="str">
        <f t="shared" si="11"/>
        <v>Middle Aged</v>
      </c>
      <c r="C754">
        <v>0</v>
      </c>
      <c r="D754" t="s">
        <v>55</v>
      </c>
      <c r="E754">
        <v>427</v>
      </c>
      <c r="F754" t="s">
        <v>45</v>
      </c>
      <c r="G754">
        <v>8</v>
      </c>
      <c r="H754" t="str" cm="1">
        <f t="array" ref="H754">_xlfn.IFS(G754&gt;15,"Long Commute",G754&gt;5,"Moderate",G754&lt;=5,"Near Office")</f>
        <v>Moderate</v>
      </c>
      <c r="I754" t="s">
        <v>72</v>
      </c>
      <c r="J754" t="s">
        <v>38</v>
      </c>
      <c r="K754">
        <v>1</v>
      </c>
      <c r="L754" t="s">
        <v>39</v>
      </c>
      <c r="M754">
        <v>63</v>
      </c>
      <c r="N754">
        <v>4</v>
      </c>
      <c r="O754">
        <v>3</v>
      </c>
      <c r="P754" t="s">
        <v>58</v>
      </c>
      <c r="Q754" t="s">
        <v>82</v>
      </c>
      <c r="R754" t="s">
        <v>48</v>
      </c>
      <c r="S754">
        <v>11713</v>
      </c>
      <c r="T754" t="str" cm="1">
        <f t="array" ref="T754">_xlfn.IFS(S754&gt;=10000,"High (&gt;10k)",S754&gt;=5000,"Medium (5k-10k)",S754&lt;5000,"Low (&lt;5k)")</f>
        <v>High (&gt;10k)</v>
      </c>
      <c r="U754">
        <v>20335</v>
      </c>
      <c r="V754">
        <v>9</v>
      </c>
      <c r="W754" t="s">
        <v>43</v>
      </c>
      <c r="X754">
        <v>14</v>
      </c>
      <c r="Y754">
        <v>3</v>
      </c>
      <c r="Z754">
        <v>1</v>
      </c>
      <c r="AA754">
        <v>1</v>
      </c>
      <c r="AB754">
        <v>10</v>
      </c>
      <c r="AC754">
        <v>2</v>
      </c>
      <c r="AD754" t="s">
        <v>74</v>
      </c>
      <c r="AE754">
        <v>8</v>
      </c>
      <c r="AF754" t="str" cm="1">
        <f t="array" ref="AF754">_xlfn.IFS(AE754&gt;=10,"Veteran (10y+)",AE754&gt;=3,"Established (3-10y)",AE754&lt;3,"New Hire (&lt;3y)")</f>
        <v>Established (3-10y)</v>
      </c>
      <c r="AG754">
        <v>7</v>
      </c>
      <c r="AH754">
        <v>0</v>
      </c>
      <c r="AI754">
        <v>5</v>
      </c>
    </row>
    <row r="755" spans="1:35">
      <c r="A755">
        <v>36</v>
      </c>
      <c r="B755" t="str">
        <f t="shared" si="11"/>
        <v>Middle Aged</v>
      </c>
      <c r="C755">
        <v>0</v>
      </c>
      <c r="D755" t="s">
        <v>55</v>
      </c>
      <c r="E755">
        <v>1434</v>
      </c>
      <c r="F755" t="s">
        <v>37</v>
      </c>
      <c r="G755">
        <v>8</v>
      </c>
      <c r="H755" t="str" cm="1">
        <f t="array" ref="H755">_xlfn.IFS(G755&gt;15,"Long Commute",G755&gt;5,"Moderate",G755&lt;=5,"Near Office")</f>
        <v>Moderate</v>
      </c>
      <c r="I755" t="s">
        <v>83</v>
      </c>
      <c r="J755" t="s">
        <v>38</v>
      </c>
      <c r="K755">
        <v>1</v>
      </c>
      <c r="L755" t="s">
        <v>46</v>
      </c>
      <c r="M755">
        <v>76</v>
      </c>
      <c r="N755">
        <v>2</v>
      </c>
      <c r="O755">
        <v>3</v>
      </c>
      <c r="P755" t="s">
        <v>40</v>
      </c>
      <c r="Q755" t="s">
        <v>82</v>
      </c>
      <c r="R755" t="s">
        <v>41</v>
      </c>
      <c r="S755">
        <v>7587</v>
      </c>
      <c r="T755" t="str" cm="1">
        <f t="array" ref="T755">_xlfn.IFS(S755&gt;=10000,"High (&gt;10k)",S755&gt;=5000,"Medium (5k-10k)",S755&lt;5000,"Low (&lt;5k)")</f>
        <v>Medium (5k-10k)</v>
      </c>
      <c r="U755">
        <v>14229</v>
      </c>
      <c r="V755">
        <v>1</v>
      </c>
      <c r="W755" t="s">
        <v>43</v>
      </c>
      <c r="X755">
        <v>15</v>
      </c>
      <c r="Y755">
        <v>3</v>
      </c>
      <c r="Z755">
        <v>2</v>
      </c>
      <c r="AA755">
        <v>0</v>
      </c>
      <c r="AB755">
        <v>10</v>
      </c>
      <c r="AC755">
        <v>1</v>
      </c>
      <c r="AD755" t="s">
        <v>74</v>
      </c>
      <c r="AE755">
        <v>10</v>
      </c>
      <c r="AF755" t="str" cm="1">
        <f t="array" ref="AF755">_xlfn.IFS(AE755&gt;=10,"Veteran (10y+)",AE755&gt;=3,"Established (3-10y)",AE755&lt;3,"New Hire (&lt;3y)")</f>
        <v>Veteran (10y+)</v>
      </c>
      <c r="AG755">
        <v>7</v>
      </c>
      <c r="AH755">
        <v>0</v>
      </c>
      <c r="AI755">
        <v>9</v>
      </c>
    </row>
    <row r="756" spans="1:35">
      <c r="A756">
        <v>36</v>
      </c>
      <c r="B756" t="str">
        <f t="shared" si="11"/>
        <v>Middle Aged</v>
      </c>
      <c r="C756">
        <v>0</v>
      </c>
      <c r="D756" t="s">
        <v>36</v>
      </c>
      <c r="E756">
        <v>676</v>
      </c>
      <c r="F756" t="s">
        <v>45</v>
      </c>
      <c r="G756">
        <v>1</v>
      </c>
      <c r="H756" t="str" cm="1">
        <f t="array" ref="H756">_xlfn.IFS(G756&gt;15,"Long Commute",G756&gt;5,"Moderate",G756&lt;=5,"Near Office")</f>
        <v>Near Office</v>
      </c>
      <c r="I756" t="s">
        <v>72</v>
      </c>
      <c r="J756" t="s">
        <v>49</v>
      </c>
      <c r="K756">
        <v>3</v>
      </c>
      <c r="L756" t="s">
        <v>39</v>
      </c>
      <c r="M756">
        <v>35</v>
      </c>
      <c r="N756">
        <v>3</v>
      </c>
      <c r="O756">
        <v>2</v>
      </c>
      <c r="P756" t="s">
        <v>53</v>
      </c>
      <c r="Q756" t="s">
        <v>75</v>
      </c>
      <c r="R756" t="s">
        <v>48</v>
      </c>
      <c r="S756">
        <v>5228</v>
      </c>
      <c r="T756" t="str" cm="1">
        <f t="array" ref="T756">_xlfn.IFS(S756&gt;=10000,"High (&gt;10k)",S756&gt;=5000,"Medium (5k-10k)",S756&lt;5000,"Low (&lt;5k)")</f>
        <v>Medium (5k-10k)</v>
      </c>
      <c r="U756">
        <v>23361</v>
      </c>
      <c r="V756">
        <v>0</v>
      </c>
      <c r="W756" t="s">
        <v>43</v>
      </c>
      <c r="X756">
        <v>15</v>
      </c>
      <c r="Y756">
        <v>3</v>
      </c>
      <c r="Z756">
        <v>1</v>
      </c>
      <c r="AA756">
        <v>1</v>
      </c>
      <c r="AB756">
        <v>10</v>
      </c>
      <c r="AC756">
        <v>2</v>
      </c>
      <c r="AD756" t="s">
        <v>74</v>
      </c>
      <c r="AE756">
        <v>9</v>
      </c>
      <c r="AF756" t="str" cm="1">
        <f t="array" ref="AF756">_xlfn.IFS(AE756&gt;=10,"Veteran (10y+)",AE756&gt;=3,"Established (3-10y)",AE756&lt;3,"New Hire (&lt;3y)")</f>
        <v>Established (3-10y)</v>
      </c>
      <c r="AG756">
        <v>7</v>
      </c>
      <c r="AH756">
        <v>0</v>
      </c>
      <c r="AI756">
        <v>5</v>
      </c>
    </row>
    <row r="757" spans="1:35">
      <c r="A757">
        <v>36</v>
      </c>
      <c r="B757" t="str">
        <f t="shared" si="11"/>
        <v>Middle Aged</v>
      </c>
      <c r="C757">
        <v>0</v>
      </c>
      <c r="D757" t="s">
        <v>36</v>
      </c>
      <c r="E757">
        <v>1041</v>
      </c>
      <c r="F757" t="s">
        <v>61</v>
      </c>
      <c r="G757">
        <v>13</v>
      </c>
      <c r="H757" t="str" cm="1">
        <f t="array" ref="H757">_xlfn.IFS(G757&gt;15,"Long Commute",G757&gt;5,"Moderate",G757&lt;=5,"Near Office")</f>
        <v>Moderate</v>
      </c>
      <c r="I757" t="s">
        <v>72</v>
      </c>
      <c r="J757" t="s">
        <v>61</v>
      </c>
      <c r="K757">
        <v>3</v>
      </c>
      <c r="L757" t="s">
        <v>46</v>
      </c>
      <c r="M757">
        <v>36</v>
      </c>
      <c r="N757">
        <v>3</v>
      </c>
      <c r="O757">
        <v>1</v>
      </c>
      <c r="P757" t="s">
        <v>61</v>
      </c>
      <c r="Q757" t="s">
        <v>75</v>
      </c>
      <c r="R757" t="s">
        <v>48</v>
      </c>
      <c r="S757">
        <v>2143</v>
      </c>
      <c r="T757" t="str" cm="1">
        <f t="array" ref="T757">_xlfn.IFS(S757&gt;=10000,"High (&gt;10k)",S757&gt;=5000,"Medium (5k-10k)",S757&lt;5000,"Low (&lt;5k)")</f>
        <v>Low (&lt;5k)</v>
      </c>
      <c r="U757">
        <v>25527</v>
      </c>
      <c r="V757">
        <v>4</v>
      </c>
      <c r="W757" t="s">
        <v>43</v>
      </c>
      <c r="X757">
        <v>13</v>
      </c>
      <c r="Y757">
        <v>3</v>
      </c>
      <c r="Z757">
        <v>2</v>
      </c>
      <c r="AA757">
        <v>1</v>
      </c>
      <c r="AB757">
        <v>8</v>
      </c>
      <c r="AC757">
        <v>2</v>
      </c>
      <c r="AD757" t="s">
        <v>74</v>
      </c>
      <c r="AE757">
        <v>5</v>
      </c>
      <c r="AF757" t="str" cm="1">
        <f t="array" ref="AF757">_xlfn.IFS(AE757&gt;=10,"Veteran (10y+)",AE757&gt;=3,"Established (3-10y)",AE757&lt;3,"New Hire (&lt;3y)")</f>
        <v>Established (3-10y)</v>
      </c>
      <c r="AG757">
        <v>2</v>
      </c>
      <c r="AH757">
        <v>0</v>
      </c>
      <c r="AI757">
        <v>4</v>
      </c>
    </row>
    <row r="758" spans="1:35">
      <c r="A758">
        <v>36</v>
      </c>
      <c r="B758" t="str">
        <f t="shared" si="11"/>
        <v>Middle Aged</v>
      </c>
      <c r="C758">
        <v>0</v>
      </c>
      <c r="D758" t="s">
        <v>36</v>
      </c>
      <c r="E758">
        <v>928</v>
      </c>
      <c r="F758" t="s">
        <v>37</v>
      </c>
      <c r="G758">
        <v>1</v>
      </c>
      <c r="H758" t="str" cm="1">
        <f t="array" ref="H758">_xlfn.IFS(G758&gt;15,"Long Commute",G758&gt;5,"Moderate",G758&lt;=5,"Near Office")</f>
        <v>Near Office</v>
      </c>
      <c r="I758" t="s">
        <v>76</v>
      </c>
      <c r="J758" t="s">
        <v>38</v>
      </c>
      <c r="K758">
        <v>2</v>
      </c>
      <c r="L758" t="s">
        <v>46</v>
      </c>
      <c r="M758">
        <v>56</v>
      </c>
      <c r="N758">
        <v>3</v>
      </c>
      <c r="O758">
        <v>2</v>
      </c>
      <c r="P758" t="s">
        <v>40</v>
      </c>
      <c r="Q758" t="s">
        <v>77</v>
      </c>
      <c r="R758" t="s">
        <v>48</v>
      </c>
      <c r="S758">
        <v>6201</v>
      </c>
      <c r="T758" t="str" cm="1">
        <f t="array" ref="T758">_xlfn.IFS(S758&gt;=10000,"High (&gt;10k)",S758&gt;=5000,"Medium (5k-10k)",S758&lt;5000,"Low (&lt;5k)")</f>
        <v>Medium (5k-10k)</v>
      </c>
      <c r="U758">
        <v>2823</v>
      </c>
      <c r="V758">
        <v>1</v>
      </c>
      <c r="W758" t="s">
        <v>35</v>
      </c>
      <c r="X758">
        <v>14</v>
      </c>
      <c r="Y758">
        <v>3</v>
      </c>
      <c r="Z758">
        <v>4</v>
      </c>
      <c r="AA758">
        <v>1</v>
      </c>
      <c r="AB758">
        <v>18</v>
      </c>
      <c r="AC758">
        <v>1</v>
      </c>
      <c r="AD758" t="s">
        <v>81</v>
      </c>
      <c r="AE758">
        <v>18</v>
      </c>
      <c r="AF758" t="str" cm="1">
        <f t="array" ref="AF758">_xlfn.IFS(AE758&gt;=10,"Veteran (10y+)",AE758&gt;=3,"Established (3-10y)",AE758&lt;3,"New Hire (&lt;3y)")</f>
        <v>Veteran (10y+)</v>
      </c>
      <c r="AG758">
        <v>14</v>
      </c>
      <c r="AH758">
        <v>4</v>
      </c>
      <c r="AI758">
        <v>11</v>
      </c>
    </row>
    <row r="759" spans="1:35">
      <c r="A759">
        <v>36</v>
      </c>
      <c r="B759" t="str">
        <f t="shared" si="11"/>
        <v>Middle Aged</v>
      </c>
      <c r="C759">
        <v>0</v>
      </c>
      <c r="D759" t="s">
        <v>36</v>
      </c>
      <c r="E759">
        <v>1278</v>
      </c>
      <c r="F759" t="s">
        <v>61</v>
      </c>
      <c r="G759">
        <v>8</v>
      </c>
      <c r="H759" t="str" cm="1">
        <f t="array" ref="H759">_xlfn.IFS(G759&gt;15,"Long Commute",G759&gt;5,"Moderate",G759&lt;=5,"Near Office")</f>
        <v>Moderate</v>
      </c>
      <c r="I759" t="s">
        <v>72</v>
      </c>
      <c r="J759" t="s">
        <v>38</v>
      </c>
      <c r="K759">
        <v>1</v>
      </c>
      <c r="L759" t="s">
        <v>46</v>
      </c>
      <c r="M759">
        <v>77</v>
      </c>
      <c r="N759">
        <v>2</v>
      </c>
      <c r="O759">
        <v>1</v>
      </c>
      <c r="P759" t="s">
        <v>61</v>
      </c>
      <c r="Q759" t="s">
        <v>82</v>
      </c>
      <c r="R759" t="s">
        <v>48</v>
      </c>
      <c r="S759">
        <v>2342</v>
      </c>
      <c r="T759" t="str" cm="1">
        <f t="array" ref="T759">_xlfn.IFS(S759&gt;=10000,"High (&gt;10k)",S759&gt;=5000,"Medium (5k-10k)",S759&lt;5000,"Low (&lt;5k)")</f>
        <v>Low (&lt;5k)</v>
      </c>
      <c r="U759">
        <v>8635</v>
      </c>
      <c r="V759">
        <v>0</v>
      </c>
      <c r="W759" t="s">
        <v>43</v>
      </c>
      <c r="X759">
        <v>21</v>
      </c>
      <c r="Y759">
        <v>4</v>
      </c>
      <c r="Z759">
        <v>3</v>
      </c>
      <c r="AA759">
        <v>0</v>
      </c>
      <c r="AB759">
        <v>6</v>
      </c>
      <c r="AC759">
        <v>3</v>
      </c>
      <c r="AD759" t="s">
        <v>74</v>
      </c>
      <c r="AE759">
        <v>5</v>
      </c>
      <c r="AF759" t="str" cm="1">
        <f t="array" ref="AF759">_xlfn.IFS(AE759&gt;=10,"Veteran (10y+)",AE759&gt;=3,"Established (3-10y)",AE759&lt;3,"New Hire (&lt;3y)")</f>
        <v>Established (3-10y)</v>
      </c>
      <c r="AG759">
        <v>4</v>
      </c>
      <c r="AH759">
        <v>0</v>
      </c>
      <c r="AI759">
        <v>3</v>
      </c>
    </row>
    <row r="760" spans="1:35">
      <c r="A760">
        <v>36</v>
      </c>
      <c r="B760" t="str">
        <f t="shared" si="11"/>
        <v>Middle Aged</v>
      </c>
      <c r="C760">
        <v>0</v>
      </c>
      <c r="D760" t="s">
        <v>36</v>
      </c>
      <c r="E760">
        <v>1425</v>
      </c>
      <c r="F760" t="s">
        <v>45</v>
      </c>
      <c r="G760">
        <v>14</v>
      </c>
      <c r="H760" t="str" cm="1">
        <f t="array" ref="H760">_xlfn.IFS(G760&gt;15,"Long Commute",G760&gt;5,"Moderate",G760&lt;=5,"Near Office")</f>
        <v>Moderate</v>
      </c>
      <c r="I760" t="s">
        <v>78</v>
      </c>
      <c r="J760" t="s">
        <v>38</v>
      </c>
      <c r="K760">
        <v>3</v>
      </c>
      <c r="L760" t="s">
        <v>46</v>
      </c>
      <c r="M760">
        <v>68</v>
      </c>
      <c r="N760">
        <v>3</v>
      </c>
      <c r="O760">
        <v>2</v>
      </c>
      <c r="P760" t="s">
        <v>54</v>
      </c>
      <c r="Q760" t="s">
        <v>77</v>
      </c>
      <c r="R760" t="s">
        <v>48</v>
      </c>
      <c r="S760">
        <v>6586</v>
      </c>
      <c r="T760" t="str" cm="1">
        <f t="array" ref="T760">_xlfn.IFS(S760&gt;=10000,"High (&gt;10k)",S760&gt;=5000,"Medium (5k-10k)",S760&lt;5000,"Low (&lt;5k)")</f>
        <v>Medium (5k-10k)</v>
      </c>
      <c r="U760">
        <v>4821</v>
      </c>
      <c r="V760">
        <v>0</v>
      </c>
      <c r="W760" t="s">
        <v>35</v>
      </c>
      <c r="X760">
        <v>17</v>
      </c>
      <c r="Y760">
        <v>3</v>
      </c>
      <c r="Z760">
        <v>1</v>
      </c>
      <c r="AA760">
        <v>1</v>
      </c>
      <c r="AB760">
        <v>17</v>
      </c>
      <c r="AC760">
        <v>2</v>
      </c>
      <c r="AD760" t="s">
        <v>81</v>
      </c>
      <c r="AE760">
        <v>16</v>
      </c>
      <c r="AF760" t="str" cm="1">
        <f t="array" ref="AF760">_xlfn.IFS(AE760&gt;=10,"Veteran (10y+)",AE760&gt;=3,"Established (3-10y)",AE760&lt;3,"New Hire (&lt;3y)")</f>
        <v>Veteran (10y+)</v>
      </c>
      <c r="AG760">
        <v>8</v>
      </c>
      <c r="AH760">
        <v>4</v>
      </c>
      <c r="AI760">
        <v>11</v>
      </c>
    </row>
    <row r="761" spans="1:35">
      <c r="A761">
        <v>36</v>
      </c>
      <c r="B761" t="str">
        <f t="shared" si="11"/>
        <v>Middle Aged</v>
      </c>
      <c r="C761">
        <v>0</v>
      </c>
      <c r="D761" t="s">
        <v>36</v>
      </c>
      <c r="E761">
        <v>188</v>
      </c>
      <c r="F761" t="s">
        <v>45</v>
      </c>
      <c r="G761">
        <v>7</v>
      </c>
      <c r="H761" t="str" cm="1">
        <f t="array" ref="H761">_xlfn.IFS(G761&gt;15,"Long Commute",G761&gt;5,"Moderate",G761&lt;=5,"Near Office")</f>
        <v>Moderate</v>
      </c>
      <c r="I761" t="s">
        <v>83</v>
      </c>
      <c r="J761" t="s">
        <v>49</v>
      </c>
      <c r="K761">
        <v>2</v>
      </c>
      <c r="L761" t="s">
        <v>46</v>
      </c>
      <c r="M761">
        <v>65</v>
      </c>
      <c r="N761">
        <v>3</v>
      </c>
      <c r="O761">
        <v>1</v>
      </c>
      <c r="P761" t="s">
        <v>47</v>
      </c>
      <c r="Q761" t="s">
        <v>77</v>
      </c>
      <c r="R761" t="s">
        <v>41</v>
      </c>
      <c r="S761">
        <v>4678</v>
      </c>
      <c r="T761" t="str" cm="1">
        <f t="array" ref="T761">_xlfn.IFS(S761&gt;=10000,"High (&gt;10k)",S761&gt;=5000,"Medium (5k-10k)",S761&lt;5000,"Low (&lt;5k)")</f>
        <v>Low (&lt;5k)</v>
      </c>
      <c r="U761">
        <v>23293</v>
      </c>
      <c r="V761">
        <v>2</v>
      </c>
      <c r="W761" t="s">
        <v>43</v>
      </c>
      <c r="X761">
        <v>18</v>
      </c>
      <c r="Y761">
        <v>3</v>
      </c>
      <c r="Z761">
        <v>3</v>
      </c>
      <c r="AA761">
        <v>0</v>
      </c>
      <c r="AB761">
        <v>8</v>
      </c>
      <c r="AC761">
        <v>6</v>
      </c>
      <c r="AD761" t="s">
        <v>74</v>
      </c>
      <c r="AE761">
        <v>6</v>
      </c>
      <c r="AF761" t="str" cm="1">
        <f t="array" ref="AF761">_xlfn.IFS(AE761&gt;=10,"Veteran (10y+)",AE761&gt;=3,"Established (3-10y)",AE761&lt;3,"New Hire (&lt;3y)")</f>
        <v>Established (3-10y)</v>
      </c>
      <c r="AG761">
        <v>2</v>
      </c>
      <c r="AH761">
        <v>0</v>
      </c>
      <c r="AI761">
        <v>1</v>
      </c>
    </row>
    <row r="762" spans="1:35">
      <c r="A762">
        <v>36</v>
      </c>
      <c r="B762" t="str">
        <f t="shared" si="11"/>
        <v>Middle Aged</v>
      </c>
      <c r="C762">
        <v>0</v>
      </c>
      <c r="D762" t="s">
        <v>36</v>
      </c>
      <c r="E762">
        <v>938</v>
      </c>
      <c r="F762" t="s">
        <v>45</v>
      </c>
      <c r="G762">
        <v>2</v>
      </c>
      <c r="H762" t="str" cm="1">
        <f t="array" ref="H762">_xlfn.IFS(G762&gt;15,"Long Commute",G762&gt;5,"Moderate",G762&lt;=5,"Near Office")</f>
        <v>Near Office</v>
      </c>
      <c r="I762" t="s">
        <v>83</v>
      </c>
      <c r="J762" t="s">
        <v>51</v>
      </c>
      <c r="K762">
        <v>3</v>
      </c>
      <c r="L762" t="s">
        <v>46</v>
      </c>
      <c r="M762">
        <v>79</v>
      </c>
      <c r="N762">
        <v>3</v>
      </c>
      <c r="O762">
        <v>1</v>
      </c>
      <c r="P762" t="s">
        <v>50</v>
      </c>
      <c r="Q762" t="s">
        <v>73</v>
      </c>
      <c r="R762" t="s">
        <v>41</v>
      </c>
      <c r="S762">
        <v>2519</v>
      </c>
      <c r="T762" t="str" cm="1">
        <f t="array" ref="T762">_xlfn.IFS(S762&gt;=10000,"High (&gt;10k)",S762&gt;=5000,"Medium (5k-10k)",S762&lt;5000,"Low (&lt;5k)")</f>
        <v>Low (&lt;5k)</v>
      </c>
      <c r="U762">
        <v>12287</v>
      </c>
      <c r="V762">
        <v>4</v>
      </c>
      <c r="W762" t="s">
        <v>43</v>
      </c>
      <c r="X762">
        <v>21</v>
      </c>
      <c r="Y762">
        <v>4</v>
      </c>
      <c r="Z762">
        <v>3</v>
      </c>
      <c r="AA762">
        <v>0</v>
      </c>
      <c r="AB762">
        <v>16</v>
      </c>
      <c r="AC762">
        <v>6</v>
      </c>
      <c r="AD762" t="s">
        <v>74</v>
      </c>
      <c r="AE762">
        <v>11</v>
      </c>
      <c r="AF762" t="str" cm="1">
        <f t="array" ref="AF762">_xlfn.IFS(AE762&gt;=10,"Veteran (10y+)",AE762&gt;=3,"Established (3-10y)",AE762&lt;3,"New Hire (&lt;3y)")</f>
        <v>Veteran (10y+)</v>
      </c>
      <c r="AG762">
        <v>8</v>
      </c>
      <c r="AH762">
        <v>3</v>
      </c>
      <c r="AI762">
        <v>9</v>
      </c>
    </row>
    <row r="763" spans="1:35">
      <c r="A763">
        <v>36</v>
      </c>
      <c r="B763" t="str">
        <f t="shared" si="11"/>
        <v>Middle Aged</v>
      </c>
      <c r="C763">
        <v>1</v>
      </c>
      <c r="D763" t="s">
        <v>36</v>
      </c>
      <c r="E763">
        <v>530</v>
      </c>
      <c r="F763" t="s">
        <v>37</v>
      </c>
      <c r="G763">
        <v>3</v>
      </c>
      <c r="H763" t="str" cm="1">
        <f t="array" ref="H763">_xlfn.IFS(G763&gt;15,"Long Commute",G763&gt;5,"Moderate",G763&lt;=5,"Near Office")</f>
        <v>Near Office</v>
      </c>
      <c r="I763" t="s">
        <v>78</v>
      </c>
      <c r="J763" t="s">
        <v>38</v>
      </c>
      <c r="K763">
        <v>3</v>
      </c>
      <c r="L763" t="s">
        <v>46</v>
      </c>
      <c r="M763">
        <v>51</v>
      </c>
      <c r="N763">
        <v>2</v>
      </c>
      <c r="O763">
        <v>3</v>
      </c>
      <c r="P763" t="s">
        <v>40</v>
      </c>
      <c r="Q763" t="s">
        <v>77</v>
      </c>
      <c r="R763" t="s">
        <v>48</v>
      </c>
      <c r="S763">
        <v>10325</v>
      </c>
      <c r="T763" t="str" cm="1">
        <f t="array" ref="T763">_xlfn.IFS(S763&gt;=10000,"High (&gt;10k)",S763&gt;=5000,"Medium (5k-10k)",S763&lt;5000,"Low (&lt;5k)")</f>
        <v>High (&gt;10k)</v>
      </c>
      <c r="U763">
        <v>5518</v>
      </c>
      <c r="V763">
        <v>1</v>
      </c>
      <c r="W763" t="s">
        <v>35</v>
      </c>
      <c r="X763">
        <v>11</v>
      </c>
      <c r="Y763">
        <v>3</v>
      </c>
      <c r="Z763">
        <v>1</v>
      </c>
      <c r="AA763">
        <v>1</v>
      </c>
      <c r="AB763">
        <v>16</v>
      </c>
      <c r="AC763">
        <v>6</v>
      </c>
      <c r="AD763" t="s">
        <v>74</v>
      </c>
      <c r="AE763">
        <v>16</v>
      </c>
      <c r="AF763" t="str" cm="1">
        <f t="array" ref="AF763">_xlfn.IFS(AE763&gt;=10,"Veteran (10y+)",AE763&gt;=3,"Established (3-10y)",AE763&lt;3,"New Hire (&lt;3y)")</f>
        <v>Veteran (10y+)</v>
      </c>
      <c r="AG763">
        <v>7</v>
      </c>
      <c r="AH763">
        <v>3</v>
      </c>
      <c r="AI763">
        <v>7</v>
      </c>
    </row>
    <row r="764" spans="1:35">
      <c r="A764">
        <v>36</v>
      </c>
      <c r="B764" t="str">
        <f t="shared" si="11"/>
        <v>Middle Aged</v>
      </c>
      <c r="C764">
        <v>0</v>
      </c>
      <c r="D764" t="s">
        <v>55</v>
      </c>
      <c r="E764">
        <v>1229</v>
      </c>
      <c r="F764" t="s">
        <v>37</v>
      </c>
      <c r="G764">
        <v>8</v>
      </c>
      <c r="H764" t="str" cm="1">
        <f t="array" ref="H764">_xlfn.IFS(G764&gt;15,"Long Commute",G764&gt;5,"Moderate",G764&lt;=5,"Near Office")</f>
        <v>Moderate</v>
      </c>
      <c r="I764" t="s">
        <v>83</v>
      </c>
      <c r="J764" t="s">
        <v>60</v>
      </c>
      <c r="K764">
        <v>1</v>
      </c>
      <c r="L764" t="s">
        <v>46</v>
      </c>
      <c r="M764">
        <v>84</v>
      </c>
      <c r="N764">
        <v>3</v>
      </c>
      <c r="O764">
        <v>2</v>
      </c>
      <c r="P764" t="s">
        <v>40</v>
      </c>
      <c r="Q764" t="s">
        <v>77</v>
      </c>
      <c r="R764" t="s">
        <v>52</v>
      </c>
      <c r="S764">
        <v>5079</v>
      </c>
      <c r="T764" t="str" cm="1">
        <f t="array" ref="T764">_xlfn.IFS(S764&gt;=10000,"High (&gt;10k)",S764&gt;=5000,"Medium (5k-10k)",S764&lt;5000,"Low (&lt;5k)")</f>
        <v>Medium (5k-10k)</v>
      </c>
      <c r="U764">
        <v>25952</v>
      </c>
      <c r="V764">
        <v>4</v>
      </c>
      <c r="W764" t="s">
        <v>43</v>
      </c>
      <c r="X764">
        <v>13</v>
      </c>
      <c r="Y764">
        <v>3</v>
      </c>
      <c r="Z764">
        <v>4</v>
      </c>
      <c r="AA764">
        <v>2</v>
      </c>
      <c r="AB764">
        <v>12</v>
      </c>
      <c r="AC764">
        <v>3</v>
      </c>
      <c r="AD764" t="s">
        <v>74</v>
      </c>
      <c r="AE764">
        <v>7</v>
      </c>
      <c r="AF764" t="str" cm="1">
        <f t="array" ref="AF764">_xlfn.IFS(AE764&gt;=10,"Veteran (10y+)",AE764&gt;=3,"Established (3-10y)",AE764&lt;3,"New Hire (&lt;3y)")</f>
        <v>Established (3-10y)</v>
      </c>
      <c r="AG764">
        <v>7</v>
      </c>
      <c r="AH764">
        <v>0</v>
      </c>
      <c r="AI764">
        <v>7</v>
      </c>
    </row>
    <row r="765" spans="1:35">
      <c r="A765">
        <v>36</v>
      </c>
      <c r="B765" t="str">
        <f t="shared" si="11"/>
        <v>Middle Aged</v>
      </c>
      <c r="C765">
        <v>1</v>
      </c>
      <c r="D765" t="s">
        <v>36</v>
      </c>
      <c r="E765">
        <v>885</v>
      </c>
      <c r="F765" t="s">
        <v>45</v>
      </c>
      <c r="G765">
        <v>16</v>
      </c>
      <c r="H765" t="str" cm="1">
        <f t="array" ref="H765">_xlfn.IFS(G765&gt;15,"Long Commute",G765&gt;5,"Moderate",G765&lt;=5,"Near Office")</f>
        <v>Long Commute</v>
      </c>
      <c r="I765" t="s">
        <v>83</v>
      </c>
      <c r="J765" t="s">
        <v>38</v>
      </c>
      <c r="K765">
        <v>3</v>
      </c>
      <c r="L765" t="s">
        <v>39</v>
      </c>
      <c r="M765">
        <v>43</v>
      </c>
      <c r="N765">
        <v>4</v>
      </c>
      <c r="O765">
        <v>1</v>
      </c>
      <c r="P765" t="s">
        <v>50</v>
      </c>
      <c r="Q765" t="s">
        <v>82</v>
      </c>
      <c r="R765" t="s">
        <v>41</v>
      </c>
      <c r="S765">
        <v>2743</v>
      </c>
      <c r="T765" t="str" cm="1">
        <f t="array" ref="T765">_xlfn.IFS(S765&gt;=10000,"High (&gt;10k)",S765&gt;=5000,"Medium (5k-10k)",S765&lt;5000,"Low (&lt;5k)")</f>
        <v>Low (&lt;5k)</v>
      </c>
      <c r="U765">
        <v>8269</v>
      </c>
      <c r="V765">
        <v>1</v>
      </c>
      <c r="W765" t="s">
        <v>43</v>
      </c>
      <c r="X765">
        <v>16</v>
      </c>
      <c r="Y765">
        <v>3</v>
      </c>
      <c r="Z765">
        <v>3</v>
      </c>
      <c r="AA765">
        <v>0</v>
      </c>
      <c r="AB765">
        <v>18</v>
      </c>
      <c r="AC765">
        <v>1</v>
      </c>
      <c r="AD765" t="s">
        <v>74</v>
      </c>
      <c r="AE765">
        <v>17</v>
      </c>
      <c r="AF765" t="str" cm="1">
        <f t="array" ref="AF765">_xlfn.IFS(AE765&gt;=10,"Veteran (10y+)",AE765&gt;=3,"Established (3-10y)",AE765&lt;3,"New Hire (&lt;3y)")</f>
        <v>Veteran (10y+)</v>
      </c>
      <c r="AG765">
        <v>13</v>
      </c>
      <c r="AH765">
        <v>15</v>
      </c>
      <c r="AI765">
        <v>14</v>
      </c>
    </row>
    <row r="766" spans="1:35">
      <c r="A766">
        <v>36</v>
      </c>
      <c r="B766" t="str">
        <f t="shared" si="11"/>
        <v>Middle Aged</v>
      </c>
      <c r="C766">
        <v>1</v>
      </c>
      <c r="D766" t="s">
        <v>36</v>
      </c>
      <c r="E766">
        <v>660</v>
      </c>
      <c r="F766" t="s">
        <v>45</v>
      </c>
      <c r="G766">
        <v>15</v>
      </c>
      <c r="H766" t="str" cm="1">
        <f t="array" ref="H766">_xlfn.IFS(G766&gt;15,"Long Commute",G766&gt;5,"Moderate",G766&lt;=5,"Near Office")</f>
        <v>Moderate</v>
      </c>
      <c r="I766" t="s">
        <v>72</v>
      </c>
      <c r="J766" t="s">
        <v>49</v>
      </c>
      <c r="K766">
        <v>1</v>
      </c>
      <c r="L766" t="s">
        <v>46</v>
      </c>
      <c r="M766">
        <v>81</v>
      </c>
      <c r="N766">
        <v>3</v>
      </c>
      <c r="O766">
        <v>2</v>
      </c>
      <c r="P766" t="s">
        <v>50</v>
      </c>
      <c r="Q766" t="s">
        <v>73</v>
      </c>
      <c r="R766" t="s">
        <v>52</v>
      </c>
      <c r="S766">
        <v>4834</v>
      </c>
      <c r="T766" t="str" cm="1">
        <f t="array" ref="T766">_xlfn.IFS(S766&gt;=10000,"High (&gt;10k)",S766&gt;=5000,"Medium (5k-10k)",S766&lt;5000,"Low (&lt;5k)")</f>
        <v>Low (&lt;5k)</v>
      </c>
      <c r="U766">
        <v>7858</v>
      </c>
      <c r="V766">
        <v>7</v>
      </c>
      <c r="W766" t="s">
        <v>43</v>
      </c>
      <c r="X766">
        <v>14</v>
      </c>
      <c r="Y766">
        <v>3</v>
      </c>
      <c r="Z766">
        <v>2</v>
      </c>
      <c r="AA766">
        <v>1</v>
      </c>
      <c r="AB766">
        <v>9</v>
      </c>
      <c r="AC766">
        <v>3</v>
      </c>
      <c r="AD766" t="s">
        <v>81</v>
      </c>
      <c r="AE766">
        <v>1</v>
      </c>
      <c r="AF766" t="str" cm="1">
        <f t="array" ref="AF766">_xlfn.IFS(AE766&gt;=10,"Veteran (10y+)",AE766&gt;=3,"Established (3-10y)",AE766&lt;3,"New Hire (&lt;3y)")</f>
        <v>New Hire (&lt;3y)</v>
      </c>
      <c r="AG766">
        <v>0</v>
      </c>
      <c r="AH766">
        <v>0</v>
      </c>
      <c r="AI766">
        <v>0</v>
      </c>
    </row>
    <row r="767" spans="1:35">
      <c r="A767">
        <v>36</v>
      </c>
      <c r="B767" t="str">
        <f t="shared" si="11"/>
        <v>Middle Aged</v>
      </c>
      <c r="C767">
        <v>0</v>
      </c>
      <c r="D767" t="s">
        <v>36</v>
      </c>
      <c r="E767">
        <v>796</v>
      </c>
      <c r="F767" t="s">
        <v>45</v>
      </c>
      <c r="G767">
        <v>12</v>
      </c>
      <c r="H767" t="str" cm="1">
        <f t="array" ref="H767">_xlfn.IFS(G767&gt;15,"Long Commute",G767&gt;5,"Moderate",G767&lt;=5,"Near Office")</f>
        <v>Moderate</v>
      </c>
      <c r="I767" t="s">
        <v>84</v>
      </c>
      <c r="J767" t="s">
        <v>51</v>
      </c>
      <c r="K767">
        <v>4</v>
      </c>
      <c r="L767" t="s">
        <v>39</v>
      </c>
      <c r="M767">
        <v>51</v>
      </c>
      <c r="N767">
        <v>2</v>
      </c>
      <c r="O767">
        <v>3</v>
      </c>
      <c r="P767" t="s">
        <v>53</v>
      </c>
      <c r="Q767" t="s">
        <v>77</v>
      </c>
      <c r="R767" t="s">
        <v>41</v>
      </c>
      <c r="S767">
        <v>8858</v>
      </c>
      <c r="T767" t="str" cm="1">
        <f t="array" ref="T767">_xlfn.IFS(S767&gt;=10000,"High (&gt;10k)",S767&gt;=5000,"Medium (5k-10k)",S767&lt;5000,"Low (&lt;5k)")</f>
        <v>Medium (5k-10k)</v>
      </c>
      <c r="U767">
        <v>15669</v>
      </c>
      <c r="V767">
        <v>0</v>
      </c>
      <c r="W767" t="s">
        <v>43</v>
      </c>
      <c r="X767">
        <v>11</v>
      </c>
      <c r="Y767">
        <v>3</v>
      </c>
      <c r="Z767">
        <v>2</v>
      </c>
      <c r="AA767">
        <v>0</v>
      </c>
      <c r="AB767">
        <v>15</v>
      </c>
      <c r="AC767">
        <v>2</v>
      </c>
      <c r="AD767" t="s">
        <v>81</v>
      </c>
      <c r="AE767">
        <v>14</v>
      </c>
      <c r="AF767" t="str" cm="1">
        <f t="array" ref="AF767">_xlfn.IFS(AE767&gt;=10,"Veteran (10y+)",AE767&gt;=3,"Established (3-10y)",AE767&lt;3,"New Hire (&lt;3y)")</f>
        <v>Veteran (10y+)</v>
      </c>
      <c r="AG767">
        <v>8</v>
      </c>
      <c r="AH767">
        <v>7</v>
      </c>
      <c r="AI767">
        <v>8</v>
      </c>
    </row>
    <row r="768" spans="1:35">
      <c r="A768">
        <v>36</v>
      </c>
      <c r="B768" t="str">
        <f t="shared" si="11"/>
        <v>Middle Aged</v>
      </c>
      <c r="C768">
        <v>0</v>
      </c>
      <c r="D768" t="s">
        <v>55</v>
      </c>
      <c r="E768">
        <v>217</v>
      </c>
      <c r="F768" t="s">
        <v>45</v>
      </c>
      <c r="G768">
        <v>18</v>
      </c>
      <c r="H768" t="str" cm="1">
        <f t="array" ref="H768">_xlfn.IFS(G768&gt;15,"Long Commute",G768&gt;5,"Moderate",G768&lt;=5,"Near Office")</f>
        <v>Long Commute</v>
      </c>
      <c r="I768" t="s">
        <v>83</v>
      </c>
      <c r="J768" t="s">
        <v>38</v>
      </c>
      <c r="K768">
        <v>1</v>
      </c>
      <c r="L768" t="s">
        <v>46</v>
      </c>
      <c r="M768">
        <v>78</v>
      </c>
      <c r="N768">
        <v>3</v>
      </c>
      <c r="O768">
        <v>2</v>
      </c>
      <c r="P768" t="s">
        <v>53</v>
      </c>
      <c r="Q768" t="s">
        <v>77</v>
      </c>
      <c r="R768" t="s">
        <v>41</v>
      </c>
      <c r="S768">
        <v>7779</v>
      </c>
      <c r="T768" t="str" cm="1">
        <f t="array" ref="T768">_xlfn.IFS(S768&gt;=10000,"High (&gt;10k)",S768&gt;=5000,"Medium (5k-10k)",S768&lt;5000,"Low (&lt;5k)")</f>
        <v>Medium (5k-10k)</v>
      </c>
      <c r="U768">
        <v>23238</v>
      </c>
      <c r="V768">
        <v>2</v>
      </c>
      <c r="W768" t="s">
        <v>43</v>
      </c>
      <c r="X768">
        <v>20</v>
      </c>
      <c r="Y768">
        <v>4</v>
      </c>
      <c r="Z768">
        <v>1</v>
      </c>
      <c r="AA768">
        <v>0</v>
      </c>
      <c r="AB768">
        <v>18</v>
      </c>
      <c r="AC768">
        <v>0</v>
      </c>
      <c r="AD768" t="s">
        <v>74</v>
      </c>
      <c r="AE768">
        <v>11</v>
      </c>
      <c r="AF768" t="str" cm="1">
        <f t="array" ref="AF768">_xlfn.IFS(AE768&gt;=10,"Veteran (10y+)",AE768&gt;=3,"Established (3-10y)",AE768&lt;3,"New Hire (&lt;3y)")</f>
        <v>Veteran (10y+)</v>
      </c>
      <c r="AG768">
        <v>9</v>
      </c>
      <c r="AH768">
        <v>0</v>
      </c>
      <c r="AI768">
        <v>9</v>
      </c>
    </row>
    <row r="769" spans="1:35">
      <c r="A769">
        <v>36</v>
      </c>
      <c r="B769" t="str">
        <f t="shared" si="11"/>
        <v>Middle Aged</v>
      </c>
      <c r="C769">
        <v>0</v>
      </c>
      <c r="D769" t="s">
        <v>36</v>
      </c>
      <c r="E769">
        <v>917</v>
      </c>
      <c r="F769" t="s">
        <v>45</v>
      </c>
      <c r="G769">
        <v>6</v>
      </c>
      <c r="H769" t="str" cm="1">
        <f t="array" ref="H769">_xlfn.IFS(G769&gt;15,"Long Commute",G769&gt;5,"Moderate",G769&lt;=5,"Near Office")</f>
        <v>Moderate</v>
      </c>
      <c r="I769" t="s">
        <v>83</v>
      </c>
      <c r="J769" t="s">
        <v>38</v>
      </c>
      <c r="K769">
        <v>3</v>
      </c>
      <c r="L769" t="s">
        <v>46</v>
      </c>
      <c r="M769">
        <v>60</v>
      </c>
      <c r="N769">
        <v>1</v>
      </c>
      <c r="O769">
        <v>1</v>
      </c>
      <c r="P769" t="s">
        <v>50</v>
      </c>
      <c r="Q769" t="s">
        <v>73</v>
      </c>
      <c r="R769" t="s">
        <v>52</v>
      </c>
      <c r="S769">
        <v>2741</v>
      </c>
      <c r="T769" t="str" cm="1">
        <f t="array" ref="T769">_xlfn.IFS(S769&gt;=10000,"High (&gt;10k)",S769&gt;=5000,"Medium (5k-10k)",S769&lt;5000,"Low (&lt;5k)")</f>
        <v>Low (&lt;5k)</v>
      </c>
      <c r="U769">
        <v>6865</v>
      </c>
      <c r="V769">
        <v>1</v>
      </c>
      <c r="W769" t="s">
        <v>43</v>
      </c>
      <c r="X769">
        <v>14</v>
      </c>
      <c r="Y769">
        <v>3</v>
      </c>
      <c r="Z769">
        <v>3</v>
      </c>
      <c r="AA769">
        <v>1</v>
      </c>
      <c r="AB769">
        <v>7</v>
      </c>
      <c r="AC769">
        <v>4</v>
      </c>
      <c r="AD769" t="s">
        <v>74</v>
      </c>
      <c r="AE769">
        <v>7</v>
      </c>
      <c r="AF769" t="str" cm="1">
        <f t="array" ref="AF769">_xlfn.IFS(AE769&gt;=10,"Veteran (10y+)",AE769&gt;=3,"Established (3-10y)",AE769&lt;3,"New Hire (&lt;3y)")</f>
        <v>Established (3-10y)</v>
      </c>
      <c r="AG769">
        <v>7</v>
      </c>
      <c r="AH769">
        <v>1</v>
      </c>
      <c r="AI769">
        <v>7</v>
      </c>
    </row>
    <row r="770" spans="1:35">
      <c r="A770">
        <v>36</v>
      </c>
      <c r="B770" t="str">
        <f t="shared" si="11"/>
        <v>Middle Aged</v>
      </c>
      <c r="C770">
        <v>0</v>
      </c>
      <c r="D770" t="s">
        <v>36</v>
      </c>
      <c r="E770">
        <v>363</v>
      </c>
      <c r="F770" t="s">
        <v>45</v>
      </c>
      <c r="G770">
        <v>1</v>
      </c>
      <c r="H770" t="str" cm="1">
        <f t="array" ref="H770">_xlfn.IFS(G770&gt;15,"Long Commute",G770&gt;5,"Moderate",G770&lt;=5,"Near Office")</f>
        <v>Near Office</v>
      </c>
      <c r="I770" t="s">
        <v>72</v>
      </c>
      <c r="J770" t="s">
        <v>60</v>
      </c>
      <c r="K770">
        <v>3</v>
      </c>
      <c r="L770" t="s">
        <v>39</v>
      </c>
      <c r="M770">
        <v>77</v>
      </c>
      <c r="N770">
        <v>1</v>
      </c>
      <c r="O770">
        <v>3</v>
      </c>
      <c r="P770" t="s">
        <v>53</v>
      </c>
      <c r="Q770" t="s">
        <v>82</v>
      </c>
      <c r="R770" t="s">
        <v>52</v>
      </c>
      <c r="S770">
        <v>10252</v>
      </c>
      <c r="T770" t="str" cm="1">
        <f t="array" ref="T770">_xlfn.IFS(S770&gt;=10000,"High (&gt;10k)",S770&gt;=5000,"Medium (5k-10k)",S770&lt;5000,"Low (&lt;5k)")</f>
        <v>High (&gt;10k)</v>
      </c>
      <c r="U770">
        <v>4235</v>
      </c>
      <c r="V770">
        <v>2</v>
      </c>
      <c r="W770" t="s">
        <v>35</v>
      </c>
      <c r="X770">
        <v>21</v>
      </c>
      <c r="Y770">
        <v>4</v>
      </c>
      <c r="Z770">
        <v>3</v>
      </c>
      <c r="AA770">
        <v>1</v>
      </c>
      <c r="AB770">
        <v>17</v>
      </c>
      <c r="AC770">
        <v>2</v>
      </c>
      <c r="AD770" t="s">
        <v>74</v>
      </c>
      <c r="AE770">
        <v>7</v>
      </c>
      <c r="AF770" t="str" cm="1">
        <f t="array" ref="AF770">_xlfn.IFS(AE770&gt;=10,"Veteran (10y+)",AE770&gt;=3,"Established (3-10y)",AE770&lt;3,"New Hire (&lt;3y)")</f>
        <v>Established (3-10y)</v>
      </c>
      <c r="AG770">
        <v>7</v>
      </c>
      <c r="AH770">
        <v>7</v>
      </c>
      <c r="AI770">
        <v>7</v>
      </c>
    </row>
    <row r="771" spans="1:35">
      <c r="A771">
        <v>36</v>
      </c>
      <c r="B771" t="str">
        <f t="shared" ref="B771:B834" si="12">IF(A771&gt;=46,"Senior",IF(A771&gt;=30,"Middle Aged","Young Adults"))</f>
        <v>Middle Aged</v>
      </c>
      <c r="C771">
        <v>0</v>
      </c>
      <c r="D771" t="s">
        <v>44</v>
      </c>
      <c r="E771">
        <v>469</v>
      </c>
      <c r="F771" t="s">
        <v>45</v>
      </c>
      <c r="G771">
        <v>3</v>
      </c>
      <c r="H771" t="str" cm="1">
        <f t="array" ref="H771">_xlfn.IFS(G771&gt;15,"Long Commute",G771&gt;5,"Moderate",G771&lt;=5,"Near Office")</f>
        <v>Near Office</v>
      </c>
      <c r="I771" t="s">
        <v>72</v>
      </c>
      <c r="J771" t="s">
        <v>60</v>
      </c>
      <c r="K771">
        <v>3</v>
      </c>
      <c r="L771" t="s">
        <v>46</v>
      </c>
      <c r="M771">
        <v>46</v>
      </c>
      <c r="N771">
        <v>3</v>
      </c>
      <c r="O771">
        <v>1</v>
      </c>
      <c r="P771" t="s">
        <v>47</v>
      </c>
      <c r="Q771" t="s">
        <v>75</v>
      </c>
      <c r="R771" t="s">
        <v>48</v>
      </c>
      <c r="S771">
        <v>3692</v>
      </c>
      <c r="T771" t="str" cm="1">
        <f t="array" ref="T771">_xlfn.IFS(S771&gt;=10000,"High (&gt;10k)",S771&gt;=5000,"Medium (5k-10k)",S771&lt;5000,"Low (&lt;5k)")</f>
        <v>Low (&lt;5k)</v>
      </c>
      <c r="U771">
        <v>9256</v>
      </c>
      <c r="V771">
        <v>1</v>
      </c>
      <c r="W771" t="s">
        <v>43</v>
      </c>
      <c r="X771">
        <v>12</v>
      </c>
      <c r="Y771">
        <v>3</v>
      </c>
      <c r="Z771">
        <v>3</v>
      </c>
      <c r="AA771">
        <v>0</v>
      </c>
      <c r="AB771">
        <v>12</v>
      </c>
      <c r="AC771">
        <v>2</v>
      </c>
      <c r="AD771" t="s">
        <v>81</v>
      </c>
      <c r="AE771">
        <v>11</v>
      </c>
      <c r="AF771" t="str" cm="1">
        <f t="array" ref="AF771">_xlfn.IFS(AE771&gt;=10,"Veteran (10y+)",AE771&gt;=3,"Established (3-10y)",AE771&lt;3,"New Hire (&lt;3y)")</f>
        <v>Veteran (10y+)</v>
      </c>
      <c r="AG771">
        <v>10</v>
      </c>
      <c r="AH771">
        <v>0</v>
      </c>
      <c r="AI771">
        <v>7</v>
      </c>
    </row>
    <row r="772" spans="1:35">
      <c r="A772">
        <v>36</v>
      </c>
      <c r="B772" t="str">
        <f t="shared" si="12"/>
        <v>Middle Aged</v>
      </c>
      <c r="C772">
        <v>0</v>
      </c>
      <c r="D772" t="s">
        <v>36</v>
      </c>
      <c r="E772">
        <v>429</v>
      </c>
      <c r="F772" t="s">
        <v>45</v>
      </c>
      <c r="G772">
        <v>2</v>
      </c>
      <c r="H772" t="str" cm="1">
        <f t="array" ref="H772">_xlfn.IFS(G772&gt;15,"Long Commute",G772&gt;5,"Moderate",G772&lt;=5,"Near Office")</f>
        <v>Near Office</v>
      </c>
      <c r="I772" t="s">
        <v>83</v>
      </c>
      <c r="J772" t="s">
        <v>38</v>
      </c>
      <c r="K772">
        <v>3</v>
      </c>
      <c r="L772" t="s">
        <v>39</v>
      </c>
      <c r="M772">
        <v>53</v>
      </c>
      <c r="N772">
        <v>3</v>
      </c>
      <c r="O772">
        <v>2</v>
      </c>
      <c r="P772" t="s">
        <v>53</v>
      </c>
      <c r="Q772" t="s">
        <v>75</v>
      </c>
      <c r="R772" t="s">
        <v>41</v>
      </c>
      <c r="S772">
        <v>5410</v>
      </c>
      <c r="T772" t="str" cm="1">
        <f t="array" ref="T772">_xlfn.IFS(S772&gt;=10000,"High (&gt;10k)",S772&gt;=5000,"Medium (5k-10k)",S772&lt;5000,"Low (&lt;5k)")</f>
        <v>Medium (5k-10k)</v>
      </c>
      <c r="U772">
        <v>2323</v>
      </c>
      <c r="V772">
        <v>9</v>
      </c>
      <c r="W772" t="s">
        <v>35</v>
      </c>
      <c r="X772">
        <v>11</v>
      </c>
      <c r="Y772">
        <v>3</v>
      </c>
      <c r="Z772">
        <v>4</v>
      </c>
      <c r="AA772">
        <v>0</v>
      </c>
      <c r="AB772">
        <v>18</v>
      </c>
      <c r="AC772">
        <v>2</v>
      </c>
      <c r="AD772" t="s">
        <v>74</v>
      </c>
      <c r="AE772">
        <v>16</v>
      </c>
      <c r="AF772" t="str" cm="1">
        <f t="array" ref="AF772">_xlfn.IFS(AE772&gt;=10,"Veteran (10y+)",AE772&gt;=3,"Established (3-10y)",AE772&lt;3,"New Hire (&lt;3y)")</f>
        <v>Veteran (10y+)</v>
      </c>
      <c r="AG772">
        <v>14</v>
      </c>
      <c r="AH772">
        <v>5</v>
      </c>
      <c r="AI772">
        <v>12</v>
      </c>
    </row>
    <row r="773" spans="1:35">
      <c r="A773">
        <v>36</v>
      </c>
      <c r="B773" t="str">
        <f t="shared" si="12"/>
        <v>Middle Aged</v>
      </c>
      <c r="C773">
        <v>0</v>
      </c>
      <c r="D773" t="s">
        <v>36</v>
      </c>
      <c r="E773">
        <v>325</v>
      </c>
      <c r="F773" t="s">
        <v>45</v>
      </c>
      <c r="G773">
        <v>10</v>
      </c>
      <c r="H773" t="str" cm="1">
        <f t="array" ref="H773">_xlfn.IFS(G773&gt;15,"Long Commute",G773&gt;5,"Moderate",G773&lt;=5,"Near Office")</f>
        <v>Moderate</v>
      </c>
      <c r="I773" t="s">
        <v>83</v>
      </c>
      <c r="J773" t="s">
        <v>60</v>
      </c>
      <c r="K773">
        <v>4</v>
      </c>
      <c r="L773" t="s">
        <v>39</v>
      </c>
      <c r="M773">
        <v>63</v>
      </c>
      <c r="N773">
        <v>3</v>
      </c>
      <c r="O773">
        <v>3</v>
      </c>
      <c r="P773" t="s">
        <v>54</v>
      </c>
      <c r="Q773" t="s">
        <v>73</v>
      </c>
      <c r="R773" t="s">
        <v>48</v>
      </c>
      <c r="S773">
        <v>7094</v>
      </c>
      <c r="T773" t="str" cm="1">
        <f t="array" ref="T773">_xlfn.IFS(S773&gt;=10000,"High (&gt;10k)",S773&gt;=5000,"Medium (5k-10k)",S773&lt;5000,"Low (&lt;5k)")</f>
        <v>Medium (5k-10k)</v>
      </c>
      <c r="U773">
        <v>5747</v>
      </c>
      <c r="V773">
        <v>3</v>
      </c>
      <c r="W773" t="s">
        <v>43</v>
      </c>
      <c r="X773">
        <v>12</v>
      </c>
      <c r="Y773">
        <v>3</v>
      </c>
      <c r="Z773">
        <v>1</v>
      </c>
      <c r="AA773">
        <v>0</v>
      </c>
      <c r="AB773">
        <v>10</v>
      </c>
      <c r="AC773">
        <v>0</v>
      </c>
      <c r="AD773" t="s">
        <v>74</v>
      </c>
      <c r="AE773">
        <v>7</v>
      </c>
      <c r="AF773" t="str" cm="1">
        <f t="array" ref="AF773">_xlfn.IFS(AE773&gt;=10,"Veteran (10y+)",AE773&gt;=3,"Established (3-10y)",AE773&lt;3,"New Hire (&lt;3y)")</f>
        <v>Established (3-10y)</v>
      </c>
      <c r="AG773">
        <v>7</v>
      </c>
      <c r="AH773">
        <v>1</v>
      </c>
      <c r="AI773">
        <v>7</v>
      </c>
    </row>
    <row r="774" spans="1:35">
      <c r="A774">
        <v>36</v>
      </c>
      <c r="B774" t="str">
        <f t="shared" si="12"/>
        <v>Middle Aged</v>
      </c>
      <c r="C774">
        <v>0</v>
      </c>
      <c r="D774" t="s">
        <v>44</v>
      </c>
      <c r="E774">
        <v>607</v>
      </c>
      <c r="F774" t="s">
        <v>37</v>
      </c>
      <c r="G774">
        <v>7</v>
      </c>
      <c r="H774" t="str" cm="1">
        <f t="array" ref="H774">_xlfn.IFS(G774&gt;15,"Long Commute",G774&gt;5,"Moderate",G774&lt;=5,"Near Office")</f>
        <v>Moderate</v>
      </c>
      <c r="I774" t="s">
        <v>72</v>
      </c>
      <c r="J774" t="s">
        <v>59</v>
      </c>
      <c r="K774">
        <v>1</v>
      </c>
      <c r="L774" t="s">
        <v>39</v>
      </c>
      <c r="M774">
        <v>83</v>
      </c>
      <c r="N774">
        <v>4</v>
      </c>
      <c r="O774">
        <v>2</v>
      </c>
      <c r="P774" t="s">
        <v>40</v>
      </c>
      <c r="Q774" t="s">
        <v>82</v>
      </c>
      <c r="R774" t="s">
        <v>48</v>
      </c>
      <c r="S774">
        <v>4639</v>
      </c>
      <c r="T774" t="str" cm="1">
        <f t="array" ref="T774">_xlfn.IFS(S774&gt;=10000,"High (&gt;10k)",S774&gt;=5000,"Medium (5k-10k)",S774&lt;5000,"Low (&lt;5k)")</f>
        <v>Low (&lt;5k)</v>
      </c>
      <c r="U774">
        <v>2261</v>
      </c>
      <c r="V774">
        <v>2</v>
      </c>
      <c r="W774" t="s">
        <v>43</v>
      </c>
      <c r="X774">
        <v>16</v>
      </c>
      <c r="Y774">
        <v>3</v>
      </c>
      <c r="Z774">
        <v>4</v>
      </c>
      <c r="AA774">
        <v>1</v>
      </c>
      <c r="AB774">
        <v>17</v>
      </c>
      <c r="AC774">
        <v>2</v>
      </c>
      <c r="AD774" t="s">
        <v>81</v>
      </c>
      <c r="AE774">
        <v>15</v>
      </c>
      <c r="AF774" t="str" cm="1">
        <f t="array" ref="AF774">_xlfn.IFS(AE774&gt;=10,"Veteran (10y+)",AE774&gt;=3,"Established (3-10y)",AE774&lt;3,"New Hire (&lt;3y)")</f>
        <v>Veteran (10y+)</v>
      </c>
      <c r="AG774">
        <v>7</v>
      </c>
      <c r="AH774">
        <v>6</v>
      </c>
      <c r="AI774">
        <v>13</v>
      </c>
    </row>
    <row r="775" spans="1:35">
      <c r="A775">
        <v>36</v>
      </c>
      <c r="B775" t="str">
        <f t="shared" si="12"/>
        <v>Middle Aged</v>
      </c>
      <c r="C775">
        <v>0</v>
      </c>
      <c r="D775" t="s">
        <v>36</v>
      </c>
      <c r="E775">
        <v>1174</v>
      </c>
      <c r="F775" t="s">
        <v>37</v>
      </c>
      <c r="G775">
        <v>3</v>
      </c>
      <c r="H775" t="str" cm="1">
        <f t="array" ref="H775">_xlfn.IFS(G775&gt;15,"Long Commute",G775&gt;5,"Moderate",G775&lt;=5,"Near Office")</f>
        <v>Near Office</v>
      </c>
      <c r="I775" t="s">
        <v>83</v>
      </c>
      <c r="J775" t="s">
        <v>59</v>
      </c>
      <c r="K775">
        <v>1</v>
      </c>
      <c r="L775" t="s">
        <v>39</v>
      </c>
      <c r="M775">
        <v>99</v>
      </c>
      <c r="N775">
        <v>3</v>
      </c>
      <c r="O775">
        <v>2</v>
      </c>
      <c r="P775" t="s">
        <v>40</v>
      </c>
      <c r="Q775" t="s">
        <v>75</v>
      </c>
      <c r="R775" t="s">
        <v>41</v>
      </c>
      <c r="S775">
        <v>9278</v>
      </c>
      <c r="T775" t="str" cm="1">
        <f t="array" ref="T775">_xlfn.IFS(S775&gt;=10000,"High (&gt;10k)",S775&gt;=5000,"Medium (5k-10k)",S775&lt;5000,"Low (&lt;5k)")</f>
        <v>Medium (5k-10k)</v>
      </c>
      <c r="U775">
        <v>20763</v>
      </c>
      <c r="V775">
        <v>3</v>
      </c>
      <c r="W775" t="s">
        <v>35</v>
      </c>
      <c r="X775">
        <v>16</v>
      </c>
      <c r="Y775">
        <v>3</v>
      </c>
      <c r="Z775">
        <v>4</v>
      </c>
      <c r="AA775">
        <v>0</v>
      </c>
      <c r="AB775">
        <v>15</v>
      </c>
      <c r="AC775">
        <v>3</v>
      </c>
      <c r="AD775" t="s">
        <v>74</v>
      </c>
      <c r="AE775">
        <v>5</v>
      </c>
      <c r="AF775" t="str" cm="1">
        <f t="array" ref="AF775">_xlfn.IFS(AE775&gt;=10,"Veteran (10y+)",AE775&gt;=3,"Established (3-10y)",AE775&lt;3,"New Hire (&lt;3y)")</f>
        <v>Established (3-10y)</v>
      </c>
      <c r="AG775">
        <v>4</v>
      </c>
      <c r="AH775">
        <v>0</v>
      </c>
      <c r="AI775">
        <v>1</v>
      </c>
    </row>
    <row r="776" spans="1:35">
      <c r="A776">
        <v>36</v>
      </c>
      <c r="B776" t="str">
        <f t="shared" si="12"/>
        <v>Middle Aged</v>
      </c>
      <c r="C776">
        <v>0</v>
      </c>
      <c r="D776" t="s">
        <v>36</v>
      </c>
      <c r="E776">
        <v>172</v>
      </c>
      <c r="F776" t="s">
        <v>45</v>
      </c>
      <c r="G776">
        <v>4</v>
      </c>
      <c r="H776" t="str" cm="1">
        <f t="array" ref="H776">_xlfn.IFS(G776&gt;15,"Long Commute",G776&gt;5,"Moderate",G776&lt;=5,"Near Office")</f>
        <v>Near Office</v>
      </c>
      <c r="I776" t="s">
        <v>83</v>
      </c>
      <c r="J776" t="s">
        <v>38</v>
      </c>
      <c r="K776">
        <v>1</v>
      </c>
      <c r="L776" t="s">
        <v>46</v>
      </c>
      <c r="M776">
        <v>37</v>
      </c>
      <c r="N776">
        <v>2</v>
      </c>
      <c r="O776">
        <v>2</v>
      </c>
      <c r="P776" t="s">
        <v>50</v>
      </c>
      <c r="Q776" t="s">
        <v>77</v>
      </c>
      <c r="R776" t="s">
        <v>41</v>
      </c>
      <c r="S776">
        <v>5810</v>
      </c>
      <c r="T776" t="str" cm="1">
        <f t="array" ref="T776">_xlfn.IFS(S776&gt;=10000,"High (&gt;10k)",S776&gt;=5000,"Medium (5k-10k)",S776&lt;5000,"Low (&lt;5k)")</f>
        <v>Medium (5k-10k)</v>
      </c>
      <c r="U776">
        <v>22604</v>
      </c>
      <c r="V776">
        <v>1</v>
      </c>
      <c r="W776" t="s">
        <v>43</v>
      </c>
      <c r="X776">
        <v>16</v>
      </c>
      <c r="Y776">
        <v>3</v>
      </c>
      <c r="Z776">
        <v>3</v>
      </c>
      <c r="AA776">
        <v>0</v>
      </c>
      <c r="AB776">
        <v>10</v>
      </c>
      <c r="AC776">
        <v>2</v>
      </c>
      <c r="AD776" t="s">
        <v>81</v>
      </c>
      <c r="AE776">
        <v>10</v>
      </c>
      <c r="AF776" t="str" cm="1">
        <f t="array" ref="AF776">_xlfn.IFS(AE776&gt;=10,"Veteran (10y+)",AE776&gt;=3,"Established (3-10y)",AE776&lt;3,"New Hire (&lt;3y)")</f>
        <v>Veteran (10y+)</v>
      </c>
      <c r="AG776">
        <v>4</v>
      </c>
      <c r="AH776">
        <v>1</v>
      </c>
      <c r="AI776">
        <v>8</v>
      </c>
    </row>
    <row r="777" spans="1:35">
      <c r="A777">
        <v>36</v>
      </c>
      <c r="B777" t="str">
        <f t="shared" si="12"/>
        <v>Middle Aged</v>
      </c>
      <c r="C777">
        <v>0</v>
      </c>
      <c r="D777" t="s">
        <v>36</v>
      </c>
      <c r="E777">
        <v>329</v>
      </c>
      <c r="F777" t="s">
        <v>37</v>
      </c>
      <c r="G777">
        <v>16</v>
      </c>
      <c r="H777" t="str" cm="1">
        <f t="array" ref="H777">_xlfn.IFS(G777&gt;15,"Long Commute",G777&gt;5,"Moderate",G777&lt;=5,"Near Office")</f>
        <v>Long Commute</v>
      </c>
      <c r="I777" t="s">
        <v>83</v>
      </c>
      <c r="J777" t="s">
        <v>59</v>
      </c>
      <c r="K777">
        <v>3</v>
      </c>
      <c r="L777" t="s">
        <v>39</v>
      </c>
      <c r="M777">
        <v>98</v>
      </c>
      <c r="N777">
        <v>2</v>
      </c>
      <c r="O777">
        <v>2</v>
      </c>
      <c r="P777" t="s">
        <v>40</v>
      </c>
      <c r="Q777" t="s">
        <v>82</v>
      </c>
      <c r="R777" t="s">
        <v>48</v>
      </c>
      <c r="S777">
        <v>5647</v>
      </c>
      <c r="T777" t="str" cm="1">
        <f t="array" ref="T777">_xlfn.IFS(S777&gt;=10000,"High (&gt;10k)",S777&gt;=5000,"Medium (5k-10k)",S777&lt;5000,"Low (&lt;5k)")</f>
        <v>Medium (5k-10k)</v>
      </c>
      <c r="U777">
        <v>13494</v>
      </c>
      <c r="V777">
        <v>4</v>
      </c>
      <c r="W777" t="s">
        <v>43</v>
      </c>
      <c r="X777">
        <v>13</v>
      </c>
      <c r="Y777">
        <v>3</v>
      </c>
      <c r="Z777">
        <v>1</v>
      </c>
      <c r="AA777">
        <v>2</v>
      </c>
      <c r="AB777">
        <v>11</v>
      </c>
      <c r="AC777">
        <v>3</v>
      </c>
      <c r="AD777" t="s">
        <v>81</v>
      </c>
      <c r="AE777">
        <v>3</v>
      </c>
      <c r="AF777" t="str" cm="1">
        <f t="array" ref="AF777">_xlfn.IFS(AE777&gt;=10,"Veteran (10y+)",AE777&gt;=3,"Established (3-10y)",AE777&lt;3,"New Hire (&lt;3y)")</f>
        <v>Established (3-10y)</v>
      </c>
      <c r="AG777">
        <v>2</v>
      </c>
      <c r="AH777">
        <v>0</v>
      </c>
      <c r="AI777">
        <v>2</v>
      </c>
    </row>
    <row r="778" spans="1:35">
      <c r="A778">
        <v>36</v>
      </c>
      <c r="B778" t="str">
        <f t="shared" si="12"/>
        <v>Middle Aged</v>
      </c>
      <c r="C778">
        <v>0</v>
      </c>
      <c r="D778" t="s">
        <v>36</v>
      </c>
      <c r="E778">
        <v>1157</v>
      </c>
      <c r="F778" t="s">
        <v>37</v>
      </c>
      <c r="G778">
        <v>2</v>
      </c>
      <c r="H778" t="str" cm="1">
        <f t="array" ref="H778">_xlfn.IFS(G778&gt;15,"Long Commute",G778&gt;5,"Moderate",G778&lt;=5,"Near Office")</f>
        <v>Near Office</v>
      </c>
      <c r="I778" t="s">
        <v>83</v>
      </c>
      <c r="J778" t="s">
        <v>38</v>
      </c>
      <c r="K778">
        <v>3</v>
      </c>
      <c r="L778" t="s">
        <v>46</v>
      </c>
      <c r="M778">
        <v>70</v>
      </c>
      <c r="N778">
        <v>3</v>
      </c>
      <c r="O778">
        <v>1</v>
      </c>
      <c r="P778" t="s">
        <v>57</v>
      </c>
      <c r="Q778" t="s">
        <v>77</v>
      </c>
      <c r="R778" t="s">
        <v>41</v>
      </c>
      <c r="S778">
        <v>2644</v>
      </c>
      <c r="T778" t="str" cm="1">
        <f t="array" ref="T778">_xlfn.IFS(S778&gt;=10000,"High (&gt;10k)",S778&gt;=5000,"Medium (5k-10k)",S778&lt;5000,"Low (&lt;5k)")</f>
        <v>Low (&lt;5k)</v>
      </c>
      <c r="U778">
        <v>17001</v>
      </c>
      <c r="V778">
        <v>3</v>
      </c>
      <c r="W778" t="s">
        <v>35</v>
      </c>
      <c r="X778">
        <v>21</v>
      </c>
      <c r="Y778">
        <v>4</v>
      </c>
      <c r="Z778">
        <v>4</v>
      </c>
      <c r="AA778">
        <v>0</v>
      </c>
      <c r="AB778">
        <v>7</v>
      </c>
      <c r="AC778">
        <v>3</v>
      </c>
      <c r="AD778" t="s">
        <v>81</v>
      </c>
      <c r="AE778">
        <v>3</v>
      </c>
      <c r="AF778" t="str" cm="1">
        <f t="array" ref="AF778">_xlfn.IFS(AE778&gt;=10,"Veteran (10y+)",AE778&gt;=3,"Established (3-10y)",AE778&lt;3,"New Hire (&lt;3y)")</f>
        <v>Established (3-10y)</v>
      </c>
      <c r="AG778">
        <v>2</v>
      </c>
      <c r="AH778">
        <v>1</v>
      </c>
      <c r="AI778">
        <v>2</v>
      </c>
    </row>
    <row r="779" spans="1:35">
      <c r="A779">
        <v>36</v>
      </c>
      <c r="B779" t="str">
        <f t="shared" si="12"/>
        <v>Middle Aged</v>
      </c>
      <c r="C779">
        <v>0</v>
      </c>
      <c r="D779" t="s">
        <v>36</v>
      </c>
      <c r="E779">
        <v>884</v>
      </c>
      <c r="F779" t="s">
        <v>37</v>
      </c>
      <c r="G779">
        <v>1</v>
      </c>
      <c r="H779" t="str" cm="1">
        <f t="array" ref="H779">_xlfn.IFS(G779&gt;15,"Long Commute",G779&gt;5,"Moderate",G779&lt;=5,"Near Office")</f>
        <v>Near Office</v>
      </c>
      <c r="I779" t="s">
        <v>83</v>
      </c>
      <c r="J779" t="s">
        <v>38</v>
      </c>
      <c r="K779">
        <v>2</v>
      </c>
      <c r="L779" t="s">
        <v>39</v>
      </c>
      <c r="M779">
        <v>73</v>
      </c>
      <c r="N779">
        <v>3</v>
      </c>
      <c r="O779">
        <v>2</v>
      </c>
      <c r="P779" t="s">
        <v>40</v>
      </c>
      <c r="Q779" t="s">
        <v>73</v>
      </c>
      <c r="R779" t="s">
        <v>41</v>
      </c>
      <c r="S779">
        <v>6815</v>
      </c>
      <c r="T779" t="str" cm="1">
        <f t="array" ref="T779">_xlfn.IFS(S779&gt;=10000,"High (&gt;10k)",S779&gt;=5000,"Medium (5k-10k)",S779&lt;5000,"Low (&lt;5k)")</f>
        <v>Medium (5k-10k)</v>
      </c>
      <c r="U779">
        <v>21447</v>
      </c>
      <c r="V779">
        <v>6</v>
      </c>
      <c r="W779" t="s">
        <v>43</v>
      </c>
      <c r="X779">
        <v>13</v>
      </c>
      <c r="Y779">
        <v>3</v>
      </c>
      <c r="Z779">
        <v>1</v>
      </c>
      <c r="AA779">
        <v>0</v>
      </c>
      <c r="AB779">
        <v>15</v>
      </c>
      <c r="AC779">
        <v>5</v>
      </c>
      <c r="AD779" t="s">
        <v>74</v>
      </c>
      <c r="AE779">
        <v>1</v>
      </c>
      <c r="AF779" t="str" cm="1">
        <f t="array" ref="AF779">_xlfn.IFS(AE779&gt;=10,"Veteran (10y+)",AE779&gt;=3,"Established (3-10y)",AE779&lt;3,"New Hire (&lt;3y)")</f>
        <v>New Hire (&lt;3y)</v>
      </c>
      <c r="AG779">
        <v>0</v>
      </c>
      <c r="AH779">
        <v>0</v>
      </c>
      <c r="AI779">
        <v>0</v>
      </c>
    </row>
    <row r="780" spans="1:35">
      <c r="A780">
        <v>36</v>
      </c>
      <c r="B780" t="str">
        <f t="shared" si="12"/>
        <v>Middle Aged</v>
      </c>
      <c r="C780">
        <v>0</v>
      </c>
      <c r="D780" t="s">
        <v>44</v>
      </c>
      <c r="E780">
        <v>1302</v>
      </c>
      <c r="F780" t="s">
        <v>45</v>
      </c>
      <c r="G780">
        <v>6</v>
      </c>
      <c r="H780" t="str" cm="1">
        <f t="array" ref="H780">_xlfn.IFS(G780&gt;15,"Long Commute",G780&gt;5,"Moderate",G780&lt;=5,"Near Office")</f>
        <v>Moderate</v>
      </c>
      <c r="I780" t="s">
        <v>83</v>
      </c>
      <c r="J780" t="s">
        <v>38</v>
      </c>
      <c r="K780">
        <v>1</v>
      </c>
      <c r="L780" t="s">
        <v>46</v>
      </c>
      <c r="M780">
        <v>80</v>
      </c>
      <c r="N780">
        <v>4</v>
      </c>
      <c r="O780">
        <v>2</v>
      </c>
      <c r="P780" t="s">
        <v>50</v>
      </c>
      <c r="Q780" t="s">
        <v>82</v>
      </c>
      <c r="R780" t="s">
        <v>48</v>
      </c>
      <c r="S780">
        <v>5562</v>
      </c>
      <c r="T780" t="str" cm="1">
        <f t="array" ref="T780">_xlfn.IFS(S780&gt;=10000,"High (&gt;10k)",S780&gt;=5000,"Medium (5k-10k)",S780&lt;5000,"Low (&lt;5k)")</f>
        <v>Medium (5k-10k)</v>
      </c>
      <c r="U780">
        <v>19711</v>
      </c>
      <c r="V780">
        <v>3</v>
      </c>
      <c r="W780" t="s">
        <v>35</v>
      </c>
      <c r="X780">
        <v>13</v>
      </c>
      <c r="Y780">
        <v>3</v>
      </c>
      <c r="Z780">
        <v>4</v>
      </c>
      <c r="AA780">
        <v>1</v>
      </c>
      <c r="AB780">
        <v>9</v>
      </c>
      <c r="AC780">
        <v>3</v>
      </c>
      <c r="AD780" t="s">
        <v>74</v>
      </c>
      <c r="AE780">
        <v>3</v>
      </c>
      <c r="AF780" t="str" cm="1">
        <f t="array" ref="AF780">_xlfn.IFS(AE780&gt;=10,"Veteran (10y+)",AE780&gt;=3,"Established (3-10y)",AE780&lt;3,"New Hire (&lt;3y)")</f>
        <v>Established (3-10y)</v>
      </c>
      <c r="AG780">
        <v>2</v>
      </c>
      <c r="AH780">
        <v>0</v>
      </c>
      <c r="AI780">
        <v>2</v>
      </c>
    </row>
    <row r="781" spans="1:35">
      <c r="A781">
        <v>36</v>
      </c>
      <c r="B781" t="str">
        <f t="shared" si="12"/>
        <v>Middle Aged</v>
      </c>
      <c r="C781">
        <v>0</v>
      </c>
      <c r="D781" t="s">
        <v>36</v>
      </c>
      <c r="E781">
        <v>559</v>
      </c>
      <c r="F781" t="s">
        <v>45</v>
      </c>
      <c r="G781">
        <v>12</v>
      </c>
      <c r="H781" t="str" cm="1">
        <f t="array" ref="H781">_xlfn.IFS(G781&gt;15,"Long Commute",G781&gt;5,"Moderate",G781&lt;=5,"Near Office")</f>
        <v>Moderate</v>
      </c>
      <c r="I781" t="s">
        <v>83</v>
      </c>
      <c r="J781" t="s">
        <v>38</v>
      </c>
      <c r="K781">
        <v>3</v>
      </c>
      <c r="L781" t="s">
        <v>39</v>
      </c>
      <c r="M781">
        <v>76</v>
      </c>
      <c r="N781">
        <v>3</v>
      </c>
      <c r="O781">
        <v>2</v>
      </c>
      <c r="P781" t="s">
        <v>53</v>
      </c>
      <c r="Q781" t="s">
        <v>73</v>
      </c>
      <c r="R781" t="s">
        <v>48</v>
      </c>
      <c r="S781">
        <v>4663</v>
      </c>
      <c r="T781" t="str" cm="1">
        <f t="array" ref="T781">_xlfn.IFS(S781&gt;=10000,"High (&gt;10k)",S781&gt;=5000,"Medium (5k-10k)",S781&lt;5000,"Low (&lt;5k)")</f>
        <v>Low (&lt;5k)</v>
      </c>
      <c r="U781">
        <v>12421</v>
      </c>
      <c r="V781">
        <v>9</v>
      </c>
      <c r="W781" t="s">
        <v>35</v>
      </c>
      <c r="X781">
        <v>12</v>
      </c>
      <c r="Y781">
        <v>3</v>
      </c>
      <c r="Z781">
        <v>2</v>
      </c>
      <c r="AA781">
        <v>2</v>
      </c>
      <c r="AB781">
        <v>7</v>
      </c>
      <c r="AC781">
        <v>2</v>
      </c>
      <c r="AD781" t="s">
        <v>74</v>
      </c>
      <c r="AE781">
        <v>3</v>
      </c>
      <c r="AF781" t="str" cm="1">
        <f t="array" ref="AF781">_xlfn.IFS(AE781&gt;=10,"Veteran (10y+)",AE781&gt;=3,"Established (3-10y)",AE781&lt;3,"New Hire (&lt;3y)")</f>
        <v>Established (3-10y)</v>
      </c>
      <c r="AG781">
        <v>2</v>
      </c>
      <c r="AH781">
        <v>1</v>
      </c>
      <c r="AI781">
        <v>1</v>
      </c>
    </row>
    <row r="782" spans="1:35">
      <c r="A782">
        <v>36</v>
      </c>
      <c r="B782" t="str">
        <f t="shared" si="12"/>
        <v>Middle Aged</v>
      </c>
      <c r="C782">
        <v>0</v>
      </c>
      <c r="D782" t="s">
        <v>36</v>
      </c>
      <c r="E782">
        <v>711</v>
      </c>
      <c r="F782" t="s">
        <v>45</v>
      </c>
      <c r="G782">
        <v>5</v>
      </c>
      <c r="H782" t="str" cm="1">
        <f t="array" ref="H782">_xlfn.IFS(G782&gt;15,"Long Commute",G782&gt;5,"Moderate",G782&lt;=5,"Near Office")</f>
        <v>Near Office</v>
      </c>
      <c r="I782" t="s">
        <v>83</v>
      </c>
      <c r="J782" t="s">
        <v>38</v>
      </c>
      <c r="K782">
        <v>2</v>
      </c>
      <c r="L782" t="s">
        <v>39</v>
      </c>
      <c r="M782">
        <v>42</v>
      </c>
      <c r="N782">
        <v>3</v>
      </c>
      <c r="O782">
        <v>3</v>
      </c>
      <c r="P782" t="s">
        <v>54</v>
      </c>
      <c r="Q782" t="s">
        <v>82</v>
      </c>
      <c r="R782" t="s">
        <v>48</v>
      </c>
      <c r="S782">
        <v>8008</v>
      </c>
      <c r="T782" t="str" cm="1">
        <f t="array" ref="T782">_xlfn.IFS(S782&gt;=10000,"High (&gt;10k)",S782&gt;=5000,"Medium (5k-10k)",S782&lt;5000,"Low (&lt;5k)")</f>
        <v>Medium (5k-10k)</v>
      </c>
      <c r="U782">
        <v>22792</v>
      </c>
      <c r="V782">
        <v>4</v>
      </c>
      <c r="W782" t="s">
        <v>43</v>
      </c>
      <c r="X782">
        <v>12</v>
      </c>
      <c r="Y782">
        <v>3</v>
      </c>
      <c r="Z782">
        <v>3</v>
      </c>
      <c r="AA782">
        <v>2</v>
      </c>
      <c r="AB782">
        <v>9</v>
      </c>
      <c r="AC782">
        <v>6</v>
      </c>
      <c r="AD782" t="s">
        <v>74</v>
      </c>
      <c r="AE782">
        <v>3</v>
      </c>
      <c r="AF782" t="str" cm="1">
        <f t="array" ref="AF782">_xlfn.IFS(AE782&gt;=10,"Veteran (10y+)",AE782&gt;=3,"Established (3-10y)",AE782&lt;3,"New Hire (&lt;3y)")</f>
        <v>Established (3-10y)</v>
      </c>
      <c r="AG782">
        <v>2</v>
      </c>
      <c r="AH782">
        <v>0</v>
      </c>
      <c r="AI782">
        <v>2</v>
      </c>
    </row>
    <row r="783" spans="1:35">
      <c r="A783">
        <v>36</v>
      </c>
      <c r="B783" t="str">
        <f t="shared" si="12"/>
        <v>Middle Aged</v>
      </c>
      <c r="C783">
        <v>0</v>
      </c>
      <c r="D783" t="s">
        <v>36</v>
      </c>
      <c r="E783">
        <v>311</v>
      </c>
      <c r="F783" t="s">
        <v>45</v>
      </c>
      <c r="G783">
        <v>7</v>
      </c>
      <c r="H783" t="str" cm="1">
        <f t="array" ref="H783">_xlfn.IFS(G783&gt;15,"Long Commute",G783&gt;5,"Moderate",G783&lt;=5,"Near Office")</f>
        <v>Moderate</v>
      </c>
      <c r="I783" t="s">
        <v>72</v>
      </c>
      <c r="J783" t="s">
        <v>38</v>
      </c>
      <c r="K783">
        <v>1</v>
      </c>
      <c r="L783" t="s">
        <v>46</v>
      </c>
      <c r="M783">
        <v>77</v>
      </c>
      <c r="N783">
        <v>3</v>
      </c>
      <c r="O783">
        <v>1</v>
      </c>
      <c r="P783" t="s">
        <v>50</v>
      </c>
      <c r="Q783" t="s">
        <v>75</v>
      </c>
      <c r="R783" t="s">
        <v>41</v>
      </c>
      <c r="S783">
        <v>2013</v>
      </c>
      <c r="T783" t="str" cm="1">
        <f t="array" ref="T783">_xlfn.IFS(S783&gt;=10000,"High (&gt;10k)",S783&gt;=5000,"Medium (5k-10k)",S783&lt;5000,"Low (&lt;5k)")</f>
        <v>Low (&lt;5k)</v>
      </c>
      <c r="U783">
        <v>10950</v>
      </c>
      <c r="V783">
        <v>2</v>
      </c>
      <c r="W783" t="s">
        <v>43</v>
      </c>
      <c r="X783">
        <v>11</v>
      </c>
      <c r="Y783">
        <v>3</v>
      </c>
      <c r="Z783">
        <v>3</v>
      </c>
      <c r="AA783">
        <v>0</v>
      </c>
      <c r="AB783">
        <v>15</v>
      </c>
      <c r="AC783">
        <v>4</v>
      </c>
      <c r="AD783" t="s">
        <v>74</v>
      </c>
      <c r="AE783">
        <v>4</v>
      </c>
      <c r="AF783" t="str" cm="1">
        <f t="array" ref="AF783">_xlfn.IFS(AE783&gt;=10,"Veteran (10y+)",AE783&gt;=3,"Established (3-10y)",AE783&lt;3,"New Hire (&lt;3y)")</f>
        <v>Established (3-10y)</v>
      </c>
      <c r="AG783">
        <v>3</v>
      </c>
      <c r="AH783">
        <v>1</v>
      </c>
      <c r="AI783">
        <v>3</v>
      </c>
    </row>
    <row r="784" spans="1:35">
      <c r="A784">
        <v>36</v>
      </c>
      <c r="B784" t="str">
        <f t="shared" si="12"/>
        <v>Middle Aged</v>
      </c>
      <c r="C784">
        <v>0</v>
      </c>
      <c r="D784" t="s">
        <v>55</v>
      </c>
      <c r="E784">
        <v>894</v>
      </c>
      <c r="F784" t="s">
        <v>45</v>
      </c>
      <c r="G784">
        <v>1</v>
      </c>
      <c r="H784" t="str" cm="1">
        <f t="array" ref="H784">_xlfn.IFS(G784&gt;15,"Long Commute",G784&gt;5,"Moderate",G784&lt;=5,"Near Office")</f>
        <v>Near Office</v>
      </c>
      <c r="I784" t="s">
        <v>83</v>
      </c>
      <c r="J784" t="s">
        <v>51</v>
      </c>
      <c r="K784">
        <v>4</v>
      </c>
      <c r="L784" t="s">
        <v>39</v>
      </c>
      <c r="M784">
        <v>33</v>
      </c>
      <c r="N784">
        <v>2</v>
      </c>
      <c r="O784">
        <v>2</v>
      </c>
      <c r="P784" t="s">
        <v>53</v>
      </c>
      <c r="Q784" t="s">
        <v>73</v>
      </c>
      <c r="R784" t="s">
        <v>48</v>
      </c>
      <c r="S784">
        <v>4374</v>
      </c>
      <c r="T784" t="str" cm="1">
        <f t="array" ref="T784">_xlfn.IFS(S784&gt;=10000,"High (&gt;10k)",S784&gt;=5000,"Medium (5k-10k)",S784&lt;5000,"Low (&lt;5k)")</f>
        <v>Low (&lt;5k)</v>
      </c>
      <c r="U784">
        <v>15411</v>
      </c>
      <c r="V784">
        <v>0</v>
      </c>
      <c r="W784" t="s">
        <v>43</v>
      </c>
      <c r="X784">
        <v>15</v>
      </c>
      <c r="Y784">
        <v>3</v>
      </c>
      <c r="Z784">
        <v>3</v>
      </c>
      <c r="AA784">
        <v>0</v>
      </c>
      <c r="AB784">
        <v>4</v>
      </c>
      <c r="AC784">
        <v>6</v>
      </c>
      <c r="AD784" t="s">
        <v>74</v>
      </c>
      <c r="AE784">
        <v>3</v>
      </c>
      <c r="AF784" t="str" cm="1">
        <f t="array" ref="AF784">_xlfn.IFS(AE784&gt;=10,"Veteran (10y+)",AE784&gt;=3,"Established (3-10y)",AE784&lt;3,"New Hire (&lt;3y)")</f>
        <v>Established (3-10y)</v>
      </c>
      <c r="AG784">
        <v>2</v>
      </c>
      <c r="AH784">
        <v>1</v>
      </c>
      <c r="AI784">
        <v>2</v>
      </c>
    </row>
    <row r="785" spans="1:35">
      <c r="A785">
        <v>36</v>
      </c>
      <c r="B785" t="str">
        <f t="shared" si="12"/>
        <v>Middle Aged</v>
      </c>
      <c r="C785">
        <v>0</v>
      </c>
      <c r="D785" t="s">
        <v>36</v>
      </c>
      <c r="E785">
        <v>1040</v>
      </c>
      <c r="F785" t="s">
        <v>45</v>
      </c>
      <c r="G785">
        <v>3</v>
      </c>
      <c r="H785" t="str" cm="1">
        <f t="array" ref="H785">_xlfn.IFS(G785&gt;15,"Long Commute",G785&gt;5,"Moderate",G785&lt;=5,"Near Office")</f>
        <v>Near Office</v>
      </c>
      <c r="I785" t="s">
        <v>76</v>
      </c>
      <c r="J785" t="s">
        <v>38</v>
      </c>
      <c r="K785">
        <v>4</v>
      </c>
      <c r="L785" t="s">
        <v>46</v>
      </c>
      <c r="M785">
        <v>79</v>
      </c>
      <c r="N785">
        <v>4</v>
      </c>
      <c r="O785">
        <v>2</v>
      </c>
      <c r="P785" t="s">
        <v>54</v>
      </c>
      <c r="Q785" t="s">
        <v>82</v>
      </c>
      <c r="R785" t="s">
        <v>52</v>
      </c>
      <c r="S785">
        <v>6842</v>
      </c>
      <c r="T785" t="str" cm="1">
        <f t="array" ref="T785">_xlfn.IFS(S785&gt;=10000,"High (&gt;10k)",S785&gt;=5000,"Medium (5k-10k)",S785&lt;5000,"Low (&lt;5k)")</f>
        <v>Medium (5k-10k)</v>
      </c>
      <c r="U785">
        <v>26308</v>
      </c>
      <c r="V785">
        <v>6</v>
      </c>
      <c r="W785" t="s">
        <v>43</v>
      </c>
      <c r="X785">
        <v>20</v>
      </c>
      <c r="Y785">
        <v>4</v>
      </c>
      <c r="Z785">
        <v>1</v>
      </c>
      <c r="AA785">
        <v>1</v>
      </c>
      <c r="AB785">
        <v>13</v>
      </c>
      <c r="AC785">
        <v>3</v>
      </c>
      <c r="AD785" t="s">
        <v>74</v>
      </c>
      <c r="AE785">
        <v>5</v>
      </c>
      <c r="AF785" t="str" cm="1">
        <f t="array" ref="AF785">_xlfn.IFS(AE785&gt;=10,"Veteran (10y+)",AE785&gt;=3,"Established (3-10y)",AE785&lt;3,"New Hire (&lt;3y)")</f>
        <v>Established (3-10y)</v>
      </c>
      <c r="AG785">
        <v>4</v>
      </c>
      <c r="AH785">
        <v>0</v>
      </c>
      <c r="AI785">
        <v>4</v>
      </c>
    </row>
    <row r="786" spans="1:35">
      <c r="A786">
        <v>36</v>
      </c>
      <c r="B786" t="str">
        <f t="shared" si="12"/>
        <v>Middle Aged</v>
      </c>
      <c r="C786">
        <v>0</v>
      </c>
      <c r="D786" t="s">
        <v>36</v>
      </c>
      <c r="E786">
        <v>1351</v>
      </c>
      <c r="F786" t="s">
        <v>45</v>
      </c>
      <c r="G786">
        <v>26</v>
      </c>
      <c r="H786" t="str" cm="1">
        <f t="array" ref="H786">_xlfn.IFS(G786&gt;15,"Long Commute",G786&gt;5,"Moderate",G786&lt;=5,"Near Office")</f>
        <v>Long Commute</v>
      </c>
      <c r="I786" t="s">
        <v>83</v>
      </c>
      <c r="J786" t="s">
        <v>38</v>
      </c>
      <c r="K786">
        <v>1</v>
      </c>
      <c r="L786" t="s">
        <v>46</v>
      </c>
      <c r="M786">
        <v>80</v>
      </c>
      <c r="N786">
        <v>3</v>
      </c>
      <c r="O786">
        <v>2</v>
      </c>
      <c r="P786" t="s">
        <v>54</v>
      </c>
      <c r="Q786" t="s">
        <v>73</v>
      </c>
      <c r="R786" t="s">
        <v>48</v>
      </c>
      <c r="S786">
        <v>5347</v>
      </c>
      <c r="T786" t="str" cm="1">
        <f t="array" ref="T786">_xlfn.IFS(S786&gt;=10000,"High (&gt;10k)",S786&gt;=5000,"Medium (5k-10k)",S786&lt;5000,"Low (&lt;5k)")</f>
        <v>Medium (5k-10k)</v>
      </c>
      <c r="U786">
        <v>7419</v>
      </c>
      <c r="V786">
        <v>6</v>
      </c>
      <c r="W786" t="s">
        <v>43</v>
      </c>
      <c r="X786">
        <v>14</v>
      </c>
      <c r="Y786">
        <v>3</v>
      </c>
      <c r="Z786">
        <v>2</v>
      </c>
      <c r="AA786">
        <v>2</v>
      </c>
      <c r="AB786">
        <v>10</v>
      </c>
      <c r="AC786">
        <v>2</v>
      </c>
      <c r="AD786" t="s">
        <v>81</v>
      </c>
      <c r="AE786">
        <v>3</v>
      </c>
      <c r="AF786" t="str" cm="1">
        <f t="array" ref="AF786">_xlfn.IFS(AE786&gt;=10,"Veteran (10y+)",AE786&gt;=3,"Established (3-10y)",AE786&lt;3,"New Hire (&lt;3y)")</f>
        <v>Established (3-10y)</v>
      </c>
      <c r="AG786">
        <v>2</v>
      </c>
      <c r="AH786">
        <v>0</v>
      </c>
      <c r="AI786">
        <v>2</v>
      </c>
    </row>
    <row r="787" spans="1:35">
      <c r="A787">
        <v>36</v>
      </c>
      <c r="B787" t="str">
        <f t="shared" si="12"/>
        <v>Middle Aged</v>
      </c>
      <c r="C787">
        <v>0</v>
      </c>
      <c r="D787" t="s">
        <v>36</v>
      </c>
      <c r="E787">
        <v>530</v>
      </c>
      <c r="F787" t="s">
        <v>37</v>
      </c>
      <c r="G787">
        <v>2</v>
      </c>
      <c r="H787" t="str" cm="1">
        <f t="array" ref="H787">_xlfn.IFS(G787&gt;15,"Long Commute",G787&gt;5,"Moderate",G787&lt;=5,"Near Office")</f>
        <v>Near Office</v>
      </c>
      <c r="I787" t="s">
        <v>83</v>
      </c>
      <c r="J787" t="s">
        <v>38</v>
      </c>
      <c r="K787">
        <v>3</v>
      </c>
      <c r="L787" t="s">
        <v>39</v>
      </c>
      <c r="M787">
        <v>51</v>
      </c>
      <c r="N787">
        <v>3</v>
      </c>
      <c r="O787">
        <v>2</v>
      </c>
      <c r="P787" t="s">
        <v>57</v>
      </c>
      <c r="Q787" t="s">
        <v>77</v>
      </c>
      <c r="R787" t="s">
        <v>41</v>
      </c>
      <c r="S787">
        <v>4502</v>
      </c>
      <c r="T787" t="str" cm="1">
        <f t="array" ref="T787">_xlfn.IFS(S787&gt;=10000,"High (&gt;10k)",S787&gt;=5000,"Medium (5k-10k)",S787&lt;5000,"Low (&lt;5k)")</f>
        <v>Low (&lt;5k)</v>
      </c>
      <c r="U787">
        <v>7439</v>
      </c>
      <c r="V787">
        <v>3</v>
      </c>
      <c r="W787" t="s">
        <v>43</v>
      </c>
      <c r="X787">
        <v>15</v>
      </c>
      <c r="Y787">
        <v>3</v>
      </c>
      <c r="Z787">
        <v>3</v>
      </c>
      <c r="AA787">
        <v>0</v>
      </c>
      <c r="AB787">
        <v>17</v>
      </c>
      <c r="AC787">
        <v>2</v>
      </c>
      <c r="AD787" t="s">
        <v>81</v>
      </c>
      <c r="AE787">
        <v>13</v>
      </c>
      <c r="AF787" t="str" cm="1">
        <f t="array" ref="AF787">_xlfn.IFS(AE787&gt;=10,"Veteran (10y+)",AE787&gt;=3,"Established (3-10y)",AE787&lt;3,"New Hire (&lt;3y)")</f>
        <v>Veteran (10y+)</v>
      </c>
      <c r="AG787">
        <v>7</v>
      </c>
      <c r="AH787">
        <v>6</v>
      </c>
      <c r="AI787">
        <v>7</v>
      </c>
    </row>
    <row r="788" spans="1:35">
      <c r="A788">
        <v>36</v>
      </c>
      <c r="B788" t="str">
        <f t="shared" si="12"/>
        <v>Middle Aged</v>
      </c>
      <c r="C788">
        <v>1</v>
      </c>
      <c r="D788" t="s">
        <v>36</v>
      </c>
      <c r="E788">
        <v>1456</v>
      </c>
      <c r="F788" t="s">
        <v>37</v>
      </c>
      <c r="G788">
        <v>13</v>
      </c>
      <c r="H788" t="str" cm="1">
        <f t="array" ref="H788">_xlfn.IFS(G788&gt;15,"Long Commute",G788&gt;5,"Moderate",G788&lt;=5,"Near Office")</f>
        <v>Moderate</v>
      </c>
      <c r="I788" t="s">
        <v>84</v>
      </c>
      <c r="J788" t="s">
        <v>59</v>
      </c>
      <c r="K788">
        <v>2</v>
      </c>
      <c r="L788" t="s">
        <v>46</v>
      </c>
      <c r="M788">
        <v>96</v>
      </c>
      <c r="N788">
        <v>2</v>
      </c>
      <c r="O788">
        <v>2</v>
      </c>
      <c r="P788" t="s">
        <v>40</v>
      </c>
      <c r="Q788" t="s">
        <v>82</v>
      </c>
      <c r="R788" t="s">
        <v>52</v>
      </c>
      <c r="S788">
        <v>6134</v>
      </c>
      <c r="T788" t="str" cm="1">
        <f t="array" ref="T788">_xlfn.IFS(S788&gt;=10000,"High (&gt;10k)",S788&gt;=5000,"Medium (5k-10k)",S788&lt;5000,"Low (&lt;5k)")</f>
        <v>Medium (5k-10k)</v>
      </c>
      <c r="U788">
        <v>8658</v>
      </c>
      <c r="V788">
        <v>5</v>
      </c>
      <c r="W788" t="s">
        <v>35</v>
      </c>
      <c r="X788">
        <v>13</v>
      </c>
      <c r="Y788">
        <v>3</v>
      </c>
      <c r="Z788">
        <v>2</v>
      </c>
      <c r="AA788">
        <v>3</v>
      </c>
      <c r="AB788">
        <v>16</v>
      </c>
      <c r="AC788">
        <v>3</v>
      </c>
      <c r="AD788" t="s">
        <v>74</v>
      </c>
      <c r="AE788">
        <v>2</v>
      </c>
      <c r="AF788" t="str" cm="1">
        <f t="array" ref="AF788">_xlfn.IFS(AE788&gt;=10,"Veteran (10y+)",AE788&gt;=3,"Established (3-10y)",AE788&lt;3,"New Hire (&lt;3y)")</f>
        <v>New Hire (&lt;3y)</v>
      </c>
      <c r="AG788">
        <v>2</v>
      </c>
      <c r="AH788">
        <v>2</v>
      </c>
      <c r="AI788">
        <v>2</v>
      </c>
    </row>
    <row r="789" spans="1:35">
      <c r="A789">
        <v>36</v>
      </c>
      <c r="B789" t="str">
        <f t="shared" si="12"/>
        <v>Middle Aged</v>
      </c>
      <c r="C789">
        <v>0</v>
      </c>
      <c r="D789" t="s">
        <v>36</v>
      </c>
      <c r="E789">
        <v>1383</v>
      </c>
      <c r="F789" t="s">
        <v>45</v>
      </c>
      <c r="G789">
        <v>10</v>
      </c>
      <c r="H789" t="str" cm="1">
        <f t="array" ref="H789">_xlfn.IFS(G789&gt;15,"Long Commute",G789&gt;5,"Moderate",G789&lt;=5,"Near Office")</f>
        <v>Moderate</v>
      </c>
      <c r="I789" t="s">
        <v>72</v>
      </c>
      <c r="J789" t="s">
        <v>38</v>
      </c>
      <c r="K789">
        <v>4</v>
      </c>
      <c r="L789" t="s">
        <v>46</v>
      </c>
      <c r="M789">
        <v>90</v>
      </c>
      <c r="N789">
        <v>3</v>
      </c>
      <c r="O789">
        <v>3</v>
      </c>
      <c r="P789" t="s">
        <v>54</v>
      </c>
      <c r="Q789" t="s">
        <v>82</v>
      </c>
      <c r="R789" t="s">
        <v>48</v>
      </c>
      <c r="S789">
        <v>8321</v>
      </c>
      <c r="T789" t="str" cm="1">
        <f t="array" ref="T789">_xlfn.IFS(S789&gt;=10000,"High (&gt;10k)",S789&gt;=5000,"Medium (5k-10k)",S789&lt;5000,"Low (&lt;5k)")</f>
        <v>Medium (5k-10k)</v>
      </c>
      <c r="U789">
        <v>25949</v>
      </c>
      <c r="V789">
        <v>7</v>
      </c>
      <c r="W789" t="s">
        <v>35</v>
      </c>
      <c r="X789">
        <v>13</v>
      </c>
      <c r="Y789">
        <v>3</v>
      </c>
      <c r="Z789">
        <v>4</v>
      </c>
      <c r="AA789">
        <v>1</v>
      </c>
      <c r="AB789">
        <v>15</v>
      </c>
      <c r="AC789">
        <v>1</v>
      </c>
      <c r="AD789" t="s">
        <v>74</v>
      </c>
      <c r="AE789">
        <v>12</v>
      </c>
      <c r="AF789" t="str" cm="1">
        <f t="array" ref="AF789">_xlfn.IFS(AE789&gt;=10,"Veteran (10y+)",AE789&gt;=3,"Established (3-10y)",AE789&lt;3,"New Hire (&lt;3y)")</f>
        <v>Veteran (10y+)</v>
      </c>
      <c r="AG789">
        <v>8</v>
      </c>
      <c r="AH789">
        <v>5</v>
      </c>
      <c r="AI789">
        <v>7</v>
      </c>
    </row>
    <row r="790" spans="1:35">
      <c r="A790">
        <v>36</v>
      </c>
      <c r="B790" t="str">
        <f t="shared" si="12"/>
        <v>Middle Aged</v>
      </c>
      <c r="C790">
        <v>0</v>
      </c>
      <c r="D790" t="s">
        <v>36</v>
      </c>
      <c r="E790">
        <v>430</v>
      </c>
      <c r="F790" t="s">
        <v>45</v>
      </c>
      <c r="G790">
        <v>2</v>
      </c>
      <c r="H790" t="str" cm="1">
        <f t="array" ref="H790">_xlfn.IFS(G790&gt;15,"Long Commute",G790&gt;5,"Moderate",G790&lt;=5,"Near Office")</f>
        <v>Near Office</v>
      </c>
      <c r="I790" t="s">
        <v>83</v>
      </c>
      <c r="J790" t="s">
        <v>49</v>
      </c>
      <c r="K790">
        <v>4</v>
      </c>
      <c r="L790" t="s">
        <v>39</v>
      </c>
      <c r="M790">
        <v>73</v>
      </c>
      <c r="N790">
        <v>3</v>
      </c>
      <c r="O790">
        <v>2</v>
      </c>
      <c r="P790" t="s">
        <v>47</v>
      </c>
      <c r="Q790" t="s">
        <v>75</v>
      </c>
      <c r="R790" t="s">
        <v>48</v>
      </c>
      <c r="S790">
        <v>6962</v>
      </c>
      <c r="T790" t="str" cm="1">
        <f t="array" ref="T790">_xlfn.IFS(S790&gt;=10000,"High (&gt;10k)",S790&gt;=5000,"Medium (5k-10k)",S790&lt;5000,"Low (&lt;5k)")</f>
        <v>Medium (5k-10k)</v>
      </c>
      <c r="U790">
        <v>19573</v>
      </c>
      <c r="V790">
        <v>4</v>
      </c>
      <c r="W790" t="s">
        <v>35</v>
      </c>
      <c r="X790">
        <v>22</v>
      </c>
      <c r="Y790">
        <v>4</v>
      </c>
      <c r="Z790">
        <v>4</v>
      </c>
      <c r="AA790">
        <v>1</v>
      </c>
      <c r="AB790">
        <v>15</v>
      </c>
      <c r="AC790">
        <v>2</v>
      </c>
      <c r="AD790" t="s">
        <v>74</v>
      </c>
      <c r="AE790">
        <v>1</v>
      </c>
      <c r="AF790" t="str" cm="1">
        <f t="array" ref="AF790">_xlfn.IFS(AE790&gt;=10,"Veteran (10y+)",AE790&gt;=3,"Established (3-10y)",AE790&lt;3,"New Hire (&lt;3y)")</f>
        <v>New Hire (&lt;3y)</v>
      </c>
      <c r="AG790">
        <v>0</v>
      </c>
      <c r="AH790">
        <v>0</v>
      </c>
      <c r="AI790">
        <v>0</v>
      </c>
    </row>
    <row r="791" spans="1:35">
      <c r="A791">
        <v>36</v>
      </c>
      <c r="B791" t="str">
        <f t="shared" si="12"/>
        <v>Middle Aged</v>
      </c>
      <c r="C791">
        <v>0</v>
      </c>
      <c r="D791" t="s">
        <v>36</v>
      </c>
      <c r="E791">
        <v>1266</v>
      </c>
      <c r="F791" t="s">
        <v>37</v>
      </c>
      <c r="G791">
        <v>10</v>
      </c>
      <c r="H791" t="str" cm="1">
        <f t="array" ref="H791">_xlfn.IFS(G791&gt;15,"Long Commute",G791&gt;5,"Moderate",G791&lt;=5,"Near Office")</f>
        <v>Moderate</v>
      </c>
      <c r="I791" t="s">
        <v>83</v>
      </c>
      <c r="J791" t="s">
        <v>60</v>
      </c>
      <c r="K791">
        <v>2</v>
      </c>
      <c r="L791" t="s">
        <v>39</v>
      </c>
      <c r="M791">
        <v>63</v>
      </c>
      <c r="N791">
        <v>2</v>
      </c>
      <c r="O791">
        <v>2</v>
      </c>
      <c r="P791" t="s">
        <v>40</v>
      </c>
      <c r="Q791" t="s">
        <v>73</v>
      </c>
      <c r="R791" t="s">
        <v>48</v>
      </c>
      <c r="S791">
        <v>5673</v>
      </c>
      <c r="T791" t="str" cm="1">
        <f t="array" ref="T791">_xlfn.IFS(S791&gt;=10000,"High (&gt;10k)",S791&gt;=5000,"Medium (5k-10k)",S791&lt;5000,"Low (&lt;5k)")</f>
        <v>Medium (5k-10k)</v>
      </c>
      <c r="U791">
        <v>6060</v>
      </c>
      <c r="V791">
        <v>1</v>
      </c>
      <c r="W791" t="s">
        <v>35</v>
      </c>
      <c r="X791">
        <v>13</v>
      </c>
      <c r="Y791">
        <v>3</v>
      </c>
      <c r="Z791">
        <v>1</v>
      </c>
      <c r="AA791">
        <v>1</v>
      </c>
      <c r="AB791">
        <v>10</v>
      </c>
      <c r="AC791">
        <v>4</v>
      </c>
      <c r="AD791" t="s">
        <v>74</v>
      </c>
      <c r="AE791">
        <v>10</v>
      </c>
      <c r="AF791" t="str" cm="1">
        <f t="array" ref="AF791">_xlfn.IFS(AE791&gt;=10,"Veteran (10y+)",AE791&gt;=3,"Established (3-10y)",AE791&lt;3,"New Hire (&lt;3y)")</f>
        <v>Veteran (10y+)</v>
      </c>
      <c r="AG791">
        <v>9</v>
      </c>
      <c r="AH791">
        <v>1</v>
      </c>
      <c r="AI791">
        <v>7</v>
      </c>
    </row>
    <row r="792" spans="1:35">
      <c r="A792">
        <v>36</v>
      </c>
      <c r="B792" t="str">
        <f t="shared" si="12"/>
        <v>Middle Aged</v>
      </c>
      <c r="C792">
        <v>0</v>
      </c>
      <c r="D792" t="s">
        <v>44</v>
      </c>
      <c r="E792">
        <v>1213</v>
      </c>
      <c r="F792" t="s">
        <v>61</v>
      </c>
      <c r="G792">
        <v>2</v>
      </c>
      <c r="H792" t="str" cm="1">
        <f t="array" ref="H792">_xlfn.IFS(G792&gt;15,"Long Commute",G792&gt;5,"Moderate",G792&lt;=5,"Near Office")</f>
        <v>Near Office</v>
      </c>
      <c r="I792" t="s">
        <v>78</v>
      </c>
      <c r="J792" t="s">
        <v>61</v>
      </c>
      <c r="K792">
        <v>2</v>
      </c>
      <c r="L792" t="s">
        <v>46</v>
      </c>
      <c r="M792">
        <v>94</v>
      </c>
      <c r="N792">
        <v>2</v>
      </c>
      <c r="O792">
        <v>2</v>
      </c>
      <c r="P792" t="s">
        <v>61</v>
      </c>
      <c r="Q792" t="s">
        <v>77</v>
      </c>
      <c r="R792" t="s">
        <v>41</v>
      </c>
      <c r="S792">
        <v>3886</v>
      </c>
      <c r="T792" t="str" cm="1">
        <f t="array" ref="T792">_xlfn.IFS(S792&gt;=10000,"High (&gt;10k)",S792&gt;=5000,"Medium (5k-10k)",S792&lt;5000,"Low (&lt;5k)")</f>
        <v>Low (&lt;5k)</v>
      </c>
      <c r="U792">
        <v>4223</v>
      </c>
      <c r="V792">
        <v>1</v>
      </c>
      <c r="W792" t="s">
        <v>43</v>
      </c>
      <c r="X792">
        <v>21</v>
      </c>
      <c r="Y792">
        <v>4</v>
      </c>
      <c r="Z792">
        <v>4</v>
      </c>
      <c r="AA792">
        <v>0</v>
      </c>
      <c r="AB792">
        <v>10</v>
      </c>
      <c r="AC792">
        <v>2</v>
      </c>
      <c r="AD792" t="s">
        <v>81</v>
      </c>
      <c r="AE792">
        <v>10</v>
      </c>
      <c r="AF792" t="str" cm="1">
        <f t="array" ref="AF792">_xlfn.IFS(AE792&gt;=10,"Veteran (10y+)",AE792&gt;=3,"Established (3-10y)",AE792&lt;3,"New Hire (&lt;3y)")</f>
        <v>Veteran (10y+)</v>
      </c>
      <c r="AG792">
        <v>1</v>
      </c>
      <c r="AH792">
        <v>0</v>
      </c>
      <c r="AI792">
        <v>8</v>
      </c>
    </row>
    <row r="793" spans="1:35">
      <c r="A793">
        <v>36</v>
      </c>
      <c r="B793" t="str">
        <f t="shared" si="12"/>
        <v>Middle Aged</v>
      </c>
      <c r="C793">
        <v>0</v>
      </c>
      <c r="D793" t="s">
        <v>36</v>
      </c>
      <c r="E793">
        <v>335</v>
      </c>
      <c r="F793" t="s">
        <v>37</v>
      </c>
      <c r="G793">
        <v>17</v>
      </c>
      <c r="H793" t="str" cm="1">
        <f t="array" ref="H793">_xlfn.IFS(G793&gt;15,"Long Commute",G793&gt;5,"Moderate",G793&lt;=5,"Near Office")</f>
        <v>Long Commute</v>
      </c>
      <c r="I793" t="s">
        <v>76</v>
      </c>
      <c r="J793" t="s">
        <v>59</v>
      </c>
      <c r="K793">
        <v>3</v>
      </c>
      <c r="L793" t="s">
        <v>46</v>
      </c>
      <c r="M793">
        <v>33</v>
      </c>
      <c r="N793">
        <v>2</v>
      </c>
      <c r="O793">
        <v>2</v>
      </c>
      <c r="P793" t="s">
        <v>40</v>
      </c>
      <c r="Q793" t="s">
        <v>75</v>
      </c>
      <c r="R793" t="s">
        <v>48</v>
      </c>
      <c r="S793">
        <v>5507</v>
      </c>
      <c r="T793" t="str" cm="1">
        <f t="array" ref="T793">_xlfn.IFS(S793&gt;=10000,"High (&gt;10k)",S793&gt;=5000,"Medium (5k-10k)",S793&lt;5000,"Low (&lt;5k)")</f>
        <v>Medium (5k-10k)</v>
      </c>
      <c r="U793">
        <v>16822</v>
      </c>
      <c r="V793">
        <v>2</v>
      </c>
      <c r="W793" t="s">
        <v>43</v>
      </c>
      <c r="X793">
        <v>16</v>
      </c>
      <c r="Y793">
        <v>3</v>
      </c>
      <c r="Z793">
        <v>3</v>
      </c>
      <c r="AA793">
        <v>2</v>
      </c>
      <c r="AB793">
        <v>12</v>
      </c>
      <c r="AC793">
        <v>1</v>
      </c>
      <c r="AD793" t="s">
        <v>80</v>
      </c>
      <c r="AE793">
        <v>4</v>
      </c>
      <c r="AF793" t="str" cm="1">
        <f t="array" ref="AF793">_xlfn.IFS(AE793&gt;=10,"Veteran (10y+)",AE793&gt;=3,"Established (3-10y)",AE793&lt;3,"New Hire (&lt;3y)")</f>
        <v>Established (3-10y)</v>
      </c>
      <c r="AG793">
        <v>2</v>
      </c>
      <c r="AH793">
        <v>1</v>
      </c>
      <c r="AI793">
        <v>3</v>
      </c>
    </row>
    <row r="794" spans="1:35">
      <c r="A794">
        <v>36</v>
      </c>
      <c r="B794" t="str">
        <f t="shared" si="12"/>
        <v>Middle Aged</v>
      </c>
      <c r="C794">
        <v>0</v>
      </c>
      <c r="D794" t="s">
        <v>55</v>
      </c>
      <c r="E794">
        <v>1351</v>
      </c>
      <c r="F794" t="s">
        <v>45</v>
      </c>
      <c r="G794">
        <v>9</v>
      </c>
      <c r="H794" t="str" cm="1">
        <f t="array" ref="H794">_xlfn.IFS(G794&gt;15,"Long Commute",G794&gt;5,"Moderate",G794&lt;=5,"Near Office")</f>
        <v>Moderate</v>
      </c>
      <c r="I794" t="s">
        <v>83</v>
      </c>
      <c r="J794" t="s">
        <v>38</v>
      </c>
      <c r="K794">
        <v>1</v>
      </c>
      <c r="L794" t="s">
        <v>46</v>
      </c>
      <c r="M794">
        <v>66</v>
      </c>
      <c r="N794">
        <v>4</v>
      </c>
      <c r="O794">
        <v>1</v>
      </c>
      <c r="P794" t="s">
        <v>50</v>
      </c>
      <c r="Q794" t="s">
        <v>75</v>
      </c>
      <c r="R794" t="s">
        <v>48</v>
      </c>
      <c r="S794">
        <v>2810</v>
      </c>
      <c r="T794" t="str" cm="1">
        <f t="array" ref="T794">_xlfn.IFS(S794&gt;=10000,"High (&gt;10k)",S794&gt;=5000,"Medium (5k-10k)",S794&lt;5000,"Low (&lt;5k)")</f>
        <v>Low (&lt;5k)</v>
      </c>
      <c r="U794">
        <v>9238</v>
      </c>
      <c r="V794">
        <v>1</v>
      </c>
      <c r="W794" t="s">
        <v>43</v>
      </c>
      <c r="X794">
        <v>22</v>
      </c>
      <c r="Y794">
        <v>4</v>
      </c>
      <c r="Z794">
        <v>2</v>
      </c>
      <c r="AA794">
        <v>0</v>
      </c>
      <c r="AB794">
        <v>5</v>
      </c>
      <c r="AC794">
        <v>3</v>
      </c>
      <c r="AD794" t="s">
        <v>74</v>
      </c>
      <c r="AE794">
        <v>5</v>
      </c>
      <c r="AF794" t="str" cm="1">
        <f t="array" ref="AF794">_xlfn.IFS(AE794&gt;=10,"Veteran (10y+)",AE794&gt;=3,"Established (3-10y)",AE794&lt;3,"New Hire (&lt;3y)")</f>
        <v>Established (3-10y)</v>
      </c>
      <c r="AG794">
        <v>4</v>
      </c>
      <c r="AH794">
        <v>0</v>
      </c>
      <c r="AI794">
        <v>2</v>
      </c>
    </row>
    <row r="795" spans="1:35">
      <c r="A795">
        <v>36</v>
      </c>
      <c r="B795" t="str">
        <f t="shared" si="12"/>
        <v>Middle Aged</v>
      </c>
      <c r="C795">
        <v>0</v>
      </c>
      <c r="D795" t="s">
        <v>36</v>
      </c>
      <c r="E795">
        <v>557</v>
      </c>
      <c r="F795" t="s">
        <v>37</v>
      </c>
      <c r="G795">
        <v>3</v>
      </c>
      <c r="H795" t="str" cm="1">
        <f t="array" ref="H795">_xlfn.IFS(G795&gt;15,"Long Commute",G795&gt;5,"Moderate",G795&lt;=5,"Near Office")</f>
        <v>Near Office</v>
      </c>
      <c r="I795" t="s">
        <v>72</v>
      </c>
      <c r="J795" t="s">
        <v>51</v>
      </c>
      <c r="K795">
        <v>1</v>
      </c>
      <c r="L795" t="s">
        <v>39</v>
      </c>
      <c r="M795">
        <v>94</v>
      </c>
      <c r="N795">
        <v>2</v>
      </c>
      <c r="O795">
        <v>3</v>
      </c>
      <c r="P795" t="s">
        <v>40</v>
      </c>
      <c r="Q795" t="s">
        <v>77</v>
      </c>
      <c r="R795" t="s">
        <v>48</v>
      </c>
      <c r="S795">
        <v>7644</v>
      </c>
      <c r="T795" t="str" cm="1">
        <f t="array" ref="T795">_xlfn.IFS(S795&gt;=10000,"High (&gt;10k)",S795&gt;=5000,"Medium (5k-10k)",S795&lt;5000,"Low (&lt;5k)")</f>
        <v>Medium (5k-10k)</v>
      </c>
      <c r="U795">
        <v>12695</v>
      </c>
      <c r="V795">
        <v>0</v>
      </c>
      <c r="W795" t="s">
        <v>43</v>
      </c>
      <c r="X795">
        <v>19</v>
      </c>
      <c r="Y795">
        <v>3</v>
      </c>
      <c r="Z795">
        <v>3</v>
      </c>
      <c r="AA795">
        <v>2</v>
      </c>
      <c r="AB795">
        <v>10</v>
      </c>
      <c r="AC795">
        <v>2</v>
      </c>
      <c r="AD795" t="s">
        <v>74</v>
      </c>
      <c r="AE795">
        <v>9</v>
      </c>
      <c r="AF795" t="str" cm="1">
        <f t="array" ref="AF795">_xlfn.IFS(AE795&gt;=10,"Veteran (10y+)",AE795&gt;=3,"Established (3-10y)",AE795&lt;3,"New Hire (&lt;3y)")</f>
        <v>Established (3-10y)</v>
      </c>
      <c r="AG795">
        <v>7</v>
      </c>
      <c r="AH795">
        <v>3</v>
      </c>
      <c r="AI795">
        <v>4</v>
      </c>
    </row>
    <row r="796" spans="1:35">
      <c r="A796">
        <v>36</v>
      </c>
      <c r="B796" t="str">
        <f t="shared" si="12"/>
        <v>Middle Aged</v>
      </c>
      <c r="C796">
        <v>0</v>
      </c>
      <c r="D796" t="s">
        <v>44</v>
      </c>
      <c r="E796">
        <v>688</v>
      </c>
      <c r="F796" t="s">
        <v>45</v>
      </c>
      <c r="G796">
        <v>4</v>
      </c>
      <c r="H796" t="str" cm="1">
        <f t="array" ref="H796">_xlfn.IFS(G796&gt;15,"Long Commute",G796&gt;5,"Moderate",G796&lt;=5,"Near Office")</f>
        <v>Near Office</v>
      </c>
      <c r="I796" t="s">
        <v>76</v>
      </c>
      <c r="J796" t="s">
        <v>38</v>
      </c>
      <c r="K796">
        <v>4</v>
      </c>
      <c r="L796" t="s">
        <v>39</v>
      </c>
      <c r="M796">
        <v>97</v>
      </c>
      <c r="N796">
        <v>3</v>
      </c>
      <c r="O796">
        <v>2</v>
      </c>
      <c r="P796" t="s">
        <v>53</v>
      </c>
      <c r="Q796" t="s">
        <v>75</v>
      </c>
      <c r="R796" t="s">
        <v>52</v>
      </c>
      <c r="S796">
        <v>5131</v>
      </c>
      <c r="T796" t="str" cm="1">
        <f t="array" ref="T796">_xlfn.IFS(S796&gt;=10000,"High (&gt;10k)",S796&gt;=5000,"Medium (5k-10k)",S796&lt;5000,"Low (&lt;5k)")</f>
        <v>Medium (5k-10k)</v>
      </c>
      <c r="U796">
        <v>9192</v>
      </c>
      <c r="V796">
        <v>7</v>
      </c>
      <c r="W796" t="s">
        <v>43</v>
      </c>
      <c r="X796">
        <v>13</v>
      </c>
      <c r="Y796">
        <v>3</v>
      </c>
      <c r="Z796">
        <v>2</v>
      </c>
      <c r="AA796">
        <v>3</v>
      </c>
      <c r="AB796">
        <v>18</v>
      </c>
      <c r="AC796">
        <v>3</v>
      </c>
      <c r="AD796" t="s">
        <v>74</v>
      </c>
      <c r="AE796">
        <v>4</v>
      </c>
      <c r="AF796" t="str" cm="1">
        <f t="array" ref="AF796">_xlfn.IFS(AE796&gt;=10,"Veteran (10y+)",AE796&gt;=3,"Established (3-10y)",AE796&lt;3,"New Hire (&lt;3y)")</f>
        <v>Established (3-10y)</v>
      </c>
      <c r="AG796">
        <v>2</v>
      </c>
      <c r="AH796">
        <v>0</v>
      </c>
      <c r="AI796">
        <v>2</v>
      </c>
    </row>
    <row r="797" spans="1:35">
      <c r="A797">
        <v>36</v>
      </c>
      <c r="B797" t="str">
        <f t="shared" si="12"/>
        <v>Middle Aged</v>
      </c>
      <c r="C797">
        <v>0</v>
      </c>
      <c r="D797" t="s">
        <v>55</v>
      </c>
      <c r="E797">
        <v>301</v>
      </c>
      <c r="F797" t="s">
        <v>37</v>
      </c>
      <c r="G797">
        <v>15</v>
      </c>
      <c r="H797" t="str" cm="1">
        <f t="array" ref="H797">_xlfn.IFS(G797&gt;15,"Long Commute",G797&gt;5,"Moderate",G797&lt;=5,"Near Office")</f>
        <v>Moderate</v>
      </c>
      <c r="I797" t="s">
        <v>83</v>
      </c>
      <c r="J797" t="s">
        <v>59</v>
      </c>
      <c r="K797">
        <v>4</v>
      </c>
      <c r="L797" t="s">
        <v>46</v>
      </c>
      <c r="M797">
        <v>88</v>
      </c>
      <c r="N797">
        <v>1</v>
      </c>
      <c r="O797">
        <v>2</v>
      </c>
      <c r="P797" t="s">
        <v>40</v>
      </c>
      <c r="Q797" t="s">
        <v>77</v>
      </c>
      <c r="R797" t="s">
        <v>52</v>
      </c>
      <c r="S797">
        <v>5406</v>
      </c>
      <c r="T797" t="str" cm="1">
        <f t="array" ref="T797">_xlfn.IFS(S797&gt;=10000,"High (&gt;10k)",S797&gt;=5000,"Medium (5k-10k)",S797&lt;5000,"Low (&lt;5k)")</f>
        <v>Medium (5k-10k)</v>
      </c>
      <c r="U797">
        <v>10436</v>
      </c>
      <c r="V797">
        <v>1</v>
      </c>
      <c r="W797" t="s">
        <v>43</v>
      </c>
      <c r="X797">
        <v>24</v>
      </c>
      <c r="Y797">
        <v>4</v>
      </c>
      <c r="Z797">
        <v>1</v>
      </c>
      <c r="AA797">
        <v>1</v>
      </c>
      <c r="AB797">
        <v>15</v>
      </c>
      <c r="AC797">
        <v>4</v>
      </c>
      <c r="AD797" t="s">
        <v>81</v>
      </c>
      <c r="AE797">
        <v>15</v>
      </c>
      <c r="AF797" t="str" cm="1">
        <f t="array" ref="AF797">_xlfn.IFS(AE797&gt;=10,"Veteran (10y+)",AE797&gt;=3,"Established (3-10y)",AE797&lt;3,"New Hire (&lt;3y)")</f>
        <v>Veteran (10y+)</v>
      </c>
      <c r="AG797">
        <v>12</v>
      </c>
      <c r="AH797">
        <v>11</v>
      </c>
      <c r="AI797">
        <v>11</v>
      </c>
    </row>
    <row r="798" spans="1:35">
      <c r="A798">
        <v>36</v>
      </c>
      <c r="B798" t="str">
        <f t="shared" si="12"/>
        <v>Middle Aged</v>
      </c>
      <c r="C798">
        <v>0</v>
      </c>
      <c r="D798" t="s">
        <v>36</v>
      </c>
      <c r="E798">
        <v>1120</v>
      </c>
      <c r="F798" t="s">
        <v>37</v>
      </c>
      <c r="G798">
        <v>11</v>
      </c>
      <c r="H798" t="str" cm="1">
        <f t="array" ref="H798">_xlfn.IFS(G798&gt;15,"Long Commute",G798&gt;5,"Moderate",G798&lt;=5,"Near Office")</f>
        <v>Moderate</v>
      </c>
      <c r="I798" t="s">
        <v>83</v>
      </c>
      <c r="J798" t="s">
        <v>59</v>
      </c>
      <c r="K798">
        <v>2</v>
      </c>
      <c r="L798" t="s">
        <v>39</v>
      </c>
      <c r="M798">
        <v>100</v>
      </c>
      <c r="N798">
        <v>2</v>
      </c>
      <c r="O798">
        <v>2</v>
      </c>
      <c r="P798" t="s">
        <v>40</v>
      </c>
      <c r="Q798" t="s">
        <v>77</v>
      </c>
      <c r="R798" t="s">
        <v>48</v>
      </c>
      <c r="S798">
        <v>6652</v>
      </c>
      <c r="T798" t="str" cm="1">
        <f t="array" ref="T798">_xlfn.IFS(S798&gt;=10000,"High (&gt;10k)",S798&gt;=5000,"Medium (5k-10k)",S798&lt;5000,"Low (&lt;5k)")</f>
        <v>Medium (5k-10k)</v>
      </c>
      <c r="U798">
        <v>14369</v>
      </c>
      <c r="V798">
        <v>4</v>
      </c>
      <c r="W798" t="s">
        <v>43</v>
      </c>
      <c r="X798">
        <v>13</v>
      </c>
      <c r="Y798">
        <v>3</v>
      </c>
      <c r="Z798">
        <v>1</v>
      </c>
      <c r="AA798">
        <v>1</v>
      </c>
      <c r="AB798">
        <v>8</v>
      </c>
      <c r="AC798">
        <v>2</v>
      </c>
      <c r="AD798" t="s">
        <v>81</v>
      </c>
      <c r="AE798">
        <v>6</v>
      </c>
      <c r="AF798" t="str" cm="1">
        <f t="array" ref="AF798">_xlfn.IFS(AE798&gt;=10,"Veteran (10y+)",AE798&gt;=3,"Established (3-10y)",AE798&lt;3,"New Hire (&lt;3y)")</f>
        <v>Established (3-10y)</v>
      </c>
      <c r="AG798">
        <v>3</v>
      </c>
      <c r="AH798">
        <v>0</v>
      </c>
      <c r="AI798">
        <v>0</v>
      </c>
    </row>
    <row r="799" spans="1:35">
      <c r="A799">
        <v>36</v>
      </c>
      <c r="B799" t="str">
        <f t="shared" si="12"/>
        <v>Middle Aged</v>
      </c>
      <c r="C799">
        <v>0</v>
      </c>
      <c r="D799" t="s">
        <v>44</v>
      </c>
      <c r="E799">
        <v>884</v>
      </c>
      <c r="F799" t="s">
        <v>45</v>
      </c>
      <c r="G799">
        <v>23</v>
      </c>
      <c r="H799" t="str" cm="1">
        <f t="array" ref="H799">_xlfn.IFS(G799&gt;15,"Long Commute",G799&gt;5,"Moderate",G799&lt;=5,"Near Office")</f>
        <v>Long Commute</v>
      </c>
      <c r="I799" t="s">
        <v>76</v>
      </c>
      <c r="J799" t="s">
        <v>51</v>
      </c>
      <c r="K799">
        <v>3</v>
      </c>
      <c r="L799" t="s">
        <v>46</v>
      </c>
      <c r="M799">
        <v>41</v>
      </c>
      <c r="N799">
        <v>4</v>
      </c>
      <c r="O799">
        <v>2</v>
      </c>
      <c r="P799" t="s">
        <v>50</v>
      </c>
      <c r="Q799" t="s">
        <v>77</v>
      </c>
      <c r="R799" t="s">
        <v>48</v>
      </c>
      <c r="S799">
        <v>2571</v>
      </c>
      <c r="T799" t="str" cm="1">
        <f t="array" ref="T799">_xlfn.IFS(S799&gt;=10000,"High (&gt;10k)",S799&gt;=5000,"Medium (5k-10k)",S799&lt;5000,"Low (&lt;5k)")</f>
        <v>Low (&lt;5k)</v>
      </c>
      <c r="U799">
        <v>12290</v>
      </c>
      <c r="V799">
        <v>4</v>
      </c>
      <c r="W799" t="s">
        <v>43</v>
      </c>
      <c r="X799">
        <v>17</v>
      </c>
      <c r="Y799">
        <v>3</v>
      </c>
      <c r="Z799">
        <v>3</v>
      </c>
      <c r="AA799">
        <v>1</v>
      </c>
      <c r="AB799">
        <v>17</v>
      </c>
      <c r="AC799">
        <v>3</v>
      </c>
      <c r="AD799" t="s">
        <v>74</v>
      </c>
      <c r="AE799">
        <v>5</v>
      </c>
      <c r="AF799" t="str" cm="1">
        <f t="array" ref="AF799">_xlfn.IFS(AE799&gt;=10,"Veteran (10y+)",AE799&gt;=3,"Established (3-10y)",AE799&lt;3,"New Hire (&lt;3y)")</f>
        <v>Established (3-10y)</v>
      </c>
      <c r="AG799">
        <v>2</v>
      </c>
      <c r="AH799">
        <v>0</v>
      </c>
      <c r="AI799">
        <v>3</v>
      </c>
    </row>
    <row r="800" spans="1:35">
      <c r="A800">
        <v>37</v>
      </c>
      <c r="B800" t="str">
        <f t="shared" si="12"/>
        <v>Middle Aged</v>
      </c>
      <c r="C800">
        <v>1</v>
      </c>
      <c r="D800" t="s">
        <v>36</v>
      </c>
      <c r="E800">
        <v>1373</v>
      </c>
      <c r="F800" t="s">
        <v>45</v>
      </c>
      <c r="G800">
        <v>2</v>
      </c>
      <c r="H800" t="str" cm="1">
        <f t="array" ref="H800">_xlfn.IFS(G800&gt;15,"Long Commute",G800&gt;5,"Moderate",G800&lt;=5,"Near Office")</f>
        <v>Near Office</v>
      </c>
      <c r="I800" t="s">
        <v>76</v>
      </c>
      <c r="J800" t="s">
        <v>49</v>
      </c>
      <c r="K800">
        <v>4</v>
      </c>
      <c r="L800" t="s">
        <v>46</v>
      </c>
      <c r="M800">
        <v>92</v>
      </c>
      <c r="N800">
        <v>2</v>
      </c>
      <c r="O800">
        <v>1</v>
      </c>
      <c r="P800" t="s">
        <v>50</v>
      </c>
      <c r="Q800" t="s">
        <v>73</v>
      </c>
      <c r="R800" t="s">
        <v>41</v>
      </c>
      <c r="S800">
        <v>2090</v>
      </c>
      <c r="T800" t="str" cm="1">
        <f t="array" ref="T800">_xlfn.IFS(S800&gt;=10000,"High (&gt;10k)",S800&gt;=5000,"Medium (5k-10k)",S800&lt;5000,"Low (&lt;5k)")</f>
        <v>Low (&lt;5k)</v>
      </c>
      <c r="U800">
        <v>2396</v>
      </c>
      <c r="V800">
        <v>6</v>
      </c>
      <c r="W800" t="s">
        <v>35</v>
      </c>
      <c r="X800">
        <v>15</v>
      </c>
      <c r="Y800">
        <v>3</v>
      </c>
      <c r="Z800">
        <v>2</v>
      </c>
      <c r="AA800">
        <v>0</v>
      </c>
      <c r="AB800">
        <v>7</v>
      </c>
      <c r="AC800">
        <v>3</v>
      </c>
      <c r="AD800" t="s">
        <v>74</v>
      </c>
      <c r="AE800">
        <v>0</v>
      </c>
      <c r="AF800" t="str" cm="1">
        <f t="array" ref="AF800">_xlfn.IFS(AE800&gt;=10,"Veteran (10y+)",AE800&gt;=3,"Established (3-10y)",AE800&lt;3,"New Hire (&lt;3y)")</f>
        <v>New Hire (&lt;3y)</v>
      </c>
      <c r="AG800">
        <v>0</v>
      </c>
      <c r="AH800">
        <v>0</v>
      </c>
      <c r="AI800">
        <v>0</v>
      </c>
    </row>
    <row r="801" spans="1:35">
      <c r="A801">
        <v>37</v>
      </c>
      <c r="B801" t="str">
        <f t="shared" si="12"/>
        <v>Middle Aged</v>
      </c>
      <c r="C801">
        <v>0</v>
      </c>
      <c r="D801" t="s">
        <v>36</v>
      </c>
      <c r="E801">
        <v>408</v>
      </c>
      <c r="F801" t="s">
        <v>45</v>
      </c>
      <c r="G801">
        <v>19</v>
      </c>
      <c r="H801" t="str" cm="1">
        <f t="array" ref="H801">_xlfn.IFS(G801&gt;15,"Long Commute",G801&gt;5,"Moderate",G801&lt;=5,"Near Office")</f>
        <v>Long Commute</v>
      </c>
      <c r="I801" t="s">
        <v>76</v>
      </c>
      <c r="J801" t="s">
        <v>38</v>
      </c>
      <c r="K801">
        <v>2</v>
      </c>
      <c r="L801" t="s">
        <v>46</v>
      </c>
      <c r="M801">
        <v>73</v>
      </c>
      <c r="N801">
        <v>3</v>
      </c>
      <c r="O801">
        <v>1</v>
      </c>
      <c r="P801" t="s">
        <v>47</v>
      </c>
      <c r="Q801" t="s">
        <v>75</v>
      </c>
      <c r="R801" t="s">
        <v>48</v>
      </c>
      <c r="S801">
        <v>3022</v>
      </c>
      <c r="T801" t="str" cm="1">
        <f t="array" ref="T801">_xlfn.IFS(S801&gt;=10000,"High (&gt;10k)",S801&gt;=5000,"Medium (5k-10k)",S801&lt;5000,"Low (&lt;5k)")</f>
        <v>Low (&lt;5k)</v>
      </c>
      <c r="U801">
        <v>10227</v>
      </c>
      <c r="V801">
        <v>4</v>
      </c>
      <c r="W801" t="s">
        <v>43</v>
      </c>
      <c r="X801">
        <v>21</v>
      </c>
      <c r="Y801">
        <v>4</v>
      </c>
      <c r="Z801">
        <v>1</v>
      </c>
      <c r="AA801">
        <v>0</v>
      </c>
      <c r="AB801">
        <v>8</v>
      </c>
      <c r="AC801">
        <v>1</v>
      </c>
      <c r="AD801" t="s">
        <v>74</v>
      </c>
      <c r="AE801">
        <v>1</v>
      </c>
      <c r="AF801" t="str" cm="1">
        <f t="array" ref="AF801">_xlfn.IFS(AE801&gt;=10,"Veteran (10y+)",AE801&gt;=3,"Established (3-10y)",AE801&lt;3,"New Hire (&lt;3y)")</f>
        <v>New Hire (&lt;3y)</v>
      </c>
      <c r="AG801">
        <v>0</v>
      </c>
      <c r="AH801">
        <v>0</v>
      </c>
      <c r="AI801">
        <v>0</v>
      </c>
    </row>
    <row r="802" spans="1:35">
      <c r="A802">
        <v>37</v>
      </c>
      <c r="B802" t="str">
        <f t="shared" si="12"/>
        <v>Middle Aged</v>
      </c>
      <c r="C802">
        <v>0</v>
      </c>
      <c r="D802" t="s">
        <v>36</v>
      </c>
      <c r="E802">
        <v>1115</v>
      </c>
      <c r="F802" t="s">
        <v>45</v>
      </c>
      <c r="G802">
        <v>1</v>
      </c>
      <c r="H802" t="str" cm="1">
        <f t="array" ref="H802">_xlfn.IFS(G802&gt;15,"Long Commute",G802&gt;5,"Moderate",G802&lt;=5,"Near Office")</f>
        <v>Near Office</v>
      </c>
      <c r="I802" t="s">
        <v>83</v>
      </c>
      <c r="J802" t="s">
        <v>38</v>
      </c>
      <c r="K802">
        <v>1</v>
      </c>
      <c r="L802" t="s">
        <v>46</v>
      </c>
      <c r="M802">
        <v>51</v>
      </c>
      <c r="N802">
        <v>2</v>
      </c>
      <c r="O802">
        <v>2</v>
      </c>
      <c r="P802" t="s">
        <v>53</v>
      </c>
      <c r="Q802" t="s">
        <v>73</v>
      </c>
      <c r="R802" t="s">
        <v>52</v>
      </c>
      <c r="S802">
        <v>5993</v>
      </c>
      <c r="T802" t="str" cm="1">
        <f t="array" ref="T802">_xlfn.IFS(S802&gt;=10000,"High (&gt;10k)",S802&gt;=5000,"Medium (5k-10k)",S802&lt;5000,"Low (&lt;5k)")</f>
        <v>Medium (5k-10k)</v>
      </c>
      <c r="U802">
        <v>2689</v>
      </c>
      <c r="V802">
        <v>1</v>
      </c>
      <c r="W802" t="s">
        <v>43</v>
      </c>
      <c r="X802">
        <v>18</v>
      </c>
      <c r="Y802">
        <v>3</v>
      </c>
      <c r="Z802">
        <v>3</v>
      </c>
      <c r="AA802">
        <v>1</v>
      </c>
      <c r="AB802">
        <v>7</v>
      </c>
      <c r="AC802">
        <v>2</v>
      </c>
      <c r="AD802" t="s">
        <v>79</v>
      </c>
      <c r="AE802">
        <v>7</v>
      </c>
      <c r="AF802" t="str" cm="1">
        <f t="array" ref="AF802">_xlfn.IFS(AE802&gt;=10,"Veteran (10y+)",AE802&gt;=3,"Established (3-10y)",AE802&lt;3,"New Hire (&lt;3y)")</f>
        <v>Established (3-10y)</v>
      </c>
      <c r="AG802">
        <v>5</v>
      </c>
      <c r="AH802">
        <v>0</v>
      </c>
      <c r="AI802">
        <v>7</v>
      </c>
    </row>
    <row r="803" spans="1:35">
      <c r="A803">
        <v>37</v>
      </c>
      <c r="B803" t="str">
        <f t="shared" si="12"/>
        <v>Middle Aged</v>
      </c>
      <c r="C803">
        <v>0</v>
      </c>
      <c r="D803" t="s">
        <v>36</v>
      </c>
      <c r="E803">
        <v>397</v>
      </c>
      <c r="F803" t="s">
        <v>45</v>
      </c>
      <c r="G803">
        <v>7</v>
      </c>
      <c r="H803" t="str" cm="1">
        <f t="array" ref="H803">_xlfn.IFS(G803&gt;15,"Long Commute",G803&gt;5,"Moderate",G803&lt;=5,"Near Office")</f>
        <v>Moderate</v>
      </c>
      <c r="I803" t="s">
        <v>83</v>
      </c>
      <c r="J803" t="s">
        <v>51</v>
      </c>
      <c r="K803">
        <v>1</v>
      </c>
      <c r="L803" t="s">
        <v>46</v>
      </c>
      <c r="M803">
        <v>30</v>
      </c>
      <c r="N803">
        <v>3</v>
      </c>
      <c r="O803">
        <v>3</v>
      </c>
      <c r="P803" t="s">
        <v>58</v>
      </c>
      <c r="Q803" t="s">
        <v>73</v>
      </c>
      <c r="R803" t="s">
        <v>41</v>
      </c>
      <c r="S803">
        <v>13664</v>
      </c>
      <c r="T803" t="str" cm="1">
        <f t="array" ref="T803">_xlfn.IFS(S803&gt;=10000,"High (&gt;10k)",S803&gt;=5000,"Medium (5k-10k)",S803&lt;5000,"Low (&lt;5k)")</f>
        <v>High (&gt;10k)</v>
      </c>
      <c r="U803">
        <v>25258</v>
      </c>
      <c r="V803">
        <v>4</v>
      </c>
      <c r="W803" t="s">
        <v>43</v>
      </c>
      <c r="X803">
        <v>13</v>
      </c>
      <c r="Y803">
        <v>3</v>
      </c>
      <c r="Z803">
        <v>1</v>
      </c>
      <c r="AA803">
        <v>0</v>
      </c>
      <c r="AB803">
        <v>16</v>
      </c>
      <c r="AC803">
        <v>3</v>
      </c>
      <c r="AD803" t="s">
        <v>79</v>
      </c>
      <c r="AE803">
        <v>5</v>
      </c>
      <c r="AF803" t="str" cm="1">
        <f t="array" ref="AF803">_xlfn.IFS(AE803&gt;=10,"Veteran (10y+)",AE803&gt;=3,"Established (3-10y)",AE803&lt;3,"New Hire (&lt;3y)")</f>
        <v>Established (3-10y)</v>
      </c>
      <c r="AG803">
        <v>2</v>
      </c>
      <c r="AH803">
        <v>0</v>
      </c>
      <c r="AI803">
        <v>2</v>
      </c>
    </row>
    <row r="804" spans="1:35">
      <c r="A804">
        <v>37</v>
      </c>
      <c r="B804" t="str">
        <f t="shared" si="12"/>
        <v>Middle Aged</v>
      </c>
      <c r="C804">
        <v>1</v>
      </c>
      <c r="D804" t="s">
        <v>36</v>
      </c>
      <c r="E804">
        <v>807</v>
      </c>
      <c r="F804" t="s">
        <v>61</v>
      </c>
      <c r="G804">
        <v>6</v>
      </c>
      <c r="H804" t="str" cm="1">
        <f t="array" ref="H804">_xlfn.IFS(G804&gt;15,"Long Commute",G804&gt;5,"Moderate",G804&lt;=5,"Near Office")</f>
        <v>Moderate</v>
      </c>
      <c r="I804" t="s">
        <v>83</v>
      </c>
      <c r="J804" t="s">
        <v>61</v>
      </c>
      <c r="K804">
        <v>3</v>
      </c>
      <c r="L804" t="s">
        <v>46</v>
      </c>
      <c r="M804">
        <v>63</v>
      </c>
      <c r="N804">
        <v>3</v>
      </c>
      <c r="O804">
        <v>1</v>
      </c>
      <c r="P804" t="s">
        <v>61</v>
      </c>
      <c r="Q804" t="s">
        <v>82</v>
      </c>
      <c r="R804" t="s">
        <v>52</v>
      </c>
      <c r="S804">
        <v>2073</v>
      </c>
      <c r="T804" t="str" cm="1">
        <f t="array" ref="T804">_xlfn.IFS(S804&gt;=10000,"High (&gt;10k)",S804&gt;=5000,"Medium (5k-10k)",S804&lt;5000,"Low (&lt;5k)")</f>
        <v>Low (&lt;5k)</v>
      </c>
      <c r="U804">
        <v>23648</v>
      </c>
      <c r="V804">
        <v>4</v>
      </c>
      <c r="W804" t="s">
        <v>35</v>
      </c>
      <c r="X804">
        <v>22</v>
      </c>
      <c r="Y804">
        <v>4</v>
      </c>
      <c r="Z804">
        <v>4</v>
      </c>
      <c r="AA804">
        <v>0</v>
      </c>
      <c r="AB804">
        <v>7</v>
      </c>
      <c r="AC804">
        <v>3</v>
      </c>
      <c r="AD804" t="s">
        <v>74</v>
      </c>
      <c r="AE804">
        <v>3</v>
      </c>
      <c r="AF804" t="str" cm="1">
        <f t="array" ref="AF804">_xlfn.IFS(AE804&gt;=10,"Veteran (10y+)",AE804&gt;=3,"Established (3-10y)",AE804&lt;3,"New Hire (&lt;3y)")</f>
        <v>Established (3-10y)</v>
      </c>
      <c r="AG804">
        <v>2</v>
      </c>
      <c r="AH804">
        <v>0</v>
      </c>
      <c r="AI804">
        <v>2</v>
      </c>
    </row>
    <row r="805" spans="1:35">
      <c r="A805">
        <v>37</v>
      </c>
      <c r="B805" t="str">
        <f t="shared" si="12"/>
        <v>Middle Aged</v>
      </c>
      <c r="C805">
        <v>0</v>
      </c>
      <c r="D805" t="s">
        <v>55</v>
      </c>
      <c r="E805">
        <v>1040</v>
      </c>
      <c r="F805" t="s">
        <v>45</v>
      </c>
      <c r="G805">
        <v>2</v>
      </c>
      <c r="H805" t="str" cm="1">
        <f t="array" ref="H805">_xlfn.IFS(G805&gt;15,"Long Commute",G805&gt;5,"Moderate",G805&lt;=5,"Near Office")</f>
        <v>Near Office</v>
      </c>
      <c r="I805" t="s">
        <v>76</v>
      </c>
      <c r="J805" t="s">
        <v>38</v>
      </c>
      <c r="K805">
        <v>3</v>
      </c>
      <c r="L805" t="s">
        <v>46</v>
      </c>
      <c r="M805">
        <v>100</v>
      </c>
      <c r="N805">
        <v>2</v>
      </c>
      <c r="O805">
        <v>2</v>
      </c>
      <c r="P805" t="s">
        <v>54</v>
      </c>
      <c r="Q805" t="s">
        <v>77</v>
      </c>
      <c r="R805" t="s">
        <v>52</v>
      </c>
      <c r="S805">
        <v>5163</v>
      </c>
      <c r="T805" t="str" cm="1">
        <f t="array" ref="T805">_xlfn.IFS(S805&gt;=10000,"High (&gt;10k)",S805&gt;=5000,"Medium (5k-10k)",S805&lt;5000,"Low (&lt;5k)")</f>
        <v>Medium (5k-10k)</v>
      </c>
      <c r="U805">
        <v>15850</v>
      </c>
      <c r="V805">
        <v>5</v>
      </c>
      <c r="W805" t="s">
        <v>43</v>
      </c>
      <c r="X805">
        <v>14</v>
      </c>
      <c r="Y805">
        <v>3</v>
      </c>
      <c r="Z805">
        <v>4</v>
      </c>
      <c r="AA805">
        <v>1</v>
      </c>
      <c r="AB805">
        <v>17</v>
      </c>
      <c r="AC805">
        <v>2</v>
      </c>
      <c r="AD805" t="s">
        <v>79</v>
      </c>
      <c r="AE805">
        <v>1</v>
      </c>
      <c r="AF805" t="str" cm="1">
        <f t="array" ref="AF805">_xlfn.IFS(AE805&gt;=10,"Veteran (10y+)",AE805&gt;=3,"Established (3-10y)",AE805&lt;3,"New Hire (&lt;3y)")</f>
        <v>New Hire (&lt;3y)</v>
      </c>
      <c r="AG805">
        <v>0</v>
      </c>
      <c r="AH805">
        <v>0</v>
      </c>
      <c r="AI805">
        <v>0</v>
      </c>
    </row>
    <row r="806" spans="1:35">
      <c r="A806">
        <v>37</v>
      </c>
      <c r="B806" t="str">
        <f t="shared" si="12"/>
        <v>Middle Aged</v>
      </c>
      <c r="C806">
        <v>0</v>
      </c>
      <c r="D806" t="s">
        <v>36</v>
      </c>
      <c r="E806">
        <v>1189</v>
      </c>
      <c r="F806" t="s">
        <v>37</v>
      </c>
      <c r="G806">
        <v>3</v>
      </c>
      <c r="H806" t="str" cm="1">
        <f t="array" ref="H806">_xlfn.IFS(G806&gt;15,"Long Commute",G806&gt;5,"Moderate",G806&lt;=5,"Near Office")</f>
        <v>Near Office</v>
      </c>
      <c r="I806" t="s">
        <v>72</v>
      </c>
      <c r="J806" t="s">
        <v>38</v>
      </c>
      <c r="K806">
        <v>3</v>
      </c>
      <c r="L806" t="s">
        <v>46</v>
      </c>
      <c r="M806">
        <v>87</v>
      </c>
      <c r="N806">
        <v>3</v>
      </c>
      <c r="O806">
        <v>3</v>
      </c>
      <c r="P806" t="s">
        <v>40</v>
      </c>
      <c r="Q806" t="s">
        <v>77</v>
      </c>
      <c r="R806" t="s">
        <v>41</v>
      </c>
      <c r="S806">
        <v>7428</v>
      </c>
      <c r="T806" t="str" cm="1">
        <f t="array" ref="T806">_xlfn.IFS(S806&gt;=10000,"High (&gt;10k)",S806&gt;=5000,"Medium (5k-10k)",S806&lt;5000,"Low (&lt;5k)")</f>
        <v>Medium (5k-10k)</v>
      </c>
      <c r="U806">
        <v>14506</v>
      </c>
      <c r="V806">
        <v>2</v>
      </c>
      <c r="W806" t="s">
        <v>43</v>
      </c>
      <c r="X806">
        <v>12</v>
      </c>
      <c r="Y806">
        <v>3</v>
      </c>
      <c r="Z806">
        <v>1</v>
      </c>
      <c r="AA806">
        <v>0</v>
      </c>
      <c r="AB806">
        <v>12</v>
      </c>
      <c r="AC806">
        <v>3</v>
      </c>
      <c r="AD806" t="s">
        <v>74</v>
      </c>
      <c r="AE806">
        <v>5</v>
      </c>
      <c r="AF806" t="str" cm="1">
        <f t="array" ref="AF806">_xlfn.IFS(AE806&gt;=10,"Veteran (10y+)",AE806&gt;=3,"Established (3-10y)",AE806&lt;3,"New Hire (&lt;3y)")</f>
        <v>Established (3-10y)</v>
      </c>
      <c r="AG806">
        <v>3</v>
      </c>
      <c r="AH806">
        <v>1</v>
      </c>
      <c r="AI806">
        <v>3</v>
      </c>
    </row>
    <row r="807" spans="1:35">
      <c r="A807">
        <v>37</v>
      </c>
      <c r="B807" t="str">
        <f t="shared" si="12"/>
        <v>Middle Aged</v>
      </c>
      <c r="C807">
        <v>0</v>
      </c>
      <c r="D807" t="s">
        <v>36</v>
      </c>
      <c r="E807">
        <v>290</v>
      </c>
      <c r="F807" t="s">
        <v>45</v>
      </c>
      <c r="G807">
        <v>21</v>
      </c>
      <c r="H807" t="str" cm="1">
        <f t="array" ref="H807">_xlfn.IFS(G807&gt;15,"Long Commute",G807&gt;5,"Moderate",G807&lt;=5,"Near Office")</f>
        <v>Long Commute</v>
      </c>
      <c r="I807" t="s">
        <v>72</v>
      </c>
      <c r="J807" t="s">
        <v>38</v>
      </c>
      <c r="K807">
        <v>2</v>
      </c>
      <c r="L807" t="s">
        <v>46</v>
      </c>
      <c r="M807">
        <v>65</v>
      </c>
      <c r="N807">
        <v>4</v>
      </c>
      <c r="O807">
        <v>1</v>
      </c>
      <c r="P807" t="s">
        <v>47</v>
      </c>
      <c r="Q807" t="s">
        <v>82</v>
      </c>
      <c r="R807" t="s">
        <v>48</v>
      </c>
      <c r="S807">
        <v>3564</v>
      </c>
      <c r="T807" t="str" cm="1">
        <f t="array" ref="T807">_xlfn.IFS(S807&gt;=10000,"High (&gt;10k)",S807&gt;=5000,"Medium (5k-10k)",S807&lt;5000,"Low (&lt;5k)")</f>
        <v>Low (&lt;5k)</v>
      </c>
      <c r="U807">
        <v>22977</v>
      </c>
      <c r="V807">
        <v>1</v>
      </c>
      <c r="W807" t="s">
        <v>35</v>
      </c>
      <c r="X807">
        <v>12</v>
      </c>
      <c r="Y807">
        <v>3</v>
      </c>
      <c r="Z807">
        <v>1</v>
      </c>
      <c r="AA807">
        <v>1</v>
      </c>
      <c r="AB807">
        <v>8</v>
      </c>
      <c r="AC807">
        <v>3</v>
      </c>
      <c r="AD807" t="s">
        <v>81</v>
      </c>
      <c r="AE807">
        <v>8</v>
      </c>
      <c r="AF807" t="str" cm="1">
        <f t="array" ref="AF807">_xlfn.IFS(AE807&gt;=10,"Veteran (10y+)",AE807&gt;=3,"Established (3-10y)",AE807&lt;3,"New Hire (&lt;3y)")</f>
        <v>Established (3-10y)</v>
      </c>
      <c r="AG807">
        <v>7</v>
      </c>
      <c r="AH807">
        <v>1</v>
      </c>
      <c r="AI807">
        <v>7</v>
      </c>
    </row>
    <row r="808" spans="1:35">
      <c r="A808">
        <v>37</v>
      </c>
      <c r="B808" t="str">
        <f t="shared" si="12"/>
        <v>Middle Aged</v>
      </c>
      <c r="C808">
        <v>0</v>
      </c>
      <c r="D808" t="s">
        <v>44</v>
      </c>
      <c r="E808">
        <v>663</v>
      </c>
      <c r="F808" t="s">
        <v>45</v>
      </c>
      <c r="G808">
        <v>11</v>
      </c>
      <c r="H808" t="str" cm="1">
        <f t="array" ref="H808">_xlfn.IFS(G808&gt;15,"Long Commute",G808&gt;5,"Moderate",G808&lt;=5,"Near Office")</f>
        <v>Moderate</v>
      </c>
      <c r="I808" t="s">
        <v>72</v>
      </c>
      <c r="J808" t="s">
        <v>49</v>
      </c>
      <c r="K808">
        <v>2</v>
      </c>
      <c r="L808" t="s">
        <v>46</v>
      </c>
      <c r="M808">
        <v>47</v>
      </c>
      <c r="N808">
        <v>3</v>
      </c>
      <c r="O808">
        <v>3</v>
      </c>
      <c r="P808" t="s">
        <v>58</v>
      </c>
      <c r="Q808" t="s">
        <v>77</v>
      </c>
      <c r="R808" t="s">
        <v>52</v>
      </c>
      <c r="S808">
        <v>12185</v>
      </c>
      <c r="T808" t="str" cm="1">
        <f t="array" ref="T808">_xlfn.IFS(S808&gt;=10000,"High (&gt;10k)",S808&gt;=5000,"Medium (5k-10k)",S808&lt;5000,"Low (&lt;5k)")</f>
        <v>High (&gt;10k)</v>
      </c>
      <c r="U808">
        <v>10056</v>
      </c>
      <c r="V808">
        <v>1</v>
      </c>
      <c r="W808" t="s">
        <v>35</v>
      </c>
      <c r="X808">
        <v>14</v>
      </c>
      <c r="Y808">
        <v>3</v>
      </c>
      <c r="Z808">
        <v>3</v>
      </c>
      <c r="AA808">
        <v>3</v>
      </c>
      <c r="AB808">
        <v>10</v>
      </c>
      <c r="AC808">
        <v>1</v>
      </c>
      <c r="AD808" t="s">
        <v>74</v>
      </c>
      <c r="AE808">
        <v>10</v>
      </c>
      <c r="AF808" t="str" cm="1">
        <f t="array" ref="AF808">_xlfn.IFS(AE808&gt;=10,"Veteran (10y+)",AE808&gt;=3,"Established (3-10y)",AE808&lt;3,"New Hire (&lt;3y)")</f>
        <v>Veteran (10y+)</v>
      </c>
      <c r="AG808">
        <v>8</v>
      </c>
      <c r="AH808">
        <v>0</v>
      </c>
      <c r="AI808">
        <v>7</v>
      </c>
    </row>
    <row r="809" spans="1:35">
      <c r="A809">
        <v>37</v>
      </c>
      <c r="B809" t="str">
        <f t="shared" si="12"/>
        <v>Middle Aged</v>
      </c>
      <c r="C809">
        <v>0</v>
      </c>
      <c r="D809" t="s">
        <v>44</v>
      </c>
      <c r="E809">
        <v>319</v>
      </c>
      <c r="F809" t="s">
        <v>37</v>
      </c>
      <c r="G809">
        <v>4</v>
      </c>
      <c r="H809" t="str" cm="1">
        <f t="array" ref="H809">_xlfn.IFS(G809&gt;15,"Long Commute",G809&gt;5,"Moderate",G809&lt;=5,"Near Office")</f>
        <v>Near Office</v>
      </c>
      <c r="I809" t="s">
        <v>83</v>
      </c>
      <c r="J809" t="s">
        <v>59</v>
      </c>
      <c r="K809">
        <v>1</v>
      </c>
      <c r="L809" t="s">
        <v>46</v>
      </c>
      <c r="M809">
        <v>41</v>
      </c>
      <c r="N809">
        <v>3</v>
      </c>
      <c r="O809">
        <v>1</v>
      </c>
      <c r="P809" t="s">
        <v>57</v>
      </c>
      <c r="Q809" t="s">
        <v>77</v>
      </c>
      <c r="R809" t="s">
        <v>52</v>
      </c>
      <c r="S809">
        <v>2793</v>
      </c>
      <c r="T809" t="str" cm="1">
        <f t="array" ref="T809">_xlfn.IFS(S809&gt;=10000,"High (&gt;10k)",S809&gt;=5000,"Medium (5k-10k)",S809&lt;5000,"Low (&lt;5k)")</f>
        <v>Low (&lt;5k)</v>
      </c>
      <c r="U809">
        <v>2539</v>
      </c>
      <c r="V809">
        <v>4</v>
      </c>
      <c r="W809" t="s">
        <v>43</v>
      </c>
      <c r="X809">
        <v>17</v>
      </c>
      <c r="Y809">
        <v>3</v>
      </c>
      <c r="Z809">
        <v>3</v>
      </c>
      <c r="AA809">
        <v>1</v>
      </c>
      <c r="AB809">
        <v>13</v>
      </c>
      <c r="AC809">
        <v>2</v>
      </c>
      <c r="AD809" t="s">
        <v>74</v>
      </c>
      <c r="AE809">
        <v>9</v>
      </c>
      <c r="AF809" t="str" cm="1">
        <f t="array" ref="AF809">_xlfn.IFS(AE809&gt;=10,"Veteran (10y+)",AE809&gt;=3,"Established (3-10y)",AE809&lt;3,"New Hire (&lt;3y)")</f>
        <v>Established (3-10y)</v>
      </c>
      <c r="AG809">
        <v>8</v>
      </c>
      <c r="AH809">
        <v>5</v>
      </c>
      <c r="AI809">
        <v>8</v>
      </c>
    </row>
    <row r="810" spans="1:35">
      <c r="A810">
        <v>37</v>
      </c>
      <c r="B810" t="str">
        <f t="shared" si="12"/>
        <v>Middle Aged</v>
      </c>
      <c r="C810">
        <v>0</v>
      </c>
      <c r="D810" t="s">
        <v>36</v>
      </c>
      <c r="E810">
        <v>1017</v>
      </c>
      <c r="F810" t="s">
        <v>45</v>
      </c>
      <c r="G810">
        <v>1</v>
      </c>
      <c r="H810" t="str" cm="1">
        <f t="array" ref="H810">_xlfn.IFS(G810&gt;15,"Long Commute",G810&gt;5,"Moderate",G810&lt;=5,"Near Office")</f>
        <v>Near Office</v>
      </c>
      <c r="I810" t="s">
        <v>76</v>
      </c>
      <c r="J810" t="s">
        <v>51</v>
      </c>
      <c r="K810">
        <v>3</v>
      </c>
      <c r="L810" t="s">
        <v>39</v>
      </c>
      <c r="M810">
        <v>83</v>
      </c>
      <c r="N810">
        <v>2</v>
      </c>
      <c r="O810">
        <v>1</v>
      </c>
      <c r="P810" t="s">
        <v>47</v>
      </c>
      <c r="Q810" t="s">
        <v>82</v>
      </c>
      <c r="R810" t="s">
        <v>48</v>
      </c>
      <c r="S810">
        <v>3920</v>
      </c>
      <c r="T810" t="str" cm="1">
        <f t="array" ref="T810">_xlfn.IFS(S810&gt;=10000,"High (&gt;10k)",S810&gt;=5000,"Medium (5k-10k)",S810&lt;5000,"Low (&lt;5k)")</f>
        <v>Low (&lt;5k)</v>
      </c>
      <c r="U810">
        <v>18697</v>
      </c>
      <c r="V810">
        <v>2</v>
      </c>
      <c r="W810" t="s">
        <v>43</v>
      </c>
      <c r="X810">
        <v>14</v>
      </c>
      <c r="Y810">
        <v>3</v>
      </c>
      <c r="Z810">
        <v>1</v>
      </c>
      <c r="AA810">
        <v>1</v>
      </c>
      <c r="AB810">
        <v>17</v>
      </c>
      <c r="AC810">
        <v>2</v>
      </c>
      <c r="AD810" t="s">
        <v>81</v>
      </c>
      <c r="AE810">
        <v>3</v>
      </c>
      <c r="AF810" t="str" cm="1">
        <f t="array" ref="AF810">_xlfn.IFS(AE810&gt;=10,"Veteran (10y+)",AE810&gt;=3,"Established (3-10y)",AE810&lt;3,"New Hire (&lt;3y)")</f>
        <v>Established (3-10y)</v>
      </c>
      <c r="AG810">
        <v>1</v>
      </c>
      <c r="AH810">
        <v>0</v>
      </c>
      <c r="AI810">
        <v>2</v>
      </c>
    </row>
    <row r="811" spans="1:35">
      <c r="A811">
        <v>37</v>
      </c>
      <c r="B811" t="str">
        <f t="shared" si="12"/>
        <v>Middle Aged</v>
      </c>
      <c r="C811">
        <v>1</v>
      </c>
      <c r="D811" t="s">
        <v>44</v>
      </c>
      <c r="E811">
        <v>504</v>
      </c>
      <c r="F811" t="s">
        <v>45</v>
      </c>
      <c r="G811">
        <v>10</v>
      </c>
      <c r="H811" t="str" cm="1">
        <f t="array" ref="H811">_xlfn.IFS(G811&gt;15,"Long Commute",G811&gt;5,"Moderate",G811&lt;=5,"Near Office")</f>
        <v>Moderate</v>
      </c>
      <c r="I811" t="s">
        <v>72</v>
      </c>
      <c r="J811" t="s">
        <v>51</v>
      </c>
      <c r="K811">
        <v>1</v>
      </c>
      <c r="L811" t="s">
        <v>46</v>
      </c>
      <c r="M811">
        <v>61</v>
      </c>
      <c r="N811">
        <v>3</v>
      </c>
      <c r="O811">
        <v>3</v>
      </c>
      <c r="P811" t="s">
        <v>53</v>
      </c>
      <c r="Q811" t="s">
        <v>73</v>
      </c>
      <c r="R811" t="s">
        <v>52</v>
      </c>
      <c r="S811">
        <v>10048</v>
      </c>
      <c r="T811" t="str" cm="1">
        <f t="array" ref="T811">_xlfn.IFS(S811&gt;=10000,"High (&gt;10k)",S811&gt;=5000,"Medium (5k-10k)",S811&lt;5000,"Low (&lt;5k)")</f>
        <v>High (&gt;10k)</v>
      </c>
      <c r="U811">
        <v>22573</v>
      </c>
      <c r="V811">
        <v>6</v>
      </c>
      <c r="W811" t="s">
        <v>43</v>
      </c>
      <c r="X811">
        <v>11</v>
      </c>
      <c r="Y811">
        <v>3</v>
      </c>
      <c r="Z811">
        <v>2</v>
      </c>
      <c r="AA811">
        <v>2</v>
      </c>
      <c r="AB811">
        <v>17</v>
      </c>
      <c r="AC811">
        <v>5</v>
      </c>
      <c r="AD811" t="s">
        <v>74</v>
      </c>
      <c r="AE811">
        <v>1</v>
      </c>
      <c r="AF811" t="str" cm="1">
        <f t="array" ref="AF811">_xlfn.IFS(AE811&gt;=10,"Veteran (10y+)",AE811&gt;=3,"Established (3-10y)",AE811&lt;3,"New Hire (&lt;3y)")</f>
        <v>New Hire (&lt;3y)</v>
      </c>
      <c r="AG811">
        <v>0</v>
      </c>
      <c r="AH811">
        <v>0</v>
      </c>
      <c r="AI811">
        <v>0</v>
      </c>
    </row>
    <row r="812" spans="1:35">
      <c r="A812">
        <v>37</v>
      </c>
      <c r="B812" t="str">
        <f t="shared" si="12"/>
        <v>Middle Aged</v>
      </c>
      <c r="C812">
        <v>0</v>
      </c>
      <c r="D812" t="s">
        <v>36</v>
      </c>
      <c r="E812">
        <v>228</v>
      </c>
      <c r="F812" t="s">
        <v>37</v>
      </c>
      <c r="G812">
        <v>6</v>
      </c>
      <c r="H812" t="str" cm="1">
        <f t="array" ref="H812">_xlfn.IFS(G812&gt;15,"Long Commute",G812&gt;5,"Moderate",G812&lt;=5,"Near Office")</f>
        <v>Moderate</v>
      </c>
      <c r="I812" t="s">
        <v>83</v>
      </c>
      <c r="J812" t="s">
        <v>51</v>
      </c>
      <c r="K812">
        <v>3</v>
      </c>
      <c r="L812" t="s">
        <v>46</v>
      </c>
      <c r="M812">
        <v>98</v>
      </c>
      <c r="N812">
        <v>3</v>
      </c>
      <c r="O812">
        <v>2</v>
      </c>
      <c r="P812" t="s">
        <v>40</v>
      </c>
      <c r="Q812" t="s">
        <v>77</v>
      </c>
      <c r="R812" t="s">
        <v>48</v>
      </c>
      <c r="S812">
        <v>6502</v>
      </c>
      <c r="T812" t="str" cm="1">
        <f t="array" ref="T812">_xlfn.IFS(S812&gt;=10000,"High (&gt;10k)",S812&gt;=5000,"Medium (5k-10k)",S812&lt;5000,"Low (&lt;5k)")</f>
        <v>Medium (5k-10k)</v>
      </c>
      <c r="U812">
        <v>22825</v>
      </c>
      <c r="V812">
        <v>4</v>
      </c>
      <c r="W812" t="s">
        <v>43</v>
      </c>
      <c r="X812">
        <v>14</v>
      </c>
      <c r="Y812">
        <v>3</v>
      </c>
      <c r="Z812">
        <v>2</v>
      </c>
      <c r="AA812">
        <v>1</v>
      </c>
      <c r="AB812">
        <v>7</v>
      </c>
      <c r="AC812">
        <v>5</v>
      </c>
      <c r="AD812" t="s">
        <v>79</v>
      </c>
      <c r="AE812">
        <v>5</v>
      </c>
      <c r="AF812" t="str" cm="1">
        <f t="array" ref="AF812">_xlfn.IFS(AE812&gt;=10,"Veteran (10y+)",AE812&gt;=3,"Established (3-10y)",AE812&lt;3,"New Hire (&lt;3y)")</f>
        <v>Established (3-10y)</v>
      </c>
      <c r="AG812">
        <v>4</v>
      </c>
      <c r="AH812">
        <v>0</v>
      </c>
      <c r="AI812">
        <v>1</v>
      </c>
    </row>
    <row r="813" spans="1:35">
      <c r="A813">
        <v>37</v>
      </c>
      <c r="B813" t="str">
        <f t="shared" si="12"/>
        <v>Middle Aged</v>
      </c>
      <c r="C813">
        <v>0</v>
      </c>
      <c r="D813" t="s">
        <v>55</v>
      </c>
      <c r="E813">
        <v>728</v>
      </c>
      <c r="F813" t="s">
        <v>45</v>
      </c>
      <c r="G813">
        <v>1</v>
      </c>
      <c r="H813" t="str" cm="1">
        <f t="array" ref="H813">_xlfn.IFS(G813&gt;15,"Long Commute",G813&gt;5,"Moderate",G813&lt;=5,"Near Office")</f>
        <v>Near Office</v>
      </c>
      <c r="I813" t="s">
        <v>83</v>
      </c>
      <c r="J813" t="s">
        <v>51</v>
      </c>
      <c r="K813">
        <v>1</v>
      </c>
      <c r="L813" t="s">
        <v>39</v>
      </c>
      <c r="M813">
        <v>80</v>
      </c>
      <c r="N813">
        <v>3</v>
      </c>
      <c r="O813">
        <v>3</v>
      </c>
      <c r="P813" t="s">
        <v>58</v>
      </c>
      <c r="Q813" t="s">
        <v>77</v>
      </c>
      <c r="R813" t="s">
        <v>52</v>
      </c>
      <c r="S813">
        <v>13603</v>
      </c>
      <c r="T813" t="str" cm="1">
        <f t="array" ref="T813">_xlfn.IFS(S813&gt;=10000,"High (&gt;10k)",S813&gt;=5000,"Medium (5k-10k)",S813&lt;5000,"Low (&lt;5k)")</f>
        <v>High (&gt;10k)</v>
      </c>
      <c r="U813">
        <v>11677</v>
      </c>
      <c r="V813">
        <v>2</v>
      </c>
      <c r="W813" t="s">
        <v>35</v>
      </c>
      <c r="X813">
        <v>18</v>
      </c>
      <c r="Y813">
        <v>3</v>
      </c>
      <c r="Z813">
        <v>1</v>
      </c>
      <c r="AA813">
        <v>2</v>
      </c>
      <c r="AB813">
        <v>15</v>
      </c>
      <c r="AC813">
        <v>2</v>
      </c>
      <c r="AD813" t="s">
        <v>74</v>
      </c>
      <c r="AE813">
        <v>5</v>
      </c>
      <c r="AF813" t="str" cm="1">
        <f t="array" ref="AF813">_xlfn.IFS(AE813&gt;=10,"Veteran (10y+)",AE813&gt;=3,"Established (3-10y)",AE813&lt;3,"New Hire (&lt;3y)")</f>
        <v>Established (3-10y)</v>
      </c>
      <c r="AG813">
        <v>2</v>
      </c>
      <c r="AH813">
        <v>0</v>
      </c>
      <c r="AI813">
        <v>2</v>
      </c>
    </row>
    <row r="814" spans="1:35">
      <c r="A814">
        <v>37</v>
      </c>
      <c r="B814" t="str">
        <f t="shared" si="12"/>
        <v>Middle Aged</v>
      </c>
      <c r="C814">
        <v>0</v>
      </c>
      <c r="D814" t="s">
        <v>36</v>
      </c>
      <c r="E814">
        <v>1372</v>
      </c>
      <c r="F814" t="s">
        <v>45</v>
      </c>
      <c r="G814">
        <v>1</v>
      </c>
      <c r="H814" t="str" cm="1">
        <f t="array" ref="H814">_xlfn.IFS(G814&gt;15,"Long Commute",G814&gt;5,"Moderate",G814&lt;=5,"Near Office")</f>
        <v>Near Office</v>
      </c>
      <c r="I814" t="s">
        <v>72</v>
      </c>
      <c r="J814" t="s">
        <v>38</v>
      </c>
      <c r="K814">
        <v>4</v>
      </c>
      <c r="L814" t="s">
        <v>39</v>
      </c>
      <c r="M814">
        <v>42</v>
      </c>
      <c r="N814">
        <v>3</v>
      </c>
      <c r="O814">
        <v>1</v>
      </c>
      <c r="P814" t="s">
        <v>47</v>
      </c>
      <c r="Q814" t="s">
        <v>77</v>
      </c>
      <c r="R814" t="s">
        <v>41</v>
      </c>
      <c r="S814">
        <v>2115</v>
      </c>
      <c r="T814" t="str" cm="1">
        <f t="array" ref="T814">_xlfn.IFS(S814&gt;=10000,"High (&gt;10k)",S814&gt;=5000,"Medium (5k-10k)",S814&lt;5000,"Low (&lt;5k)")</f>
        <v>Low (&lt;5k)</v>
      </c>
      <c r="U814">
        <v>15881</v>
      </c>
      <c r="V814">
        <v>1</v>
      </c>
      <c r="W814" t="s">
        <v>43</v>
      </c>
      <c r="X814">
        <v>12</v>
      </c>
      <c r="Y814">
        <v>3</v>
      </c>
      <c r="Z814">
        <v>2</v>
      </c>
      <c r="AA814">
        <v>0</v>
      </c>
      <c r="AB814">
        <v>17</v>
      </c>
      <c r="AC814">
        <v>3</v>
      </c>
      <c r="AD814" t="s">
        <v>74</v>
      </c>
      <c r="AE814">
        <v>17</v>
      </c>
      <c r="AF814" t="str" cm="1">
        <f t="array" ref="AF814">_xlfn.IFS(AE814&gt;=10,"Veteran (10y+)",AE814&gt;=3,"Established (3-10y)",AE814&lt;3,"New Hire (&lt;3y)")</f>
        <v>Veteran (10y+)</v>
      </c>
      <c r="AG814">
        <v>12</v>
      </c>
      <c r="AH814">
        <v>5</v>
      </c>
      <c r="AI814">
        <v>7</v>
      </c>
    </row>
    <row r="815" spans="1:35">
      <c r="A815">
        <v>37</v>
      </c>
      <c r="B815" t="str">
        <f t="shared" si="12"/>
        <v>Middle Aged</v>
      </c>
      <c r="C815">
        <v>0</v>
      </c>
      <c r="D815" t="s">
        <v>44</v>
      </c>
      <c r="E815">
        <v>889</v>
      </c>
      <c r="F815" t="s">
        <v>45</v>
      </c>
      <c r="G815">
        <v>9</v>
      </c>
      <c r="H815" t="str" cm="1">
        <f t="array" ref="H815">_xlfn.IFS(G815&gt;15,"Long Commute",G815&gt;5,"Moderate",G815&lt;=5,"Near Office")</f>
        <v>Moderate</v>
      </c>
      <c r="I815" t="s">
        <v>72</v>
      </c>
      <c r="J815" t="s">
        <v>51</v>
      </c>
      <c r="K815">
        <v>2</v>
      </c>
      <c r="L815" t="s">
        <v>46</v>
      </c>
      <c r="M815">
        <v>53</v>
      </c>
      <c r="N815">
        <v>3</v>
      </c>
      <c r="O815">
        <v>1</v>
      </c>
      <c r="P815" t="s">
        <v>47</v>
      </c>
      <c r="Q815" t="s">
        <v>77</v>
      </c>
      <c r="R815" t="s">
        <v>48</v>
      </c>
      <c r="S815">
        <v>2326</v>
      </c>
      <c r="T815" t="str" cm="1">
        <f t="array" ref="T815">_xlfn.IFS(S815&gt;=10000,"High (&gt;10k)",S815&gt;=5000,"Medium (5k-10k)",S815&lt;5000,"Low (&lt;5k)")</f>
        <v>Low (&lt;5k)</v>
      </c>
      <c r="U815">
        <v>11411</v>
      </c>
      <c r="V815">
        <v>1</v>
      </c>
      <c r="W815" t="s">
        <v>35</v>
      </c>
      <c r="X815">
        <v>12</v>
      </c>
      <c r="Y815">
        <v>3</v>
      </c>
      <c r="Z815">
        <v>3</v>
      </c>
      <c r="AA815">
        <v>3</v>
      </c>
      <c r="AB815">
        <v>4</v>
      </c>
      <c r="AC815">
        <v>3</v>
      </c>
      <c r="AD815" t="s">
        <v>81</v>
      </c>
      <c r="AE815">
        <v>4</v>
      </c>
      <c r="AF815" t="str" cm="1">
        <f t="array" ref="AF815">_xlfn.IFS(AE815&gt;=10,"Veteran (10y+)",AE815&gt;=3,"Established (3-10y)",AE815&lt;3,"New Hire (&lt;3y)")</f>
        <v>Established (3-10y)</v>
      </c>
      <c r="AG815">
        <v>2</v>
      </c>
      <c r="AH815">
        <v>1</v>
      </c>
      <c r="AI815">
        <v>2</v>
      </c>
    </row>
    <row r="816" spans="1:35">
      <c r="A816">
        <v>37</v>
      </c>
      <c r="B816" t="str">
        <f t="shared" si="12"/>
        <v>Middle Aged</v>
      </c>
      <c r="C816">
        <v>0</v>
      </c>
      <c r="D816" t="s">
        <v>36</v>
      </c>
      <c r="E816">
        <v>1192</v>
      </c>
      <c r="F816" t="s">
        <v>45</v>
      </c>
      <c r="G816">
        <v>5</v>
      </c>
      <c r="H816" t="str" cm="1">
        <f t="array" ref="H816">_xlfn.IFS(G816&gt;15,"Long Commute",G816&gt;5,"Moderate",G816&lt;=5,"Near Office")</f>
        <v>Near Office</v>
      </c>
      <c r="I816" t="s">
        <v>76</v>
      </c>
      <c r="J816" t="s">
        <v>51</v>
      </c>
      <c r="K816">
        <v>4</v>
      </c>
      <c r="L816" t="s">
        <v>46</v>
      </c>
      <c r="M816">
        <v>61</v>
      </c>
      <c r="N816">
        <v>3</v>
      </c>
      <c r="O816">
        <v>2</v>
      </c>
      <c r="P816" t="s">
        <v>53</v>
      </c>
      <c r="Q816" t="s">
        <v>77</v>
      </c>
      <c r="R816" t="s">
        <v>52</v>
      </c>
      <c r="S816">
        <v>6347</v>
      </c>
      <c r="T816" t="str" cm="1">
        <f t="array" ref="T816">_xlfn.IFS(S816&gt;=10000,"High (&gt;10k)",S816&gt;=5000,"Medium (5k-10k)",S816&lt;5000,"Low (&lt;5k)")</f>
        <v>Medium (5k-10k)</v>
      </c>
      <c r="U816">
        <v>23177</v>
      </c>
      <c r="V816">
        <v>7</v>
      </c>
      <c r="W816" t="s">
        <v>43</v>
      </c>
      <c r="X816">
        <v>16</v>
      </c>
      <c r="Y816">
        <v>3</v>
      </c>
      <c r="Z816">
        <v>3</v>
      </c>
      <c r="AA816">
        <v>2</v>
      </c>
      <c r="AB816">
        <v>8</v>
      </c>
      <c r="AC816">
        <v>2</v>
      </c>
      <c r="AD816" t="s">
        <v>81</v>
      </c>
      <c r="AE816">
        <v>6</v>
      </c>
      <c r="AF816" t="str" cm="1">
        <f t="array" ref="AF816">_xlfn.IFS(AE816&gt;=10,"Veteran (10y+)",AE816&gt;=3,"Established (3-10y)",AE816&lt;3,"New Hire (&lt;3y)")</f>
        <v>Established (3-10y)</v>
      </c>
      <c r="AG816">
        <v>2</v>
      </c>
      <c r="AH816">
        <v>0</v>
      </c>
      <c r="AI816">
        <v>4</v>
      </c>
    </row>
    <row r="817" spans="1:35">
      <c r="A817">
        <v>37</v>
      </c>
      <c r="B817" t="str">
        <f t="shared" si="12"/>
        <v>Middle Aged</v>
      </c>
      <c r="C817">
        <v>0</v>
      </c>
      <c r="D817" t="s">
        <v>36</v>
      </c>
      <c r="E817">
        <v>1319</v>
      </c>
      <c r="F817" t="s">
        <v>45</v>
      </c>
      <c r="G817">
        <v>6</v>
      </c>
      <c r="H817" t="str" cm="1">
        <f t="array" ref="H817">_xlfn.IFS(G817&gt;15,"Long Commute",G817&gt;5,"Moderate",G817&lt;=5,"Near Office")</f>
        <v>Moderate</v>
      </c>
      <c r="I817" t="s">
        <v>72</v>
      </c>
      <c r="J817" t="s">
        <v>51</v>
      </c>
      <c r="K817">
        <v>3</v>
      </c>
      <c r="L817" t="s">
        <v>46</v>
      </c>
      <c r="M817">
        <v>51</v>
      </c>
      <c r="N817">
        <v>4</v>
      </c>
      <c r="O817">
        <v>2</v>
      </c>
      <c r="P817" t="s">
        <v>47</v>
      </c>
      <c r="Q817" t="s">
        <v>82</v>
      </c>
      <c r="R817" t="s">
        <v>52</v>
      </c>
      <c r="S817">
        <v>5974</v>
      </c>
      <c r="T817" t="str" cm="1">
        <f t="array" ref="T817">_xlfn.IFS(S817&gt;=10000,"High (&gt;10k)",S817&gt;=5000,"Medium (5k-10k)",S817&lt;5000,"Low (&lt;5k)")</f>
        <v>Medium (5k-10k)</v>
      </c>
      <c r="U817">
        <v>17001</v>
      </c>
      <c r="V817">
        <v>4</v>
      </c>
      <c r="W817" t="s">
        <v>35</v>
      </c>
      <c r="X817">
        <v>13</v>
      </c>
      <c r="Y817">
        <v>3</v>
      </c>
      <c r="Z817">
        <v>1</v>
      </c>
      <c r="AA817">
        <v>2</v>
      </c>
      <c r="AB817">
        <v>13</v>
      </c>
      <c r="AC817">
        <v>2</v>
      </c>
      <c r="AD817" t="s">
        <v>74</v>
      </c>
      <c r="AE817">
        <v>7</v>
      </c>
      <c r="AF817" t="str" cm="1">
        <f t="array" ref="AF817">_xlfn.IFS(AE817&gt;=10,"Veteran (10y+)",AE817&gt;=3,"Established (3-10y)",AE817&lt;3,"New Hire (&lt;3y)")</f>
        <v>Established (3-10y)</v>
      </c>
      <c r="AG817">
        <v>7</v>
      </c>
      <c r="AH817">
        <v>6</v>
      </c>
      <c r="AI817">
        <v>7</v>
      </c>
    </row>
    <row r="818" spans="1:35">
      <c r="A818">
        <v>37</v>
      </c>
      <c r="B818" t="str">
        <f t="shared" si="12"/>
        <v>Middle Aged</v>
      </c>
      <c r="C818">
        <v>0</v>
      </c>
      <c r="D818" t="s">
        <v>36</v>
      </c>
      <c r="E818">
        <v>921</v>
      </c>
      <c r="F818" t="s">
        <v>45</v>
      </c>
      <c r="G818">
        <v>10</v>
      </c>
      <c r="H818" t="str" cm="1">
        <f t="array" ref="H818">_xlfn.IFS(G818&gt;15,"Long Commute",G818&gt;5,"Moderate",G818&lt;=5,"Near Office")</f>
        <v>Moderate</v>
      </c>
      <c r="I818" t="s">
        <v>72</v>
      </c>
      <c r="J818" t="s">
        <v>51</v>
      </c>
      <c r="K818">
        <v>3</v>
      </c>
      <c r="L818" t="s">
        <v>39</v>
      </c>
      <c r="M818">
        <v>98</v>
      </c>
      <c r="N818">
        <v>3</v>
      </c>
      <c r="O818">
        <v>1</v>
      </c>
      <c r="P818" t="s">
        <v>50</v>
      </c>
      <c r="Q818" t="s">
        <v>82</v>
      </c>
      <c r="R818" t="s">
        <v>48</v>
      </c>
      <c r="S818">
        <v>3452</v>
      </c>
      <c r="T818" t="str" cm="1">
        <f t="array" ref="T818">_xlfn.IFS(S818&gt;=10000,"High (&gt;10k)",S818&gt;=5000,"Medium (5k-10k)",S818&lt;5000,"Low (&lt;5k)")</f>
        <v>Low (&lt;5k)</v>
      </c>
      <c r="U818">
        <v>17663</v>
      </c>
      <c r="V818">
        <v>6</v>
      </c>
      <c r="W818" t="s">
        <v>43</v>
      </c>
      <c r="X818">
        <v>20</v>
      </c>
      <c r="Y818">
        <v>4</v>
      </c>
      <c r="Z818">
        <v>2</v>
      </c>
      <c r="AA818">
        <v>1</v>
      </c>
      <c r="AB818">
        <v>17</v>
      </c>
      <c r="AC818">
        <v>3</v>
      </c>
      <c r="AD818" t="s">
        <v>74</v>
      </c>
      <c r="AE818">
        <v>5</v>
      </c>
      <c r="AF818" t="str" cm="1">
        <f t="array" ref="AF818">_xlfn.IFS(AE818&gt;=10,"Veteran (10y+)",AE818&gt;=3,"Established (3-10y)",AE818&lt;3,"New Hire (&lt;3y)")</f>
        <v>Established (3-10y)</v>
      </c>
      <c r="AG818">
        <v>4</v>
      </c>
      <c r="AH818">
        <v>0</v>
      </c>
      <c r="AI818">
        <v>3</v>
      </c>
    </row>
    <row r="819" spans="1:35">
      <c r="A819">
        <v>37</v>
      </c>
      <c r="B819" t="str">
        <f t="shared" si="12"/>
        <v>Middle Aged</v>
      </c>
      <c r="C819">
        <v>0</v>
      </c>
      <c r="D819" t="s">
        <v>36</v>
      </c>
      <c r="E819">
        <v>1107</v>
      </c>
      <c r="F819" t="s">
        <v>45</v>
      </c>
      <c r="G819">
        <v>14</v>
      </c>
      <c r="H819" t="str" cm="1">
        <f t="array" ref="H819">_xlfn.IFS(G819&gt;15,"Long Commute",G819&gt;5,"Moderate",G819&lt;=5,"Near Office")</f>
        <v>Moderate</v>
      </c>
      <c r="I819" t="s">
        <v>72</v>
      </c>
      <c r="J819" t="s">
        <v>38</v>
      </c>
      <c r="K819">
        <v>4</v>
      </c>
      <c r="L819" t="s">
        <v>39</v>
      </c>
      <c r="M819">
        <v>95</v>
      </c>
      <c r="N819">
        <v>3</v>
      </c>
      <c r="O819">
        <v>1</v>
      </c>
      <c r="P819" t="s">
        <v>50</v>
      </c>
      <c r="Q819" t="s">
        <v>82</v>
      </c>
      <c r="R819" t="s">
        <v>52</v>
      </c>
      <c r="S819">
        <v>3034</v>
      </c>
      <c r="T819" t="str" cm="1">
        <f t="array" ref="T819">_xlfn.IFS(S819&gt;=10000,"High (&gt;10k)",S819&gt;=5000,"Medium (5k-10k)",S819&lt;5000,"Low (&lt;5k)")</f>
        <v>Low (&lt;5k)</v>
      </c>
      <c r="U819">
        <v>26914</v>
      </c>
      <c r="V819">
        <v>1</v>
      </c>
      <c r="W819" t="s">
        <v>43</v>
      </c>
      <c r="X819">
        <v>12</v>
      </c>
      <c r="Y819">
        <v>3</v>
      </c>
      <c r="Z819">
        <v>3</v>
      </c>
      <c r="AA819">
        <v>1</v>
      </c>
      <c r="AB819">
        <v>18</v>
      </c>
      <c r="AC819">
        <v>2</v>
      </c>
      <c r="AD819" t="s">
        <v>81</v>
      </c>
      <c r="AE819">
        <v>18</v>
      </c>
      <c r="AF819" t="str" cm="1">
        <f t="array" ref="AF819">_xlfn.IFS(AE819&gt;=10,"Veteran (10y+)",AE819&gt;=3,"Established (3-10y)",AE819&lt;3,"New Hire (&lt;3y)")</f>
        <v>Veteran (10y+)</v>
      </c>
      <c r="AG819">
        <v>7</v>
      </c>
      <c r="AH819">
        <v>12</v>
      </c>
      <c r="AI819">
        <v>17</v>
      </c>
    </row>
    <row r="820" spans="1:35">
      <c r="A820">
        <v>37</v>
      </c>
      <c r="B820" t="str">
        <f t="shared" si="12"/>
        <v>Middle Aged</v>
      </c>
      <c r="C820">
        <v>0</v>
      </c>
      <c r="D820" t="s">
        <v>36</v>
      </c>
      <c r="E820">
        <v>1305</v>
      </c>
      <c r="F820" t="s">
        <v>45</v>
      </c>
      <c r="G820">
        <v>10</v>
      </c>
      <c r="H820" t="str" cm="1">
        <f t="array" ref="H820">_xlfn.IFS(G820&gt;15,"Long Commute",G820&gt;5,"Moderate",G820&lt;=5,"Near Office")</f>
        <v>Moderate</v>
      </c>
      <c r="I820" t="s">
        <v>83</v>
      </c>
      <c r="J820" t="s">
        <v>38</v>
      </c>
      <c r="K820">
        <v>3</v>
      </c>
      <c r="L820" t="s">
        <v>46</v>
      </c>
      <c r="M820">
        <v>49</v>
      </c>
      <c r="N820">
        <v>3</v>
      </c>
      <c r="O820">
        <v>2</v>
      </c>
      <c r="P820" t="s">
        <v>53</v>
      </c>
      <c r="Q820" t="s">
        <v>75</v>
      </c>
      <c r="R820" t="s">
        <v>41</v>
      </c>
      <c r="S820">
        <v>4197</v>
      </c>
      <c r="T820" t="str" cm="1">
        <f t="array" ref="T820">_xlfn.IFS(S820&gt;=10000,"High (&gt;10k)",S820&gt;=5000,"Medium (5k-10k)",S820&lt;5000,"Low (&lt;5k)")</f>
        <v>Low (&lt;5k)</v>
      </c>
      <c r="U820">
        <v>21123</v>
      </c>
      <c r="V820">
        <v>2</v>
      </c>
      <c r="W820" t="s">
        <v>35</v>
      </c>
      <c r="X820">
        <v>12</v>
      </c>
      <c r="Y820">
        <v>3</v>
      </c>
      <c r="Z820">
        <v>4</v>
      </c>
      <c r="AA820">
        <v>0</v>
      </c>
      <c r="AB820">
        <v>18</v>
      </c>
      <c r="AC820">
        <v>2</v>
      </c>
      <c r="AD820" t="s">
        <v>81</v>
      </c>
      <c r="AE820">
        <v>1</v>
      </c>
      <c r="AF820" t="str" cm="1">
        <f t="array" ref="AF820">_xlfn.IFS(AE820&gt;=10,"Veteran (10y+)",AE820&gt;=3,"Established (3-10y)",AE820&lt;3,"New Hire (&lt;3y)")</f>
        <v>New Hire (&lt;3y)</v>
      </c>
      <c r="AG820">
        <v>0</v>
      </c>
      <c r="AH820">
        <v>0</v>
      </c>
      <c r="AI820">
        <v>1</v>
      </c>
    </row>
    <row r="821" spans="1:35">
      <c r="A821">
        <v>37</v>
      </c>
      <c r="B821" t="str">
        <f t="shared" si="12"/>
        <v>Middle Aged</v>
      </c>
      <c r="C821">
        <v>0</v>
      </c>
      <c r="D821" t="s">
        <v>55</v>
      </c>
      <c r="E821">
        <v>1063</v>
      </c>
      <c r="F821" t="s">
        <v>45</v>
      </c>
      <c r="G821">
        <v>25</v>
      </c>
      <c r="H821" t="str" cm="1">
        <f t="array" ref="H821">_xlfn.IFS(G821&gt;15,"Long Commute",G821&gt;5,"Moderate",G821&lt;=5,"Near Office")</f>
        <v>Long Commute</v>
      </c>
      <c r="I821" t="s">
        <v>84</v>
      </c>
      <c r="J821" t="s">
        <v>51</v>
      </c>
      <c r="K821">
        <v>2</v>
      </c>
      <c r="L821" t="s">
        <v>39</v>
      </c>
      <c r="M821">
        <v>72</v>
      </c>
      <c r="N821">
        <v>3</v>
      </c>
      <c r="O821">
        <v>2</v>
      </c>
      <c r="P821" t="s">
        <v>47</v>
      </c>
      <c r="Q821" t="s">
        <v>73</v>
      </c>
      <c r="R821" t="s">
        <v>48</v>
      </c>
      <c r="S821">
        <v>4449</v>
      </c>
      <c r="T821" t="str" cm="1">
        <f t="array" ref="T821">_xlfn.IFS(S821&gt;=10000,"High (&gt;10k)",S821&gt;=5000,"Medium (5k-10k)",S821&lt;5000,"Low (&lt;5k)")</f>
        <v>Low (&lt;5k)</v>
      </c>
      <c r="U821">
        <v>23866</v>
      </c>
      <c r="V821">
        <v>3</v>
      </c>
      <c r="W821" t="s">
        <v>35</v>
      </c>
      <c r="X821">
        <v>15</v>
      </c>
      <c r="Y821">
        <v>3</v>
      </c>
      <c r="Z821">
        <v>1</v>
      </c>
      <c r="AA821">
        <v>2</v>
      </c>
      <c r="AB821">
        <v>15</v>
      </c>
      <c r="AC821">
        <v>2</v>
      </c>
      <c r="AD821" t="s">
        <v>74</v>
      </c>
      <c r="AE821">
        <v>13</v>
      </c>
      <c r="AF821" t="str" cm="1">
        <f t="array" ref="AF821">_xlfn.IFS(AE821&gt;=10,"Veteran (10y+)",AE821&gt;=3,"Established (3-10y)",AE821&lt;3,"New Hire (&lt;3y)")</f>
        <v>Veteran (10y+)</v>
      </c>
      <c r="AG821">
        <v>11</v>
      </c>
      <c r="AH821">
        <v>10</v>
      </c>
      <c r="AI821">
        <v>7</v>
      </c>
    </row>
    <row r="822" spans="1:35">
      <c r="A822">
        <v>37</v>
      </c>
      <c r="B822" t="str">
        <f t="shared" si="12"/>
        <v>Middle Aged</v>
      </c>
      <c r="C822">
        <v>0</v>
      </c>
      <c r="D822" t="s">
        <v>36</v>
      </c>
      <c r="E822">
        <v>799</v>
      </c>
      <c r="F822" t="s">
        <v>45</v>
      </c>
      <c r="G822">
        <v>1</v>
      </c>
      <c r="H822" t="str" cm="1">
        <f t="array" ref="H822">_xlfn.IFS(G822&gt;15,"Long Commute",G822&gt;5,"Moderate",G822&lt;=5,"Near Office")</f>
        <v>Near Office</v>
      </c>
      <c r="I822" t="s">
        <v>72</v>
      </c>
      <c r="J822" t="s">
        <v>60</v>
      </c>
      <c r="K822">
        <v>2</v>
      </c>
      <c r="L822" t="s">
        <v>39</v>
      </c>
      <c r="M822">
        <v>59</v>
      </c>
      <c r="N822">
        <v>3</v>
      </c>
      <c r="O822">
        <v>3</v>
      </c>
      <c r="P822" t="s">
        <v>53</v>
      </c>
      <c r="Q822" t="s">
        <v>77</v>
      </c>
      <c r="R822" t="s">
        <v>41</v>
      </c>
      <c r="S822">
        <v>7491</v>
      </c>
      <c r="T822" t="str" cm="1">
        <f t="array" ref="T822">_xlfn.IFS(S822&gt;=10000,"High (&gt;10k)",S822&gt;=5000,"Medium (5k-10k)",S822&lt;5000,"Low (&lt;5k)")</f>
        <v>Medium (5k-10k)</v>
      </c>
      <c r="U822">
        <v>23848</v>
      </c>
      <c r="V822">
        <v>4</v>
      </c>
      <c r="W822" t="s">
        <v>43</v>
      </c>
      <c r="X822">
        <v>17</v>
      </c>
      <c r="Y822">
        <v>3</v>
      </c>
      <c r="Z822">
        <v>4</v>
      </c>
      <c r="AA822">
        <v>0</v>
      </c>
      <c r="AB822">
        <v>12</v>
      </c>
      <c r="AC822">
        <v>3</v>
      </c>
      <c r="AD822" t="s">
        <v>79</v>
      </c>
      <c r="AE822">
        <v>6</v>
      </c>
      <c r="AF822" t="str" cm="1">
        <f t="array" ref="AF822">_xlfn.IFS(AE822&gt;=10,"Veteran (10y+)",AE822&gt;=3,"Established (3-10y)",AE822&lt;3,"New Hire (&lt;3y)")</f>
        <v>Established (3-10y)</v>
      </c>
      <c r="AG822">
        <v>5</v>
      </c>
      <c r="AH822">
        <v>1</v>
      </c>
      <c r="AI822">
        <v>2</v>
      </c>
    </row>
    <row r="823" spans="1:35">
      <c r="A823">
        <v>37</v>
      </c>
      <c r="B823" t="str">
        <f t="shared" si="12"/>
        <v>Middle Aged</v>
      </c>
      <c r="C823">
        <v>0</v>
      </c>
      <c r="D823" t="s">
        <v>55</v>
      </c>
      <c r="E823">
        <v>142</v>
      </c>
      <c r="F823" t="s">
        <v>37</v>
      </c>
      <c r="G823">
        <v>9</v>
      </c>
      <c r="H823" t="str" cm="1">
        <f t="array" ref="H823">_xlfn.IFS(G823&gt;15,"Long Commute",G823&gt;5,"Moderate",G823&lt;=5,"Near Office")</f>
        <v>Moderate</v>
      </c>
      <c r="I823" t="s">
        <v>83</v>
      </c>
      <c r="J823" t="s">
        <v>51</v>
      </c>
      <c r="K823">
        <v>1</v>
      </c>
      <c r="L823" t="s">
        <v>46</v>
      </c>
      <c r="M823">
        <v>69</v>
      </c>
      <c r="N823">
        <v>3</v>
      </c>
      <c r="O823">
        <v>3</v>
      </c>
      <c r="P823" t="s">
        <v>40</v>
      </c>
      <c r="Q823" t="s">
        <v>75</v>
      </c>
      <c r="R823" t="s">
        <v>52</v>
      </c>
      <c r="S823">
        <v>8834</v>
      </c>
      <c r="T823" t="str" cm="1">
        <f t="array" ref="T823">_xlfn.IFS(S823&gt;=10000,"High (&gt;10k)",S823&gt;=5000,"Medium (5k-10k)",S823&lt;5000,"Low (&lt;5k)")</f>
        <v>Medium (5k-10k)</v>
      </c>
      <c r="U823">
        <v>24666</v>
      </c>
      <c r="V823">
        <v>1</v>
      </c>
      <c r="W823" t="s">
        <v>43</v>
      </c>
      <c r="X823">
        <v>13</v>
      </c>
      <c r="Y823">
        <v>3</v>
      </c>
      <c r="Z823">
        <v>4</v>
      </c>
      <c r="AA823">
        <v>1</v>
      </c>
      <c r="AB823">
        <v>9</v>
      </c>
      <c r="AC823">
        <v>6</v>
      </c>
      <c r="AD823" t="s">
        <v>74</v>
      </c>
      <c r="AE823">
        <v>9</v>
      </c>
      <c r="AF823" t="str" cm="1">
        <f t="array" ref="AF823">_xlfn.IFS(AE823&gt;=10,"Veteran (10y+)",AE823&gt;=3,"Established (3-10y)",AE823&lt;3,"New Hire (&lt;3y)")</f>
        <v>Established (3-10y)</v>
      </c>
      <c r="AG823">
        <v>5</v>
      </c>
      <c r="AH823">
        <v>7</v>
      </c>
      <c r="AI823">
        <v>7</v>
      </c>
    </row>
    <row r="824" spans="1:35">
      <c r="A824">
        <v>37</v>
      </c>
      <c r="B824" t="str">
        <f t="shared" si="12"/>
        <v>Middle Aged</v>
      </c>
      <c r="C824">
        <v>0</v>
      </c>
      <c r="D824" t="s">
        <v>36</v>
      </c>
      <c r="E824">
        <v>446</v>
      </c>
      <c r="F824" t="s">
        <v>45</v>
      </c>
      <c r="G824">
        <v>1</v>
      </c>
      <c r="H824" t="str" cm="1">
        <f t="array" ref="H824">_xlfn.IFS(G824&gt;15,"Long Commute",G824&gt;5,"Moderate",G824&lt;=5,"Near Office")</f>
        <v>Near Office</v>
      </c>
      <c r="I824" t="s">
        <v>83</v>
      </c>
      <c r="J824" t="s">
        <v>38</v>
      </c>
      <c r="K824">
        <v>2</v>
      </c>
      <c r="L824" t="s">
        <v>39</v>
      </c>
      <c r="M824">
        <v>65</v>
      </c>
      <c r="N824">
        <v>3</v>
      </c>
      <c r="O824">
        <v>2</v>
      </c>
      <c r="P824" t="s">
        <v>53</v>
      </c>
      <c r="Q824" t="s">
        <v>75</v>
      </c>
      <c r="R824" t="s">
        <v>48</v>
      </c>
      <c r="S824">
        <v>6447</v>
      </c>
      <c r="T824" t="str" cm="1">
        <f t="array" ref="T824">_xlfn.IFS(S824&gt;=10000,"High (&gt;10k)",S824&gt;=5000,"Medium (5k-10k)",S824&lt;5000,"Low (&lt;5k)")</f>
        <v>Medium (5k-10k)</v>
      </c>
      <c r="U824">
        <v>15701</v>
      </c>
      <c r="V824">
        <v>6</v>
      </c>
      <c r="W824" t="s">
        <v>43</v>
      </c>
      <c r="X824">
        <v>12</v>
      </c>
      <c r="Y824">
        <v>3</v>
      </c>
      <c r="Z824">
        <v>2</v>
      </c>
      <c r="AA824">
        <v>1</v>
      </c>
      <c r="AB824">
        <v>8</v>
      </c>
      <c r="AC824">
        <v>2</v>
      </c>
      <c r="AD824" t="s">
        <v>81</v>
      </c>
      <c r="AE824">
        <v>6</v>
      </c>
      <c r="AF824" t="str" cm="1">
        <f t="array" ref="AF824">_xlfn.IFS(AE824&gt;=10,"Veteran (10y+)",AE824&gt;=3,"Established (3-10y)",AE824&lt;3,"New Hire (&lt;3y)")</f>
        <v>Established (3-10y)</v>
      </c>
      <c r="AG824">
        <v>5</v>
      </c>
      <c r="AH824">
        <v>4</v>
      </c>
      <c r="AI824">
        <v>3</v>
      </c>
    </row>
    <row r="825" spans="1:35">
      <c r="A825">
        <v>37</v>
      </c>
      <c r="B825" t="str">
        <f t="shared" si="12"/>
        <v>Middle Aged</v>
      </c>
      <c r="C825">
        <v>0</v>
      </c>
      <c r="D825" t="s">
        <v>36</v>
      </c>
      <c r="E825">
        <v>558</v>
      </c>
      <c r="F825" t="s">
        <v>37</v>
      </c>
      <c r="G825">
        <v>2</v>
      </c>
      <c r="H825" t="str" cm="1">
        <f t="array" ref="H825">_xlfn.IFS(G825&gt;15,"Long Commute",G825&gt;5,"Moderate",G825&lt;=5,"Near Office")</f>
        <v>Near Office</v>
      </c>
      <c r="I825" t="s">
        <v>72</v>
      </c>
      <c r="J825" t="s">
        <v>59</v>
      </c>
      <c r="K825">
        <v>4</v>
      </c>
      <c r="L825" t="s">
        <v>46</v>
      </c>
      <c r="M825">
        <v>75</v>
      </c>
      <c r="N825">
        <v>3</v>
      </c>
      <c r="O825">
        <v>2</v>
      </c>
      <c r="P825" t="s">
        <v>40</v>
      </c>
      <c r="Q825" t="s">
        <v>73</v>
      </c>
      <c r="R825" t="s">
        <v>48</v>
      </c>
      <c r="S825">
        <v>9602</v>
      </c>
      <c r="T825" t="str" cm="1">
        <f t="array" ref="T825">_xlfn.IFS(S825&gt;=10000,"High (&gt;10k)",S825&gt;=5000,"Medium (5k-10k)",S825&lt;5000,"Low (&lt;5k)")</f>
        <v>Medium (5k-10k)</v>
      </c>
      <c r="U825">
        <v>3010</v>
      </c>
      <c r="V825">
        <v>4</v>
      </c>
      <c r="W825" t="s">
        <v>35</v>
      </c>
      <c r="X825">
        <v>11</v>
      </c>
      <c r="Y825">
        <v>3</v>
      </c>
      <c r="Z825">
        <v>3</v>
      </c>
      <c r="AA825">
        <v>1</v>
      </c>
      <c r="AB825">
        <v>17</v>
      </c>
      <c r="AC825">
        <v>3</v>
      </c>
      <c r="AD825" t="s">
        <v>81</v>
      </c>
      <c r="AE825">
        <v>3</v>
      </c>
      <c r="AF825" t="str" cm="1">
        <f t="array" ref="AF825">_xlfn.IFS(AE825&gt;=10,"Veteran (10y+)",AE825&gt;=3,"Established (3-10y)",AE825&lt;3,"New Hire (&lt;3y)")</f>
        <v>Established (3-10y)</v>
      </c>
      <c r="AG825">
        <v>0</v>
      </c>
      <c r="AH825">
        <v>1</v>
      </c>
      <c r="AI825">
        <v>0</v>
      </c>
    </row>
    <row r="826" spans="1:35">
      <c r="A826">
        <v>37</v>
      </c>
      <c r="B826" t="str">
        <f t="shared" si="12"/>
        <v>Middle Aged</v>
      </c>
      <c r="C826">
        <v>0</v>
      </c>
      <c r="D826" t="s">
        <v>36</v>
      </c>
      <c r="E826">
        <v>482</v>
      </c>
      <c r="F826" t="s">
        <v>45</v>
      </c>
      <c r="G826">
        <v>3</v>
      </c>
      <c r="H826" t="str" cm="1">
        <f t="array" ref="H826">_xlfn.IFS(G826&gt;15,"Long Commute",G826&gt;5,"Moderate",G826&lt;=5,"Near Office")</f>
        <v>Near Office</v>
      </c>
      <c r="I826" t="s">
        <v>72</v>
      </c>
      <c r="J826" t="s">
        <v>49</v>
      </c>
      <c r="K826">
        <v>3</v>
      </c>
      <c r="L826" t="s">
        <v>46</v>
      </c>
      <c r="M826">
        <v>36</v>
      </c>
      <c r="N826">
        <v>3</v>
      </c>
      <c r="O826">
        <v>3</v>
      </c>
      <c r="P826" t="s">
        <v>53</v>
      </c>
      <c r="Q826" t="s">
        <v>73</v>
      </c>
      <c r="R826" t="s">
        <v>48</v>
      </c>
      <c r="S826">
        <v>9434</v>
      </c>
      <c r="T826" t="str" cm="1">
        <f t="array" ref="T826">_xlfn.IFS(S826&gt;=10000,"High (&gt;10k)",S826&gt;=5000,"Medium (5k-10k)",S826&lt;5000,"Low (&lt;5k)")</f>
        <v>Medium (5k-10k)</v>
      </c>
      <c r="U826">
        <v>9606</v>
      </c>
      <c r="V826">
        <v>1</v>
      </c>
      <c r="W826" t="s">
        <v>43</v>
      </c>
      <c r="X826">
        <v>15</v>
      </c>
      <c r="Y826">
        <v>3</v>
      </c>
      <c r="Z826">
        <v>3</v>
      </c>
      <c r="AA826">
        <v>1</v>
      </c>
      <c r="AB826">
        <v>10</v>
      </c>
      <c r="AC826">
        <v>2</v>
      </c>
      <c r="AD826" t="s">
        <v>74</v>
      </c>
      <c r="AE826">
        <v>10</v>
      </c>
      <c r="AF826" t="str" cm="1">
        <f t="array" ref="AF826">_xlfn.IFS(AE826&gt;=10,"Veteran (10y+)",AE826&gt;=3,"Established (3-10y)",AE826&lt;3,"New Hire (&lt;3y)")</f>
        <v>Veteran (10y+)</v>
      </c>
      <c r="AG826">
        <v>7</v>
      </c>
      <c r="AH826">
        <v>7</v>
      </c>
      <c r="AI826">
        <v>8</v>
      </c>
    </row>
    <row r="827" spans="1:35">
      <c r="A827">
        <v>37</v>
      </c>
      <c r="B827" t="str">
        <f t="shared" si="12"/>
        <v>Middle Aged</v>
      </c>
      <c r="C827">
        <v>0</v>
      </c>
      <c r="D827" t="s">
        <v>36</v>
      </c>
      <c r="E827">
        <v>1225</v>
      </c>
      <c r="F827" t="s">
        <v>45</v>
      </c>
      <c r="G827">
        <v>10</v>
      </c>
      <c r="H827" t="str" cm="1">
        <f t="array" ref="H827">_xlfn.IFS(G827&gt;15,"Long Commute",G827&gt;5,"Moderate",G827&lt;=5,"Near Office")</f>
        <v>Moderate</v>
      </c>
      <c r="I827" t="s">
        <v>76</v>
      </c>
      <c r="J827" t="s">
        <v>38</v>
      </c>
      <c r="K827">
        <v>4</v>
      </c>
      <c r="L827" t="s">
        <v>46</v>
      </c>
      <c r="M827">
        <v>80</v>
      </c>
      <c r="N827">
        <v>4</v>
      </c>
      <c r="O827">
        <v>1</v>
      </c>
      <c r="P827" t="s">
        <v>47</v>
      </c>
      <c r="Q827" t="s">
        <v>77</v>
      </c>
      <c r="R827" t="s">
        <v>41</v>
      </c>
      <c r="S827">
        <v>4680</v>
      </c>
      <c r="T827" t="str" cm="1">
        <f t="array" ref="T827">_xlfn.IFS(S827&gt;=10000,"High (&gt;10k)",S827&gt;=5000,"Medium (5k-10k)",S827&lt;5000,"Low (&lt;5k)")</f>
        <v>Low (&lt;5k)</v>
      </c>
      <c r="U827">
        <v>15232</v>
      </c>
      <c r="V827">
        <v>3</v>
      </c>
      <c r="W827" t="s">
        <v>43</v>
      </c>
      <c r="X827">
        <v>17</v>
      </c>
      <c r="Y827">
        <v>3</v>
      </c>
      <c r="Z827">
        <v>1</v>
      </c>
      <c r="AA827">
        <v>0</v>
      </c>
      <c r="AB827">
        <v>4</v>
      </c>
      <c r="AC827">
        <v>2</v>
      </c>
      <c r="AD827" t="s">
        <v>74</v>
      </c>
      <c r="AE827">
        <v>1</v>
      </c>
      <c r="AF827" t="str" cm="1">
        <f t="array" ref="AF827">_xlfn.IFS(AE827&gt;=10,"Veteran (10y+)",AE827&gt;=3,"Established (3-10y)",AE827&lt;3,"New Hire (&lt;3y)")</f>
        <v>New Hire (&lt;3y)</v>
      </c>
      <c r="AG827">
        <v>0</v>
      </c>
      <c r="AH827">
        <v>0</v>
      </c>
      <c r="AI827">
        <v>0</v>
      </c>
    </row>
    <row r="828" spans="1:35">
      <c r="A828">
        <v>37</v>
      </c>
      <c r="B828" t="str">
        <f t="shared" si="12"/>
        <v>Middle Aged</v>
      </c>
      <c r="C828">
        <v>0</v>
      </c>
      <c r="D828" t="s">
        <v>36</v>
      </c>
      <c r="E828">
        <v>571</v>
      </c>
      <c r="F828" t="s">
        <v>45</v>
      </c>
      <c r="G828">
        <v>10</v>
      </c>
      <c r="H828" t="str" cm="1">
        <f t="array" ref="H828">_xlfn.IFS(G828&gt;15,"Long Commute",G828&gt;5,"Moderate",G828&lt;=5,"Near Office")</f>
        <v>Moderate</v>
      </c>
      <c r="I828" t="s">
        <v>78</v>
      </c>
      <c r="J828" t="s">
        <v>38</v>
      </c>
      <c r="K828">
        <v>4</v>
      </c>
      <c r="L828" t="s">
        <v>39</v>
      </c>
      <c r="M828">
        <v>82</v>
      </c>
      <c r="N828">
        <v>3</v>
      </c>
      <c r="O828">
        <v>1</v>
      </c>
      <c r="P828" t="s">
        <v>47</v>
      </c>
      <c r="Q828" t="s">
        <v>82</v>
      </c>
      <c r="R828" t="s">
        <v>52</v>
      </c>
      <c r="S828">
        <v>2782</v>
      </c>
      <c r="T828" t="str" cm="1">
        <f t="array" ref="T828">_xlfn.IFS(S828&gt;=10000,"High (&gt;10k)",S828&gt;=5000,"Medium (5k-10k)",S828&lt;5000,"Low (&lt;5k)")</f>
        <v>Low (&lt;5k)</v>
      </c>
      <c r="U828">
        <v>19905</v>
      </c>
      <c r="V828">
        <v>0</v>
      </c>
      <c r="W828" t="s">
        <v>35</v>
      </c>
      <c r="X828">
        <v>13</v>
      </c>
      <c r="Y828">
        <v>3</v>
      </c>
      <c r="Z828">
        <v>2</v>
      </c>
      <c r="AA828">
        <v>2</v>
      </c>
      <c r="AB828">
        <v>6</v>
      </c>
      <c r="AC828">
        <v>3</v>
      </c>
      <c r="AD828" t="s">
        <v>81</v>
      </c>
      <c r="AE828">
        <v>5</v>
      </c>
      <c r="AF828" t="str" cm="1">
        <f t="array" ref="AF828">_xlfn.IFS(AE828&gt;=10,"Veteran (10y+)",AE828&gt;=3,"Established (3-10y)",AE828&lt;3,"New Hire (&lt;3y)")</f>
        <v>Established (3-10y)</v>
      </c>
      <c r="AG828">
        <v>3</v>
      </c>
      <c r="AH828">
        <v>4</v>
      </c>
      <c r="AI828">
        <v>3</v>
      </c>
    </row>
    <row r="829" spans="1:35">
      <c r="A829">
        <v>37</v>
      </c>
      <c r="B829" t="str">
        <f t="shared" si="12"/>
        <v>Middle Aged</v>
      </c>
      <c r="C829">
        <v>0</v>
      </c>
      <c r="D829" t="s">
        <v>36</v>
      </c>
      <c r="E829">
        <v>342</v>
      </c>
      <c r="F829" t="s">
        <v>37</v>
      </c>
      <c r="G829">
        <v>16</v>
      </c>
      <c r="H829" t="str" cm="1">
        <f t="array" ref="H829">_xlfn.IFS(G829&gt;15,"Long Commute",G829&gt;5,"Moderate",G829&lt;=5,"Near Office")</f>
        <v>Long Commute</v>
      </c>
      <c r="I829" t="s">
        <v>83</v>
      </c>
      <c r="J829" t="s">
        <v>59</v>
      </c>
      <c r="K829">
        <v>4</v>
      </c>
      <c r="L829" t="s">
        <v>46</v>
      </c>
      <c r="M829">
        <v>66</v>
      </c>
      <c r="N829">
        <v>2</v>
      </c>
      <c r="O829">
        <v>2</v>
      </c>
      <c r="P829" t="s">
        <v>40</v>
      </c>
      <c r="Q829" t="s">
        <v>73</v>
      </c>
      <c r="R829" t="s">
        <v>52</v>
      </c>
      <c r="S829">
        <v>6334</v>
      </c>
      <c r="T829" t="str" cm="1">
        <f t="array" ref="T829">_xlfn.IFS(S829&gt;=10000,"High (&gt;10k)",S829&gt;=5000,"Medium (5k-10k)",S829&lt;5000,"Low (&lt;5k)")</f>
        <v>Medium (5k-10k)</v>
      </c>
      <c r="U829">
        <v>24558</v>
      </c>
      <c r="V829">
        <v>4</v>
      </c>
      <c r="W829" t="s">
        <v>43</v>
      </c>
      <c r="X829">
        <v>19</v>
      </c>
      <c r="Y829">
        <v>3</v>
      </c>
      <c r="Z829">
        <v>4</v>
      </c>
      <c r="AA829">
        <v>2</v>
      </c>
      <c r="AB829">
        <v>9</v>
      </c>
      <c r="AC829">
        <v>2</v>
      </c>
      <c r="AD829" t="s">
        <v>74</v>
      </c>
      <c r="AE829">
        <v>1</v>
      </c>
      <c r="AF829" t="str" cm="1">
        <f t="array" ref="AF829">_xlfn.IFS(AE829&gt;=10,"Veteran (10y+)",AE829&gt;=3,"Established (3-10y)",AE829&lt;3,"New Hire (&lt;3y)")</f>
        <v>New Hire (&lt;3y)</v>
      </c>
      <c r="AG829">
        <v>0</v>
      </c>
      <c r="AH829">
        <v>0</v>
      </c>
      <c r="AI829">
        <v>0</v>
      </c>
    </row>
    <row r="830" spans="1:35">
      <c r="A830">
        <v>37</v>
      </c>
      <c r="B830" t="str">
        <f t="shared" si="12"/>
        <v>Middle Aged</v>
      </c>
      <c r="C830">
        <v>0</v>
      </c>
      <c r="D830" t="s">
        <v>44</v>
      </c>
      <c r="E830">
        <v>1231</v>
      </c>
      <c r="F830" t="s">
        <v>37</v>
      </c>
      <c r="G830">
        <v>21</v>
      </c>
      <c r="H830" t="str" cm="1">
        <f t="array" ref="H830">_xlfn.IFS(G830&gt;15,"Long Commute",G830&gt;5,"Moderate",G830&lt;=5,"Near Office")</f>
        <v>Long Commute</v>
      </c>
      <c r="I830" t="s">
        <v>76</v>
      </c>
      <c r="J830" t="s">
        <v>51</v>
      </c>
      <c r="K830">
        <v>3</v>
      </c>
      <c r="L830" t="s">
        <v>39</v>
      </c>
      <c r="M830">
        <v>54</v>
      </c>
      <c r="N830">
        <v>3</v>
      </c>
      <c r="O830">
        <v>1</v>
      </c>
      <c r="P830" t="s">
        <v>57</v>
      </c>
      <c r="Q830" t="s">
        <v>77</v>
      </c>
      <c r="R830" t="s">
        <v>48</v>
      </c>
      <c r="S830">
        <v>2973</v>
      </c>
      <c r="T830" t="str" cm="1">
        <f t="array" ref="T830">_xlfn.IFS(S830&gt;=10000,"High (&gt;10k)",S830&gt;=5000,"Medium (5k-10k)",S830&lt;5000,"Low (&lt;5k)")</f>
        <v>Low (&lt;5k)</v>
      </c>
      <c r="U830">
        <v>21222</v>
      </c>
      <c r="V830">
        <v>5</v>
      </c>
      <c r="W830" t="s">
        <v>43</v>
      </c>
      <c r="X830">
        <v>15</v>
      </c>
      <c r="Y830">
        <v>3</v>
      </c>
      <c r="Z830">
        <v>2</v>
      </c>
      <c r="AA830">
        <v>1</v>
      </c>
      <c r="AB830">
        <v>10</v>
      </c>
      <c r="AC830">
        <v>3</v>
      </c>
      <c r="AD830" t="s">
        <v>74</v>
      </c>
      <c r="AE830">
        <v>5</v>
      </c>
      <c r="AF830" t="str" cm="1">
        <f t="array" ref="AF830">_xlfn.IFS(AE830&gt;=10,"Veteran (10y+)",AE830&gt;=3,"Established (3-10y)",AE830&lt;3,"New Hire (&lt;3y)")</f>
        <v>Established (3-10y)</v>
      </c>
      <c r="AG830">
        <v>4</v>
      </c>
      <c r="AH830">
        <v>0</v>
      </c>
      <c r="AI830">
        <v>0</v>
      </c>
    </row>
    <row r="831" spans="1:35">
      <c r="A831">
        <v>37</v>
      </c>
      <c r="B831" t="str">
        <f t="shared" si="12"/>
        <v>Middle Aged</v>
      </c>
      <c r="C831">
        <v>0</v>
      </c>
      <c r="D831" t="s">
        <v>55</v>
      </c>
      <c r="E831">
        <v>1252</v>
      </c>
      <c r="F831" t="s">
        <v>37</v>
      </c>
      <c r="G831">
        <v>19</v>
      </c>
      <c r="H831" t="str" cm="1">
        <f t="array" ref="H831">_xlfn.IFS(G831&gt;15,"Long Commute",G831&gt;5,"Moderate",G831&lt;=5,"Near Office")</f>
        <v>Long Commute</v>
      </c>
      <c r="I831" t="s">
        <v>76</v>
      </c>
      <c r="J831" t="s">
        <v>51</v>
      </c>
      <c r="K831">
        <v>1</v>
      </c>
      <c r="L831" t="s">
        <v>46</v>
      </c>
      <c r="M831">
        <v>32</v>
      </c>
      <c r="N831">
        <v>3</v>
      </c>
      <c r="O831">
        <v>3</v>
      </c>
      <c r="P831" t="s">
        <v>40</v>
      </c>
      <c r="Q831" t="s">
        <v>75</v>
      </c>
      <c r="R831" t="s">
        <v>41</v>
      </c>
      <c r="S831">
        <v>7642</v>
      </c>
      <c r="T831" t="str" cm="1">
        <f t="array" ref="T831">_xlfn.IFS(S831&gt;=10000,"High (&gt;10k)",S831&gt;=5000,"Medium (5k-10k)",S831&lt;5000,"Low (&lt;5k)")</f>
        <v>Medium (5k-10k)</v>
      </c>
      <c r="U831">
        <v>4814</v>
      </c>
      <c r="V831">
        <v>1</v>
      </c>
      <c r="W831" t="s">
        <v>35</v>
      </c>
      <c r="X831">
        <v>13</v>
      </c>
      <c r="Y831">
        <v>3</v>
      </c>
      <c r="Z831">
        <v>4</v>
      </c>
      <c r="AA831">
        <v>0</v>
      </c>
      <c r="AB831">
        <v>10</v>
      </c>
      <c r="AC831">
        <v>2</v>
      </c>
      <c r="AD831" t="s">
        <v>74</v>
      </c>
      <c r="AE831">
        <v>10</v>
      </c>
      <c r="AF831" t="str" cm="1">
        <f t="array" ref="AF831">_xlfn.IFS(AE831&gt;=10,"Veteran (10y+)",AE831&gt;=3,"Established (3-10y)",AE831&lt;3,"New Hire (&lt;3y)")</f>
        <v>Veteran (10y+)</v>
      </c>
      <c r="AG831">
        <v>0</v>
      </c>
      <c r="AH831">
        <v>0</v>
      </c>
      <c r="AI831">
        <v>9</v>
      </c>
    </row>
    <row r="832" spans="1:35">
      <c r="A832">
        <v>37</v>
      </c>
      <c r="B832" t="str">
        <f t="shared" si="12"/>
        <v>Middle Aged</v>
      </c>
      <c r="C832">
        <v>1</v>
      </c>
      <c r="D832" t="s">
        <v>36</v>
      </c>
      <c r="E832">
        <v>625</v>
      </c>
      <c r="F832" t="s">
        <v>37</v>
      </c>
      <c r="G832">
        <v>1</v>
      </c>
      <c r="H832" t="str" cm="1">
        <f t="array" ref="H832">_xlfn.IFS(G832&gt;15,"Long Commute",G832&gt;5,"Moderate",G832&lt;=5,"Near Office")</f>
        <v>Near Office</v>
      </c>
      <c r="I832" t="s">
        <v>83</v>
      </c>
      <c r="J832" t="s">
        <v>38</v>
      </c>
      <c r="K832">
        <v>1</v>
      </c>
      <c r="L832" t="s">
        <v>46</v>
      </c>
      <c r="M832">
        <v>46</v>
      </c>
      <c r="N832">
        <v>2</v>
      </c>
      <c r="O832">
        <v>3</v>
      </c>
      <c r="P832" t="s">
        <v>40</v>
      </c>
      <c r="Q832" t="s">
        <v>73</v>
      </c>
      <c r="R832" t="s">
        <v>48</v>
      </c>
      <c r="S832">
        <v>10609</v>
      </c>
      <c r="T832" t="str" cm="1">
        <f t="array" ref="T832">_xlfn.IFS(S832&gt;=10000,"High (&gt;10k)",S832&gt;=5000,"Medium (5k-10k)",S832&lt;5000,"Low (&lt;5k)")</f>
        <v>High (&gt;10k)</v>
      </c>
      <c r="U832">
        <v>14922</v>
      </c>
      <c r="V832">
        <v>5</v>
      </c>
      <c r="W832" t="s">
        <v>43</v>
      </c>
      <c r="X832">
        <v>11</v>
      </c>
      <c r="Y832">
        <v>3</v>
      </c>
      <c r="Z832">
        <v>3</v>
      </c>
      <c r="AA832">
        <v>0</v>
      </c>
      <c r="AB832">
        <v>17</v>
      </c>
      <c r="AC832">
        <v>2</v>
      </c>
      <c r="AD832" t="s">
        <v>80</v>
      </c>
      <c r="AE832">
        <v>14</v>
      </c>
      <c r="AF832" t="str" cm="1">
        <f t="array" ref="AF832">_xlfn.IFS(AE832&gt;=10,"Veteran (10y+)",AE832&gt;=3,"Established (3-10y)",AE832&lt;3,"New Hire (&lt;3y)")</f>
        <v>Veteran (10y+)</v>
      </c>
      <c r="AG832">
        <v>1</v>
      </c>
      <c r="AH832">
        <v>11</v>
      </c>
      <c r="AI832">
        <v>7</v>
      </c>
    </row>
    <row r="833" spans="1:35">
      <c r="A833">
        <v>37</v>
      </c>
      <c r="B833" t="str">
        <f t="shared" si="12"/>
        <v>Middle Aged</v>
      </c>
      <c r="C833">
        <v>1</v>
      </c>
      <c r="D833" t="s">
        <v>36</v>
      </c>
      <c r="E833">
        <v>1141</v>
      </c>
      <c r="F833" t="s">
        <v>45</v>
      </c>
      <c r="G833">
        <v>11</v>
      </c>
      <c r="H833" t="str" cm="1">
        <f t="array" ref="H833">_xlfn.IFS(G833&gt;15,"Long Commute",G833&gt;5,"Moderate",G833&lt;=5,"Near Office")</f>
        <v>Moderate</v>
      </c>
      <c r="I833" t="s">
        <v>76</v>
      </c>
      <c r="J833" t="s">
        <v>51</v>
      </c>
      <c r="K833">
        <v>1</v>
      </c>
      <c r="L833" t="s">
        <v>39</v>
      </c>
      <c r="M833">
        <v>61</v>
      </c>
      <c r="N833">
        <v>1</v>
      </c>
      <c r="O833">
        <v>2</v>
      </c>
      <c r="P833" t="s">
        <v>54</v>
      </c>
      <c r="Q833" t="s">
        <v>75</v>
      </c>
      <c r="R833" t="s">
        <v>48</v>
      </c>
      <c r="S833">
        <v>4777</v>
      </c>
      <c r="T833" t="str" cm="1">
        <f t="array" ref="T833">_xlfn.IFS(S833&gt;=10000,"High (&gt;10k)",S833&gt;=5000,"Medium (5k-10k)",S833&lt;5000,"Low (&lt;5k)")</f>
        <v>Low (&lt;5k)</v>
      </c>
      <c r="U833">
        <v>14382</v>
      </c>
      <c r="V833">
        <v>5</v>
      </c>
      <c r="W833" t="s">
        <v>43</v>
      </c>
      <c r="X833">
        <v>15</v>
      </c>
      <c r="Y833">
        <v>3</v>
      </c>
      <c r="Z833">
        <v>1</v>
      </c>
      <c r="AA833">
        <v>0</v>
      </c>
      <c r="AB833">
        <v>15</v>
      </c>
      <c r="AC833">
        <v>2</v>
      </c>
      <c r="AD833" t="s">
        <v>80</v>
      </c>
      <c r="AE833">
        <v>1</v>
      </c>
      <c r="AF833" t="str" cm="1">
        <f t="array" ref="AF833">_xlfn.IFS(AE833&gt;=10,"Veteran (10y+)",AE833&gt;=3,"Established (3-10y)",AE833&lt;3,"New Hire (&lt;3y)")</f>
        <v>New Hire (&lt;3y)</v>
      </c>
      <c r="AG833">
        <v>0</v>
      </c>
      <c r="AH833">
        <v>0</v>
      </c>
      <c r="AI833">
        <v>0</v>
      </c>
    </row>
    <row r="834" spans="1:35">
      <c r="A834">
        <v>37</v>
      </c>
      <c r="B834" t="str">
        <f t="shared" si="12"/>
        <v>Middle Aged</v>
      </c>
      <c r="C834">
        <v>0</v>
      </c>
      <c r="D834" t="s">
        <v>36</v>
      </c>
      <c r="E834">
        <v>124</v>
      </c>
      <c r="F834" t="s">
        <v>45</v>
      </c>
      <c r="G834">
        <v>3</v>
      </c>
      <c r="H834" t="str" cm="1">
        <f t="array" ref="H834">_xlfn.IFS(G834&gt;15,"Long Commute",G834&gt;5,"Moderate",G834&lt;=5,"Near Office")</f>
        <v>Near Office</v>
      </c>
      <c r="I834" t="s">
        <v>72</v>
      </c>
      <c r="J834" t="s">
        <v>49</v>
      </c>
      <c r="K834">
        <v>4</v>
      </c>
      <c r="L834" t="s">
        <v>39</v>
      </c>
      <c r="M834">
        <v>35</v>
      </c>
      <c r="N834">
        <v>3</v>
      </c>
      <c r="O834">
        <v>2</v>
      </c>
      <c r="P834" t="s">
        <v>54</v>
      </c>
      <c r="Q834" t="s">
        <v>75</v>
      </c>
      <c r="R834" t="s">
        <v>41</v>
      </c>
      <c r="S834">
        <v>4107</v>
      </c>
      <c r="T834" t="str" cm="1">
        <f t="array" ref="T834">_xlfn.IFS(S834&gt;=10000,"High (&gt;10k)",S834&gt;=5000,"Medium (5k-10k)",S834&lt;5000,"Low (&lt;5k)")</f>
        <v>Low (&lt;5k)</v>
      </c>
      <c r="U834">
        <v>13848</v>
      </c>
      <c r="V834">
        <v>3</v>
      </c>
      <c r="W834" t="s">
        <v>43</v>
      </c>
      <c r="X834">
        <v>15</v>
      </c>
      <c r="Y834">
        <v>3</v>
      </c>
      <c r="Z834">
        <v>1</v>
      </c>
      <c r="AA834">
        <v>0</v>
      </c>
      <c r="AB834">
        <v>8</v>
      </c>
      <c r="AC834">
        <v>3</v>
      </c>
      <c r="AD834" t="s">
        <v>81</v>
      </c>
      <c r="AE834">
        <v>4</v>
      </c>
      <c r="AF834" t="str" cm="1">
        <f t="array" ref="AF834">_xlfn.IFS(AE834&gt;=10,"Veteran (10y+)",AE834&gt;=3,"Established (3-10y)",AE834&lt;3,"New Hire (&lt;3y)")</f>
        <v>Established (3-10y)</v>
      </c>
      <c r="AG834">
        <v>3</v>
      </c>
      <c r="AH834">
        <v>0</v>
      </c>
      <c r="AI834">
        <v>1</v>
      </c>
    </row>
    <row r="835" spans="1:35">
      <c r="A835">
        <v>37</v>
      </c>
      <c r="B835" t="str">
        <f t="shared" ref="B835:B898" si="13">IF(A835&gt;=46,"Senior",IF(A835&gt;=30,"Middle Aged","Young Adults"))</f>
        <v>Middle Aged</v>
      </c>
      <c r="C835">
        <v>0</v>
      </c>
      <c r="D835" t="s">
        <v>36</v>
      </c>
      <c r="E835">
        <v>309</v>
      </c>
      <c r="F835" t="s">
        <v>37</v>
      </c>
      <c r="G835">
        <v>10</v>
      </c>
      <c r="H835" t="str" cm="1">
        <f t="array" ref="H835">_xlfn.IFS(G835&gt;15,"Long Commute",G835&gt;5,"Moderate",G835&lt;=5,"Near Office")</f>
        <v>Moderate</v>
      </c>
      <c r="I835" t="s">
        <v>83</v>
      </c>
      <c r="J835" t="s">
        <v>38</v>
      </c>
      <c r="K835">
        <v>4</v>
      </c>
      <c r="L835" t="s">
        <v>39</v>
      </c>
      <c r="M835">
        <v>88</v>
      </c>
      <c r="N835">
        <v>2</v>
      </c>
      <c r="O835">
        <v>2</v>
      </c>
      <c r="P835" t="s">
        <v>40</v>
      </c>
      <c r="Q835" t="s">
        <v>77</v>
      </c>
      <c r="R835" t="s">
        <v>52</v>
      </c>
      <c r="S835">
        <v>6694</v>
      </c>
      <c r="T835" t="str" cm="1">
        <f t="array" ref="T835">_xlfn.IFS(S835&gt;=10000,"High (&gt;10k)",S835&gt;=5000,"Medium (5k-10k)",S835&lt;5000,"Low (&lt;5k)")</f>
        <v>Medium (5k-10k)</v>
      </c>
      <c r="U835">
        <v>24223</v>
      </c>
      <c r="V835">
        <v>2</v>
      </c>
      <c r="W835" t="s">
        <v>35</v>
      </c>
      <c r="X835">
        <v>14</v>
      </c>
      <c r="Y835">
        <v>3</v>
      </c>
      <c r="Z835">
        <v>3</v>
      </c>
      <c r="AA835">
        <v>3</v>
      </c>
      <c r="AB835">
        <v>8</v>
      </c>
      <c r="AC835">
        <v>5</v>
      </c>
      <c r="AD835" t="s">
        <v>74</v>
      </c>
      <c r="AE835">
        <v>1</v>
      </c>
      <c r="AF835" t="str" cm="1">
        <f t="array" ref="AF835">_xlfn.IFS(AE835&gt;=10,"Veteran (10y+)",AE835&gt;=3,"Established (3-10y)",AE835&lt;3,"New Hire (&lt;3y)")</f>
        <v>New Hire (&lt;3y)</v>
      </c>
      <c r="AG835">
        <v>0</v>
      </c>
      <c r="AH835">
        <v>0</v>
      </c>
      <c r="AI835">
        <v>0</v>
      </c>
    </row>
    <row r="836" spans="1:35">
      <c r="A836">
        <v>37</v>
      </c>
      <c r="B836" t="str">
        <f t="shared" si="13"/>
        <v>Middle Aged</v>
      </c>
      <c r="C836">
        <v>0</v>
      </c>
      <c r="D836" t="s">
        <v>36</v>
      </c>
      <c r="E836">
        <v>367</v>
      </c>
      <c r="F836" t="s">
        <v>45</v>
      </c>
      <c r="G836">
        <v>25</v>
      </c>
      <c r="H836" t="str" cm="1">
        <f t="array" ref="H836">_xlfn.IFS(G836&gt;15,"Long Commute",G836&gt;5,"Moderate",G836&lt;=5,"Near Office")</f>
        <v>Long Commute</v>
      </c>
      <c r="I836" t="s">
        <v>76</v>
      </c>
      <c r="J836" t="s">
        <v>51</v>
      </c>
      <c r="K836">
        <v>3</v>
      </c>
      <c r="L836" t="s">
        <v>39</v>
      </c>
      <c r="M836">
        <v>52</v>
      </c>
      <c r="N836">
        <v>2</v>
      </c>
      <c r="O836">
        <v>2</v>
      </c>
      <c r="P836" t="s">
        <v>54</v>
      </c>
      <c r="Q836" t="s">
        <v>77</v>
      </c>
      <c r="R836" t="s">
        <v>52</v>
      </c>
      <c r="S836">
        <v>5731</v>
      </c>
      <c r="T836" t="str" cm="1">
        <f t="array" ref="T836">_xlfn.IFS(S836&gt;=10000,"High (&gt;10k)",S836&gt;=5000,"Medium (5k-10k)",S836&lt;5000,"Low (&lt;5k)")</f>
        <v>Medium (5k-10k)</v>
      </c>
      <c r="U836">
        <v>17171</v>
      </c>
      <c r="V836">
        <v>7</v>
      </c>
      <c r="W836" t="s">
        <v>43</v>
      </c>
      <c r="X836">
        <v>13</v>
      </c>
      <c r="Y836">
        <v>3</v>
      </c>
      <c r="Z836">
        <v>3</v>
      </c>
      <c r="AA836">
        <v>2</v>
      </c>
      <c r="AB836">
        <v>9</v>
      </c>
      <c r="AC836">
        <v>2</v>
      </c>
      <c r="AD836" t="s">
        <v>74</v>
      </c>
      <c r="AE836">
        <v>6</v>
      </c>
      <c r="AF836" t="str" cm="1">
        <f t="array" ref="AF836">_xlfn.IFS(AE836&gt;=10,"Veteran (10y+)",AE836&gt;=3,"Established (3-10y)",AE836&lt;3,"New Hire (&lt;3y)")</f>
        <v>Established (3-10y)</v>
      </c>
      <c r="AG836">
        <v>2</v>
      </c>
      <c r="AH836">
        <v>1</v>
      </c>
      <c r="AI836">
        <v>3</v>
      </c>
    </row>
    <row r="837" spans="1:35">
      <c r="A837">
        <v>37</v>
      </c>
      <c r="B837" t="str">
        <f t="shared" si="13"/>
        <v>Middle Aged</v>
      </c>
      <c r="C837">
        <v>0</v>
      </c>
      <c r="D837" t="s">
        <v>36</v>
      </c>
      <c r="E837">
        <v>977</v>
      </c>
      <c r="F837" t="s">
        <v>45</v>
      </c>
      <c r="G837">
        <v>1</v>
      </c>
      <c r="H837" t="str" cm="1">
        <f t="array" ref="H837">_xlfn.IFS(G837&gt;15,"Long Commute",G837&gt;5,"Moderate",G837&lt;=5,"Near Office")</f>
        <v>Near Office</v>
      </c>
      <c r="I837" t="s">
        <v>72</v>
      </c>
      <c r="J837" t="s">
        <v>38</v>
      </c>
      <c r="K837">
        <v>4</v>
      </c>
      <c r="L837" t="s">
        <v>39</v>
      </c>
      <c r="M837">
        <v>56</v>
      </c>
      <c r="N837">
        <v>2</v>
      </c>
      <c r="O837">
        <v>2</v>
      </c>
      <c r="P837" t="s">
        <v>53</v>
      </c>
      <c r="Q837" t="s">
        <v>77</v>
      </c>
      <c r="R837" t="s">
        <v>48</v>
      </c>
      <c r="S837">
        <v>6474</v>
      </c>
      <c r="T837" t="str" cm="1">
        <f t="array" ref="T837">_xlfn.IFS(S837&gt;=10000,"High (&gt;10k)",S837&gt;=5000,"Medium (5k-10k)",S837&lt;5000,"Low (&lt;5k)")</f>
        <v>Medium (5k-10k)</v>
      </c>
      <c r="U837">
        <v>9961</v>
      </c>
      <c r="V837">
        <v>1</v>
      </c>
      <c r="W837" t="s">
        <v>43</v>
      </c>
      <c r="X837">
        <v>13</v>
      </c>
      <c r="Y837">
        <v>3</v>
      </c>
      <c r="Z837">
        <v>2</v>
      </c>
      <c r="AA837">
        <v>1</v>
      </c>
      <c r="AB837">
        <v>14</v>
      </c>
      <c r="AC837">
        <v>2</v>
      </c>
      <c r="AD837" t="s">
        <v>81</v>
      </c>
      <c r="AE837">
        <v>14</v>
      </c>
      <c r="AF837" t="str" cm="1">
        <f t="array" ref="AF837">_xlfn.IFS(AE837&gt;=10,"Veteran (10y+)",AE837&gt;=3,"Established (3-10y)",AE837&lt;3,"New Hire (&lt;3y)")</f>
        <v>Veteran (10y+)</v>
      </c>
      <c r="AG837">
        <v>8</v>
      </c>
      <c r="AH837">
        <v>3</v>
      </c>
      <c r="AI837">
        <v>11</v>
      </c>
    </row>
    <row r="838" spans="1:35">
      <c r="A838">
        <v>37</v>
      </c>
      <c r="B838" t="str">
        <f t="shared" si="13"/>
        <v>Middle Aged</v>
      </c>
      <c r="C838">
        <v>0</v>
      </c>
      <c r="D838" t="s">
        <v>36</v>
      </c>
      <c r="E838">
        <v>1439</v>
      </c>
      <c r="F838" t="s">
        <v>45</v>
      </c>
      <c r="G838">
        <v>4</v>
      </c>
      <c r="H838" t="str" cm="1">
        <f t="array" ref="H838">_xlfn.IFS(G838&gt;15,"Long Commute",G838&gt;5,"Moderate",G838&lt;=5,"Near Office")</f>
        <v>Near Office</v>
      </c>
      <c r="I838" t="s">
        <v>78</v>
      </c>
      <c r="J838" t="s">
        <v>38</v>
      </c>
      <c r="K838">
        <v>3</v>
      </c>
      <c r="L838" t="s">
        <v>46</v>
      </c>
      <c r="M838">
        <v>54</v>
      </c>
      <c r="N838">
        <v>3</v>
      </c>
      <c r="O838">
        <v>1</v>
      </c>
      <c r="P838" t="s">
        <v>47</v>
      </c>
      <c r="Q838" t="s">
        <v>73</v>
      </c>
      <c r="R838" t="s">
        <v>48</v>
      </c>
      <c r="S838">
        <v>2996</v>
      </c>
      <c r="T838" t="str" cm="1">
        <f t="array" ref="T838">_xlfn.IFS(S838&gt;=10000,"High (&gt;10k)",S838&gt;=5000,"Medium (5k-10k)",S838&lt;5000,"Low (&lt;5k)")</f>
        <v>Low (&lt;5k)</v>
      </c>
      <c r="U838">
        <v>5182</v>
      </c>
      <c r="V838">
        <v>7</v>
      </c>
      <c r="W838" t="s">
        <v>35</v>
      </c>
      <c r="X838">
        <v>15</v>
      </c>
      <c r="Y838">
        <v>3</v>
      </c>
      <c r="Z838">
        <v>4</v>
      </c>
      <c r="AA838">
        <v>0</v>
      </c>
      <c r="AB838">
        <v>8</v>
      </c>
      <c r="AC838">
        <v>2</v>
      </c>
      <c r="AD838" t="s">
        <v>74</v>
      </c>
      <c r="AE838">
        <v>6</v>
      </c>
      <c r="AF838" t="str" cm="1">
        <f t="array" ref="AF838">_xlfn.IFS(AE838&gt;=10,"Veteran (10y+)",AE838&gt;=3,"Established (3-10y)",AE838&lt;3,"New Hire (&lt;3y)")</f>
        <v>Established (3-10y)</v>
      </c>
      <c r="AG838">
        <v>4</v>
      </c>
      <c r="AH838">
        <v>1</v>
      </c>
      <c r="AI838">
        <v>3</v>
      </c>
    </row>
    <row r="839" spans="1:35">
      <c r="A839">
        <v>37</v>
      </c>
      <c r="B839" t="str">
        <f t="shared" si="13"/>
        <v>Middle Aged</v>
      </c>
      <c r="C839">
        <v>0</v>
      </c>
      <c r="D839" t="s">
        <v>36</v>
      </c>
      <c r="E839">
        <v>1462</v>
      </c>
      <c r="F839" t="s">
        <v>45</v>
      </c>
      <c r="G839">
        <v>11</v>
      </c>
      <c r="H839" t="str" cm="1">
        <f t="array" ref="H839">_xlfn.IFS(G839&gt;15,"Long Commute",G839&gt;5,"Moderate",G839&lt;=5,"Near Office")</f>
        <v>Moderate</v>
      </c>
      <c r="I839" t="s">
        <v>72</v>
      </c>
      <c r="J839" t="s">
        <v>51</v>
      </c>
      <c r="K839">
        <v>1</v>
      </c>
      <c r="L839" t="s">
        <v>39</v>
      </c>
      <c r="M839">
        <v>94</v>
      </c>
      <c r="N839">
        <v>3</v>
      </c>
      <c r="O839">
        <v>1</v>
      </c>
      <c r="P839" t="s">
        <v>50</v>
      </c>
      <c r="Q839" t="s">
        <v>73</v>
      </c>
      <c r="R839" t="s">
        <v>41</v>
      </c>
      <c r="S839">
        <v>3629</v>
      </c>
      <c r="T839" t="str" cm="1">
        <f t="array" ref="T839">_xlfn.IFS(S839&gt;=10000,"High (&gt;10k)",S839&gt;=5000,"Medium (5k-10k)",S839&lt;5000,"Low (&lt;5k)")</f>
        <v>Low (&lt;5k)</v>
      </c>
      <c r="U839">
        <v>19106</v>
      </c>
      <c r="V839">
        <v>4</v>
      </c>
      <c r="W839" t="s">
        <v>43</v>
      </c>
      <c r="X839">
        <v>18</v>
      </c>
      <c r="Y839">
        <v>3</v>
      </c>
      <c r="Z839">
        <v>1</v>
      </c>
      <c r="AA839">
        <v>0</v>
      </c>
      <c r="AB839">
        <v>8</v>
      </c>
      <c r="AC839">
        <v>6</v>
      </c>
      <c r="AD839" t="s">
        <v>74</v>
      </c>
      <c r="AE839">
        <v>3</v>
      </c>
      <c r="AF839" t="str" cm="1">
        <f t="array" ref="AF839">_xlfn.IFS(AE839&gt;=10,"Veteran (10y+)",AE839&gt;=3,"Established (3-10y)",AE839&lt;3,"New Hire (&lt;3y)")</f>
        <v>Established (3-10y)</v>
      </c>
      <c r="AG839">
        <v>2</v>
      </c>
      <c r="AH839">
        <v>0</v>
      </c>
      <c r="AI839">
        <v>2</v>
      </c>
    </row>
    <row r="840" spans="1:35">
      <c r="A840">
        <v>37</v>
      </c>
      <c r="B840" t="str">
        <f t="shared" si="13"/>
        <v>Middle Aged</v>
      </c>
      <c r="C840">
        <v>0</v>
      </c>
      <c r="D840" t="s">
        <v>55</v>
      </c>
      <c r="E840">
        <v>1413</v>
      </c>
      <c r="F840" t="s">
        <v>45</v>
      </c>
      <c r="G840">
        <v>5</v>
      </c>
      <c r="H840" t="str" cm="1">
        <f t="array" ref="H840">_xlfn.IFS(G840&gt;15,"Long Commute",G840&gt;5,"Moderate",G840&lt;=5,"Near Office")</f>
        <v>Near Office</v>
      </c>
      <c r="I840" t="s">
        <v>76</v>
      </c>
      <c r="J840" t="s">
        <v>60</v>
      </c>
      <c r="K840">
        <v>3</v>
      </c>
      <c r="L840" t="s">
        <v>46</v>
      </c>
      <c r="M840">
        <v>84</v>
      </c>
      <c r="N840">
        <v>4</v>
      </c>
      <c r="O840">
        <v>1</v>
      </c>
      <c r="P840" t="s">
        <v>50</v>
      </c>
      <c r="Q840" t="s">
        <v>73</v>
      </c>
      <c r="R840" t="s">
        <v>41</v>
      </c>
      <c r="S840">
        <v>3500</v>
      </c>
      <c r="T840" t="str" cm="1">
        <f t="array" ref="T840">_xlfn.IFS(S840&gt;=10000,"High (&gt;10k)",S840&gt;=5000,"Medium (5k-10k)",S840&lt;5000,"Low (&lt;5k)")</f>
        <v>Low (&lt;5k)</v>
      </c>
      <c r="U840">
        <v>25470</v>
      </c>
      <c r="V840">
        <v>0</v>
      </c>
      <c r="W840" t="s">
        <v>43</v>
      </c>
      <c r="X840">
        <v>14</v>
      </c>
      <c r="Y840">
        <v>3</v>
      </c>
      <c r="Z840">
        <v>1</v>
      </c>
      <c r="AA840">
        <v>0</v>
      </c>
      <c r="AB840">
        <v>7</v>
      </c>
      <c r="AC840">
        <v>2</v>
      </c>
      <c r="AD840" t="s">
        <v>80</v>
      </c>
      <c r="AE840">
        <v>6</v>
      </c>
      <c r="AF840" t="str" cm="1">
        <f t="array" ref="AF840">_xlfn.IFS(AE840&gt;=10,"Veteran (10y+)",AE840&gt;=3,"Established (3-10y)",AE840&lt;3,"New Hire (&lt;3y)")</f>
        <v>Established (3-10y)</v>
      </c>
      <c r="AG840">
        <v>5</v>
      </c>
      <c r="AH840">
        <v>1</v>
      </c>
      <c r="AI840">
        <v>3</v>
      </c>
    </row>
    <row r="841" spans="1:35">
      <c r="A841">
        <v>37</v>
      </c>
      <c r="B841" t="str">
        <f t="shared" si="13"/>
        <v>Middle Aged</v>
      </c>
      <c r="C841">
        <v>0</v>
      </c>
      <c r="D841" t="s">
        <v>36</v>
      </c>
      <c r="E841">
        <v>674</v>
      </c>
      <c r="F841" t="s">
        <v>45</v>
      </c>
      <c r="G841">
        <v>13</v>
      </c>
      <c r="H841" t="str" cm="1">
        <f t="array" ref="H841">_xlfn.IFS(G841&gt;15,"Long Commute",G841&gt;5,"Moderate",G841&lt;=5,"Near Office")</f>
        <v>Moderate</v>
      </c>
      <c r="I841" t="s">
        <v>72</v>
      </c>
      <c r="J841" t="s">
        <v>51</v>
      </c>
      <c r="K841">
        <v>1</v>
      </c>
      <c r="L841" t="s">
        <v>46</v>
      </c>
      <c r="M841">
        <v>47</v>
      </c>
      <c r="N841">
        <v>3</v>
      </c>
      <c r="O841">
        <v>2</v>
      </c>
      <c r="P841" t="s">
        <v>47</v>
      </c>
      <c r="Q841" t="s">
        <v>77</v>
      </c>
      <c r="R841" t="s">
        <v>48</v>
      </c>
      <c r="S841">
        <v>4285</v>
      </c>
      <c r="T841" t="str" cm="1">
        <f t="array" ref="T841">_xlfn.IFS(S841&gt;=10000,"High (&gt;10k)",S841&gt;=5000,"Medium (5k-10k)",S841&lt;5000,"Low (&lt;5k)")</f>
        <v>Low (&lt;5k)</v>
      </c>
      <c r="U841">
        <v>3031</v>
      </c>
      <c r="V841">
        <v>1</v>
      </c>
      <c r="W841" t="s">
        <v>43</v>
      </c>
      <c r="X841">
        <v>17</v>
      </c>
      <c r="Y841">
        <v>3</v>
      </c>
      <c r="Z841">
        <v>1</v>
      </c>
      <c r="AA841">
        <v>0</v>
      </c>
      <c r="AB841">
        <v>10</v>
      </c>
      <c r="AC841">
        <v>2</v>
      </c>
      <c r="AD841" t="s">
        <v>74</v>
      </c>
      <c r="AE841">
        <v>10</v>
      </c>
      <c r="AF841" t="str" cm="1">
        <f t="array" ref="AF841">_xlfn.IFS(AE841&gt;=10,"Veteran (10y+)",AE841&gt;=3,"Established (3-10y)",AE841&lt;3,"New Hire (&lt;3y)")</f>
        <v>Veteran (10y+)</v>
      </c>
      <c r="AG841">
        <v>8</v>
      </c>
      <c r="AH841">
        <v>3</v>
      </c>
      <c r="AI841">
        <v>7</v>
      </c>
    </row>
    <row r="842" spans="1:35">
      <c r="A842">
        <v>37</v>
      </c>
      <c r="B842" t="str">
        <f t="shared" si="13"/>
        <v>Middle Aged</v>
      </c>
      <c r="C842">
        <v>0</v>
      </c>
      <c r="D842" t="s">
        <v>36</v>
      </c>
      <c r="E842">
        <v>671</v>
      </c>
      <c r="F842" t="s">
        <v>45</v>
      </c>
      <c r="G842">
        <v>19</v>
      </c>
      <c r="H842" t="str" cm="1">
        <f t="array" ref="H842">_xlfn.IFS(G842&gt;15,"Long Commute",G842&gt;5,"Moderate",G842&lt;=5,"Near Office")</f>
        <v>Long Commute</v>
      </c>
      <c r="I842" t="s">
        <v>72</v>
      </c>
      <c r="J842" t="s">
        <v>38</v>
      </c>
      <c r="K842">
        <v>3</v>
      </c>
      <c r="L842" t="s">
        <v>46</v>
      </c>
      <c r="M842">
        <v>85</v>
      </c>
      <c r="N842">
        <v>3</v>
      </c>
      <c r="O842">
        <v>2</v>
      </c>
      <c r="P842" t="s">
        <v>53</v>
      </c>
      <c r="Q842" t="s">
        <v>73</v>
      </c>
      <c r="R842" t="s">
        <v>48</v>
      </c>
      <c r="S842">
        <v>5768</v>
      </c>
      <c r="T842" t="str" cm="1">
        <f t="array" ref="T842">_xlfn.IFS(S842&gt;=10000,"High (&gt;10k)",S842&gt;=5000,"Medium (5k-10k)",S842&lt;5000,"Low (&lt;5k)")</f>
        <v>Medium (5k-10k)</v>
      </c>
      <c r="U842">
        <v>26493</v>
      </c>
      <c r="V842">
        <v>3</v>
      </c>
      <c r="W842" t="s">
        <v>43</v>
      </c>
      <c r="X842">
        <v>17</v>
      </c>
      <c r="Y842">
        <v>3</v>
      </c>
      <c r="Z842">
        <v>1</v>
      </c>
      <c r="AA842">
        <v>3</v>
      </c>
      <c r="AB842">
        <v>9</v>
      </c>
      <c r="AC842">
        <v>2</v>
      </c>
      <c r="AD842" t="s">
        <v>81</v>
      </c>
      <c r="AE842">
        <v>4</v>
      </c>
      <c r="AF842" t="str" cm="1">
        <f t="array" ref="AF842">_xlfn.IFS(AE842&gt;=10,"Veteran (10y+)",AE842&gt;=3,"Established (3-10y)",AE842&lt;3,"New Hire (&lt;3y)")</f>
        <v>Established (3-10y)</v>
      </c>
      <c r="AG842">
        <v>3</v>
      </c>
      <c r="AH842">
        <v>0</v>
      </c>
      <c r="AI842">
        <v>2</v>
      </c>
    </row>
    <row r="843" spans="1:35">
      <c r="A843">
        <v>37</v>
      </c>
      <c r="B843" t="str">
        <f t="shared" si="13"/>
        <v>Middle Aged</v>
      </c>
      <c r="C843">
        <v>0</v>
      </c>
      <c r="D843" t="s">
        <v>36</v>
      </c>
      <c r="E843">
        <v>1470</v>
      </c>
      <c r="F843" t="s">
        <v>45</v>
      </c>
      <c r="G843">
        <v>10</v>
      </c>
      <c r="H843" t="str" cm="1">
        <f t="array" ref="H843">_xlfn.IFS(G843&gt;15,"Long Commute",G843&gt;5,"Moderate",G843&lt;=5,"Near Office")</f>
        <v>Moderate</v>
      </c>
      <c r="I843" t="s">
        <v>72</v>
      </c>
      <c r="J843" t="s">
        <v>51</v>
      </c>
      <c r="K843">
        <v>2</v>
      </c>
      <c r="L843" t="s">
        <v>39</v>
      </c>
      <c r="M843">
        <v>71</v>
      </c>
      <c r="N843">
        <v>3</v>
      </c>
      <c r="O843">
        <v>1</v>
      </c>
      <c r="P843" t="s">
        <v>47</v>
      </c>
      <c r="Q843" t="s">
        <v>75</v>
      </c>
      <c r="R843" t="s">
        <v>48</v>
      </c>
      <c r="S843">
        <v>3936</v>
      </c>
      <c r="T843" t="str" cm="1">
        <f t="array" ref="T843">_xlfn.IFS(S843&gt;=10000,"High (&gt;10k)",S843&gt;=5000,"Medium (5k-10k)",S843&lt;5000,"Low (&lt;5k)")</f>
        <v>Low (&lt;5k)</v>
      </c>
      <c r="U843">
        <v>9953</v>
      </c>
      <c r="V843">
        <v>1</v>
      </c>
      <c r="W843" t="s">
        <v>43</v>
      </c>
      <c r="X843">
        <v>11</v>
      </c>
      <c r="Y843">
        <v>3</v>
      </c>
      <c r="Z843">
        <v>1</v>
      </c>
      <c r="AA843">
        <v>1</v>
      </c>
      <c r="AB843">
        <v>8</v>
      </c>
      <c r="AC843">
        <v>2</v>
      </c>
      <c r="AD843" t="s">
        <v>80</v>
      </c>
      <c r="AE843">
        <v>8</v>
      </c>
      <c r="AF843" t="str" cm="1">
        <f t="array" ref="AF843">_xlfn.IFS(AE843&gt;=10,"Veteran (10y+)",AE843&gt;=3,"Established (3-10y)",AE843&lt;3,"New Hire (&lt;3y)")</f>
        <v>Established (3-10y)</v>
      </c>
      <c r="AG843">
        <v>4</v>
      </c>
      <c r="AH843">
        <v>7</v>
      </c>
      <c r="AI843">
        <v>7</v>
      </c>
    </row>
    <row r="844" spans="1:35">
      <c r="A844">
        <v>37</v>
      </c>
      <c r="B844" t="str">
        <f t="shared" si="13"/>
        <v>Middle Aged</v>
      </c>
      <c r="C844">
        <v>0</v>
      </c>
      <c r="D844" t="s">
        <v>44</v>
      </c>
      <c r="E844">
        <v>1278</v>
      </c>
      <c r="F844" t="s">
        <v>37</v>
      </c>
      <c r="G844">
        <v>1</v>
      </c>
      <c r="H844" t="str" cm="1">
        <f t="array" ref="H844">_xlfn.IFS(G844&gt;15,"Long Commute",G844&gt;5,"Moderate",G844&lt;=5,"Near Office")</f>
        <v>Near Office</v>
      </c>
      <c r="I844" t="s">
        <v>83</v>
      </c>
      <c r="J844" t="s">
        <v>51</v>
      </c>
      <c r="K844">
        <v>3</v>
      </c>
      <c r="L844" t="s">
        <v>46</v>
      </c>
      <c r="M844">
        <v>31</v>
      </c>
      <c r="N844">
        <v>1</v>
      </c>
      <c r="O844">
        <v>2</v>
      </c>
      <c r="P844" t="s">
        <v>40</v>
      </c>
      <c r="Q844" t="s">
        <v>77</v>
      </c>
      <c r="R844" t="s">
        <v>52</v>
      </c>
      <c r="S844">
        <v>9525</v>
      </c>
      <c r="T844" t="str" cm="1">
        <f t="array" ref="T844">_xlfn.IFS(S844&gt;=10000,"High (&gt;10k)",S844&gt;=5000,"Medium (5k-10k)",S844&lt;5000,"Low (&lt;5k)")</f>
        <v>Medium (5k-10k)</v>
      </c>
      <c r="U844">
        <v>7677</v>
      </c>
      <c r="V844">
        <v>1</v>
      </c>
      <c r="W844" t="s">
        <v>43</v>
      </c>
      <c r="X844">
        <v>14</v>
      </c>
      <c r="Y844">
        <v>3</v>
      </c>
      <c r="Z844">
        <v>3</v>
      </c>
      <c r="AA844">
        <v>2</v>
      </c>
      <c r="AB844">
        <v>6</v>
      </c>
      <c r="AC844">
        <v>2</v>
      </c>
      <c r="AD844" t="s">
        <v>81</v>
      </c>
      <c r="AE844">
        <v>6</v>
      </c>
      <c r="AF844" t="str" cm="1">
        <f t="array" ref="AF844">_xlfn.IFS(AE844&gt;=10,"Veteran (10y+)",AE844&gt;=3,"Established (3-10y)",AE844&lt;3,"New Hire (&lt;3y)")</f>
        <v>Established (3-10y)</v>
      </c>
      <c r="AG844">
        <v>3</v>
      </c>
      <c r="AH844">
        <v>1</v>
      </c>
      <c r="AI844">
        <v>3</v>
      </c>
    </row>
    <row r="845" spans="1:35">
      <c r="A845">
        <v>37</v>
      </c>
      <c r="B845" t="str">
        <f t="shared" si="13"/>
        <v>Middle Aged</v>
      </c>
      <c r="C845">
        <v>0</v>
      </c>
      <c r="D845" t="s">
        <v>36</v>
      </c>
      <c r="E845">
        <v>589</v>
      </c>
      <c r="F845" t="s">
        <v>37</v>
      </c>
      <c r="G845">
        <v>9</v>
      </c>
      <c r="H845" t="str" cm="1">
        <f t="array" ref="H845">_xlfn.IFS(G845&gt;15,"Long Commute",G845&gt;5,"Moderate",G845&lt;=5,"Near Office")</f>
        <v>Moderate</v>
      </c>
      <c r="I845" t="s">
        <v>76</v>
      </c>
      <c r="J845" t="s">
        <v>59</v>
      </c>
      <c r="K845">
        <v>2</v>
      </c>
      <c r="L845" t="s">
        <v>46</v>
      </c>
      <c r="M845">
        <v>46</v>
      </c>
      <c r="N845">
        <v>2</v>
      </c>
      <c r="O845">
        <v>2</v>
      </c>
      <c r="P845" t="s">
        <v>40</v>
      </c>
      <c r="Q845" t="s">
        <v>75</v>
      </c>
      <c r="R845" t="s">
        <v>48</v>
      </c>
      <c r="S845">
        <v>4189</v>
      </c>
      <c r="T845" t="str" cm="1">
        <f t="array" ref="T845">_xlfn.IFS(S845&gt;=10000,"High (&gt;10k)",S845&gt;=5000,"Medium (5k-10k)",S845&lt;5000,"Low (&lt;5k)")</f>
        <v>Low (&lt;5k)</v>
      </c>
      <c r="U845">
        <v>8800</v>
      </c>
      <c r="V845">
        <v>1</v>
      </c>
      <c r="W845" t="s">
        <v>43</v>
      </c>
      <c r="X845">
        <v>14</v>
      </c>
      <c r="Y845">
        <v>3</v>
      </c>
      <c r="Z845">
        <v>1</v>
      </c>
      <c r="AA845">
        <v>2</v>
      </c>
      <c r="AB845">
        <v>5</v>
      </c>
      <c r="AC845">
        <v>2</v>
      </c>
      <c r="AD845" t="s">
        <v>74</v>
      </c>
      <c r="AE845">
        <v>5</v>
      </c>
      <c r="AF845" t="str" cm="1">
        <f t="array" ref="AF845">_xlfn.IFS(AE845&gt;=10,"Veteran (10y+)",AE845&gt;=3,"Established (3-10y)",AE845&lt;3,"New Hire (&lt;3y)")</f>
        <v>Established (3-10y)</v>
      </c>
      <c r="AG845">
        <v>2</v>
      </c>
      <c r="AH845">
        <v>0</v>
      </c>
      <c r="AI845">
        <v>3</v>
      </c>
    </row>
    <row r="846" spans="1:35">
      <c r="A846">
        <v>37</v>
      </c>
      <c r="B846" t="str">
        <f t="shared" si="13"/>
        <v>Middle Aged</v>
      </c>
      <c r="C846">
        <v>0</v>
      </c>
      <c r="D846" t="s">
        <v>36</v>
      </c>
      <c r="E846">
        <v>1239</v>
      </c>
      <c r="F846" t="s">
        <v>61</v>
      </c>
      <c r="G846">
        <v>8</v>
      </c>
      <c r="H846" t="str" cm="1">
        <f t="array" ref="H846">_xlfn.IFS(G846&gt;15,"Long Commute",G846&gt;5,"Moderate",G846&lt;=5,"Near Office")</f>
        <v>Moderate</v>
      </c>
      <c r="I846" t="s">
        <v>76</v>
      </c>
      <c r="J846" t="s">
        <v>49</v>
      </c>
      <c r="K846">
        <v>3</v>
      </c>
      <c r="L846" t="s">
        <v>46</v>
      </c>
      <c r="M846">
        <v>89</v>
      </c>
      <c r="N846">
        <v>3</v>
      </c>
      <c r="O846">
        <v>2</v>
      </c>
      <c r="P846" t="s">
        <v>61</v>
      </c>
      <c r="Q846" t="s">
        <v>75</v>
      </c>
      <c r="R846" t="s">
        <v>52</v>
      </c>
      <c r="S846">
        <v>4071</v>
      </c>
      <c r="T846" t="str" cm="1">
        <f t="array" ref="T846">_xlfn.IFS(S846&gt;=10000,"High (&gt;10k)",S846&gt;=5000,"Medium (5k-10k)",S846&lt;5000,"Low (&lt;5k)")</f>
        <v>Low (&lt;5k)</v>
      </c>
      <c r="U846">
        <v>12832</v>
      </c>
      <c r="V846">
        <v>2</v>
      </c>
      <c r="W846" t="s">
        <v>43</v>
      </c>
      <c r="X846">
        <v>13</v>
      </c>
      <c r="Y846">
        <v>3</v>
      </c>
      <c r="Z846">
        <v>3</v>
      </c>
      <c r="AA846">
        <v>0</v>
      </c>
      <c r="AB846">
        <v>19</v>
      </c>
      <c r="AC846">
        <v>4</v>
      </c>
      <c r="AD846" t="s">
        <v>81</v>
      </c>
      <c r="AE846">
        <v>10</v>
      </c>
      <c r="AF846" t="str" cm="1">
        <f t="array" ref="AF846">_xlfn.IFS(AE846&gt;=10,"Veteran (10y+)",AE846&gt;=3,"Established (3-10y)",AE846&lt;3,"New Hire (&lt;3y)")</f>
        <v>Veteran (10y+)</v>
      </c>
      <c r="AG846">
        <v>0</v>
      </c>
      <c r="AH846">
        <v>4</v>
      </c>
      <c r="AI846">
        <v>7</v>
      </c>
    </row>
    <row r="847" spans="1:35">
      <c r="A847">
        <v>37</v>
      </c>
      <c r="B847" t="str">
        <f t="shared" si="13"/>
        <v>Middle Aged</v>
      </c>
      <c r="C847">
        <v>1</v>
      </c>
      <c r="D847" t="s">
        <v>36</v>
      </c>
      <c r="E847">
        <v>370</v>
      </c>
      <c r="F847" t="s">
        <v>45</v>
      </c>
      <c r="G847">
        <v>10</v>
      </c>
      <c r="H847" t="str" cm="1">
        <f t="array" ref="H847">_xlfn.IFS(G847&gt;15,"Long Commute",G847&gt;5,"Moderate",G847&lt;=5,"Near Office")</f>
        <v>Moderate</v>
      </c>
      <c r="I847" t="s">
        <v>83</v>
      </c>
      <c r="J847" t="s">
        <v>51</v>
      </c>
      <c r="K847">
        <v>4</v>
      </c>
      <c r="L847" t="s">
        <v>46</v>
      </c>
      <c r="M847">
        <v>58</v>
      </c>
      <c r="N847">
        <v>3</v>
      </c>
      <c r="O847">
        <v>2</v>
      </c>
      <c r="P847" t="s">
        <v>53</v>
      </c>
      <c r="Q847" t="s">
        <v>82</v>
      </c>
      <c r="R847" t="s">
        <v>41</v>
      </c>
      <c r="S847">
        <v>4213</v>
      </c>
      <c r="T847" t="str" cm="1">
        <f t="array" ref="T847">_xlfn.IFS(S847&gt;=10000,"High (&gt;10k)",S847&gt;=5000,"Medium (5k-10k)",S847&lt;5000,"Low (&lt;5k)")</f>
        <v>Low (&lt;5k)</v>
      </c>
      <c r="U847">
        <v>4992</v>
      </c>
      <c r="V847">
        <v>1</v>
      </c>
      <c r="W847" t="s">
        <v>43</v>
      </c>
      <c r="X847">
        <v>15</v>
      </c>
      <c r="Y847">
        <v>3</v>
      </c>
      <c r="Z847">
        <v>2</v>
      </c>
      <c r="AA847">
        <v>0</v>
      </c>
      <c r="AB847">
        <v>10</v>
      </c>
      <c r="AC847">
        <v>4</v>
      </c>
      <c r="AD847" t="s">
        <v>80</v>
      </c>
      <c r="AE847">
        <v>10</v>
      </c>
      <c r="AF847" t="str" cm="1">
        <f t="array" ref="AF847">_xlfn.IFS(AE847&gt;=10,"Veteran (10y+)",AE847&gt;=3,"Established (3-10y)",AE847&lt;3,"New Hire (&lt;3y)")</f>
        <v>Veteran (10y+)</v>
      </c>
      <c r="AG847">
        <v>3</v>
      </c>
      <c r="AH847">
        <v>0</v>
      </c>
      <c r="AI847">
        <v>8</v>
      </c>
    </row>
    <row r="848" spans="1:35">
      <c r="A848">
        <v>37</v>
      </c>
      <c r="B848" t="str">
        <f t="shared" si="13"/>
        <v>Middle Aged</v>
      </c>
      <c r="C848">
        <v>0</v>
      </c>
      <c r="D848" t="s">
        <v>36</v>
      </c>
      <c r="E848">
        <v>783</v>
      </c>
      <c r="F848" t="s">
        <v>45</v>
      </c>
      <c r="G848">
        <v>7</v>
      </c>
      <c r="H848" t="str" cm="1">
        <f t="array" ref="H848">_xlfn.IFS(G848&gt;15,"Long Commute",G848&gt;5,"Moderate",G848&lt;=5,"Near Office")</f>
        <v>Moderate</v>
      </c>
      <c r="I848" t="s">
        <v>83</v>
      </c>
      <c r="J848" t="s">
        <v>51</v>
      </c>
      <c r="K848">
        <v>4</v>
      </c>
      <c r="L848" t="s">
        <v>46</v>
      </c>
      <c r="M848">
        <v>78</v>
      </c>
      <c r="N848">
        <v>3</v>
      </c>
      <c r="O848">
        <v>2</v>
      </c>
      <c r="P848" t="s">
        <v>47</v>
      </c>
      <c r="Q848" t="s">
        <v>82</v>
      </c>
      <c r="R848" t="s">
        <v>48</v>
      </c>
      <c r="S848">
        <v>4284</v>
      </c>
      <c r="T848" t="str" cm="1">
        <f t="array" ref="T848">_xlfn.IFS(S848&gt;=10000,"High (&gt;10k)",S848&gt;=5000,"Medium (5k-10k)",S848&lt;5000,"Low (&lt;5k)")</f>
        <v>Low (&lt;5k)</v>
      </c>
      <c r="U848">
        <v>13588</v>
      </c>
      <c r="V848">
        <v>5</v>
      </c>
      <c r="W848" t="s">
        <v>35</v>
      </c>
      <c r="X848">
        <v>22</v>
      </c>
      <c r="Y848">
        <v>4</v>
      </c>
      <c r="Z848">
        <v>3</v>
      </c>
      <c r="AA848">
        <v>1</v>
      </c>
      <c r="AB848">
        <v>16</v>
      </c>
      <c r="AC848">
        <v>2</v>
      </c>
      <c r="AD848" t="s">
        <v>74</v>
      </c>
      <c r="AE848">
        <v>5</v>
      </c>
      <c r="AF848" t="str" cm="1">
        <f t="array" ref="AF848">_xlfn.IFS(AE848&gt;=10,"Veteran (10y+)",AE848&gt;=3,"Established (3-10y)",AE848&lt;3,"New Hire (&lt;3y)")</f>
        <v>Established (3-10y)</v>
      </c>
      <c r="AG848">
        <v>3</v>
      </c>
      <c r="AH848">
        <v>0</v>
      </c>
      <c r="AI848">
        <v>4</v>
      </c>
    </row>
    <row r="849" spans="1:35">
      <c r="A849">
        <v>37</v>
      </c>
      <c r="B849" t="str">
        <f t="shared" si="13"/>
        <v>Middle Aged</v>
      </c>
      <c r="C849">
        <v>0</v>
      </c>
      <c r="D849" t="s">
        <v>36</v>
      </c>
      <c r="E849">
        <v>161</v>
      </c>
      <c r="F849" t="s">
        <v>45</v>
      </c>
      <c r="G849">
        <v>10</v>
      </c>
      <c r="H849" t="str" cm="1">
        <f t="array" ref="H849">_xlfn.IFS(G849&gt;15,"Long Commute",G849&gt;5,"Moderate",G849&lt;=5,"Near Office")</f>
        <v>Moderate</v>
      </c>
      <c r="I849" t="s">
        <v>72</v>
      </c>
      <c r="J849" t="s">
        <v>38</v>
      </c>
      <c r="K849">
        <v>3</v>
      </c>
      <c r="L849" t="s">
        <v>39</v>
      </c>
      <c r="M849">
        <v>42</v>
      </c>
      <c r="N849">
        <v>4</v>
      </c>
      <c r="O849">
        <v>3</v>
      </c>
      <c r="P849" t="s">
        <v>58</v>
      </c>
      <c r="Q849" t="s">
        <v>77</v>
      </c>
      <c r="R849" t="s">
        <v>48</v>
      </c>
      <c r="S849">
        <v>13744</v>
      </c>
      <c r="T849" t="str" cm="1">
        <f t="array" ref="T849">_xlfn.IFS(S849&gt;=10000,"High (&gt;10k)",S849&gt;=5000,"Medium (5k-10k)",S849&lt;5000,"Low (&lt;5k)")</f>
        <v>High (&gt;10k)</v>
      </c>
      <c r="U849">
        <v>15471</v>
      </c>
      <c r="V849">
        <v>1</v>
      </c>
      <c r="W849" t="s">
        <v>35</v>
      </c>
      <c r="X849">
        <v>25</v>
      </c>
      <c r="Y849">
        <v>4</v>
      </c>
      <c r="Z849">
        <v>1</v>
      </c>
      <c r="AA849">
        <v>1</v>
      </c>
      <c r="AB849">
        <v>16</v>
      </c>
      <c r="AC849">
        <v>2</v>
      </c>
      <c r="AD849" t="s">
        <v>74</v>
      </c>
      <c r="AE849">
        <v>16</v>
      </c>
      <c r="AF849" t="str" cm="1">
        <f t="array" ref="AF849">_xlfn.IFS(AE849&gt;=10,"Veteran (10y+)",AE849&gt;=3,"Established (3-10y)",AE849&lt;3,"New Hire (&lt;3y)")</f>
        <v>Veteran (10y+)</v>
      </c>
      <c r="AG849">
        <v>11</v>
      </c>
      <c r="AH849">
        <v>6</v>
      </c>
      <c r="AI849">
        <v>8</v>
      </c>
    </row>
    <row r="850" spans="1:35">
      <c r="A850">
        <v>38</v>
      </c>
      <c r="B850" t="str">
        <f t="shared" si="13"/>
        <v>Middle Aged</v>
      </c>
      <c r="C850">
        <v>0</v>
      </c>
      <c r="D850" t="s">
        <v>44</v>
      </c>
      <c r="E850">
        <v>216</v>
      </c>
      <c r="F850" t="s">
        <v>45</v>
      </c>
      <c r="G850">
        <v>23</v>
      </c>
      <c r="H850" t="str" cm="1">
        <f t="array" ref="H850">_xlfn.IFS(G850&gt;15,"Long Commute",G850&gt;5,"Moderate",G850&lt;=5,"Near Office")</f>
        <v>Long Commute</v>
      </c>
      <c r="I850" t="s">
        <v>72</v>
      </c>
      <c r="J850" t="s">
        <v>38</v>
      </c>
      <c r="K850">
        <v>4</v>
      </c>
      <c r="L850" t="s">
        <v>46</v>
      </c>
      <c r="M850">
        <v>44</v>
      </c>
      <c r="N850">
        <v>2</v>
      </c>
      <c r="O850">
        <v>3</v>
      </c>
      <c r="P850" t="s">
        <v>53</v>
      </c>
      <c r="Q850" t="s">
        <v>73</v>
      </c>
      <c r="R850" t="s">
        <v>41</v>
      </c>
      <c r="S850">
        <v>9526</v>
      </c>
      <c r="T850" t="str" cm="1">
        <f t="array" ref="T850">_xlfn.IFS(S850&gt;=10000,"High (&gt;10k)",S850&gt;=5000,"Medium (5k-10k)",S850&lt;5000,"Low (&lt;5k)")</f>
        <v>Medium (5k-10k)</v>
      </c>
      <c r="U850">
        <v>8787</v>
      </c>
      <c r="V850">
        <v>0</v>
      </c>
      <c r="W850" t="s">
        <v>43</v>
      </c>
      <c r="X850">
        <v>21</v>
      </c>
      <c r="Y850">
        <v>4</v>
      </c>
      <c r="Z850">
        <v>2</v>
      </c>
      <c r="AA850">
        <v>0</v>
      </c>
      <c r="AB850">
        <v>10</v>
      </c>
      <c r="AC850">
        <v>2</v>
      </c>
      <c r="AD850" t="s">
        <v>74</v>
      </c>
      <c r="AE850">
        <v>9</v>
      </c>
      <c r="AF850" t="str" cm="1">
        <f t="array" ref="AF850">_xlfn.IFS(AE850&gt;=10,"Veteran (10y+)",AE850&gt;=3,"Established (3-10y)",AE850&lt;3,"New Hire (&lt;3y)")</f>
        <v>Established (3-10y)</v>
      </c>
      <c r="AG850">
        <v>7</v>
      </c>
      <c r="AH850">
        <v>1</v>
      </c>
      <c r="AI850">
        <v>8</v>
      </c>
    </row>
    <row r="851" spans="1:35">
      <c r="A851">
        <v>38</v>
      </c>
      <c r="B851" t="str">
        <f t="shared" si="13"/>
        <v>Middle Aged</v>
      </c>
      <c r="C851">
        <v>0</v>
      </c>
      <c r="D851" t="s">
        <v>36</v>
      </c>
      <c r="E851">
        <v>371</v>
      </c>
      <c r="F851" t="s">
        <v>45</v>
      </c>
      <c r="G851">
        <v>2</v>
      </c>
      <c r="H851" t="str" cm="1">
        <f t="array" ref="H851">_xlfn.IFS(G851&gt;15,"Long Commute",G851&gt;5,"Moderate",G851&lt;=5,"Near Office")</f>
        <v>Near Office</v>
      </c>
      <c r="I851" t="s">
        <v>72</v>
      </c>
      <c r="J851" t="s">
        <v>38</v>
      </c>
      <c r="K851">
        <v>4</v>
      </c>
      <c r="L851" t="s">
        <v>46</v>
      </c>
      <c r="M851">
        <v>45</v>
      </c>
      <c r="N851">
        <v>3</v>
      </c>
      <c r="O851">
        <v>1</v>
      </c>
      <c r="P851" t="s">
        <v>47</v>
      </c>
      <c r="Q851" t="s">
        <v>77</v>
      </c>
      <c r="R851" t="s">
        <v>41</v>
      </c>
      <c r="S851">
        <v>3944</v>
      </c>
      <c r="T851" t="str" cm="1">
        <f t="array" ref="T851">_xlfn.IFS(S851&gt;=10000,"High (&gt;10k)",S851&gt;=5000,"Medium (5k-10k)",S851&lt;5000,"Low (&lt;5k)")</f>
        <v>Low (&lt;5k)</v>
      </c>
      <c r="U851">
        <v>4306</v>
      </c>
      <c r="V851">
        <v>5</v>
      </c>
      <c r="W851" t="s">
        <v>35</v>
      </c>
      <c r="X851">
        <v>11</v>
      </c>
      <c r="Y851">
        <v>3</v>
      </c>
      <c r="Z851">
        <v>3</v>
      </c>
      <c r="AA851">
        <v>0</v>
      </c>
      <c r="AB851">
        <v>6</v>
      </c>
      <c r="AC851">
        <v>3</v>
      </c>
      <c r="AD851" t="s">
        <v>74</v>
      </c>
      <c r="AE851">
        <v>3</v>
      </c>
      <c r="AF851" t="str" cm="1">
        <f t="array" ref="AF851">_xlfn.IFS(AE851&gt;=10,"Veteran (10y+)",AE851&gt;=3,"Established (3-10y)",AE851&lt;3,"New Hire (&lt;3y)")</f>
        <v>Established (3-10y)</v>
      </c>
      <c r="AG851">
        <v>2</v>
      </c>
      <c r="AH851">
        <v>1</v>
      </c>
      <c r="AI851">
        <v>2</v>
      </c>
    </row>
    <row r="852" spans="1:35">
      <c r="A852">
        <v>38</v>
      </c>
      <c r="B852" t="str">
        <f t="shared" si="13"/>
        <v>Middle Aged</v>
      </c>
      <c r="C852">
        <v>0</v>
      </c>
      <c r="D852" t="s">
        <v>44</v>
      </c>
      <c r="E852">
        <v>653</v>
      </c>
      <c r="F852" t="s">
        <v>45</v>
      </c>
      <c r="G852">
        <v>29</v>
      </c>
      <c r="H852" t="str" cm="1">
        <f t="array" ref="H852">_xlfn.IFS(G852&gt;15,"Long Commute",G852&gt;5,"Moderate",G852&lt;=5,"Near Office")</f>
        <v>Long Commute</v>
      </c>
      <c r="I852" t="s">
        <v>84</v>
      </c>
      <c r="J852" t="s">
        <v>38</v>
      </c>
      <c r="K852">
        <v>4</v>
      </c>
      <c r="L852" t="s">
        <v>39</v>
      </c>
      <c r="M852">
        <v>50</v>
      </c>
      <c r="N852">
        <v>3</v>
      </c>
      <c r="O852">
        <v>2</v>
      </c>
      <c r="P852" t="s">
        <v>50</v>
      </c>
      <c r="Q852" t="s">
        <v>77</v>
      </c>
      <c r="R852" t="s">
        <v>41</v>
      </c>
      <c r="S852">
        <v>2406</v>
      </c>
      <c r="T852" t="str" cm="1">
        <f t="array" ref="T852">_xlfn.IFS(S852&gt;=10000,"High (&gt;10k)",S852&gt;=5000,"Medium (5k-10k)",S852&lt;5000,"Low (&lt;5k)")</f>
        <v>Low (&lt;5k)</v>
      </c>
      <c r="U852">
        <v>5456</v>
      </c>
      <c r="V852">
        <v>1</v>
      </c>
      <c r="W852" t="s">
        <v>43</v>
      </c>
      <c r="X852">
        <v>11</v>
      </c>
      <c r="Y852">
        <v>3</v>
      </c>
      <c r="Z852">
        <v>4</v>
      </c>
      <c r="AA852">
        <v>0</v>
      </c>
      <c r="AB852">
        <v>10</v>
      </c>
      <c r="AC852">
        <v>2</v>
      </c>
      <c r="AD852" t="s">
        <v>74</v>
      </c>
      <c r="AE852">
        <v>10</v>
      </c>
      <c r="AF852" t="str" cm="1">
        <f t="array" ref="AF852">_xlfn.IFS(AE852&gt;=10,"Veteran (10y+)",AE852&gt;=3,"Established (3-10y)",AE852&lt;3,"New Hire (&lt;3y)")</f>
        <v>Veteran (10y+)</v>
      </c>
      <c r="AG852">
        <v>3</v>
      </c>
      <c r="AH852">
        <v>9</v>
      </c>
      <c r="AI852">
        <v>9</v>
      </c>
    </row>
    <row r="853" spans="1:35">
      <c r="A853">
        <v>38</v>
      </c>
      <c r="B853" t="str">
        <f t="shared" si="13"/>
        <v>Middle Aged</v>
      </c>
      <c r="C853">
        <v>0</v>
      </c>
      <c r="D853" t="s">
        <v>55</v>
      </c>
      <c r="E853">
        <v>573</v>
      </c>
      <c r="F853" t="s">
        <v>45</v>
      </c>
      <c r="G853">
        <v>6</v>
      </c>
      <c r="H853" t="str" cm="1">
        <f t="array" ref="H853">_xlfn.IFS(G853&gt;15,"Long Commute",G853&gt;5,"Moderate",G853&lt;=5,"Near Office")</f>
        <v>Moderate</v>
      </c>
      <c r="I853" t="s">
        <v>72</v>
      </c>
      <c r="J853" t="s">
        <v>51</v>
      </c>
      <c r="K853">
        <v>2</v>
      </c>
      <c r="L853" t="s">
        <v>39</v>
      </c>
      <c r="M853">
        <v>79</v>
      </c>
      <c r="N853">
        <v>1</v>
      </c>
      <c r="O853">
        <v>2</v>
      </c>
      <c r="P853" t="s">
        <v>47</v>
      </c>
      <c r="Q853" t="s">
        <v>77</v>
      </c>
      <c r="R853" t="s">
        <v>52</v>
      </c>
      <c r="S853">
        <v>5329</v>
      </c>
      <c r="T853" t="str" cm="1">
        <f t="array" ref="T853">_xlfn.IFS(S853&gt;=10000,"High (&gt;10k)",S853&gt;=5000,"Medium (5k-10k)",S853&lt;5000,"Low (&lt;5k)")</f>
        <v>Medium (5k-10k)</v>
      </c>
      <c r="U853">
        <v>15717</v>
      </c>
      <c r="V853">
        <v>7</v>
      </c>
      <c r="W853" t="s">
        <v>35</v>
      </c>
      <c r="X853">
        <v>12</v>
      </c>
      <c r="Y853">
        <v>3</v>
      </c>
      <c r="Z853">
        <v>4</v>
      </c>
      <c r="AA853">
        <v>3</v>
      </c>
      <c r="AB853">
        <v>17</v>
      </c>
      <c r="AC853">
        <v>3</v>
      </c>
      <c r="AD853" t="s">
        <v>74</v>
      </c>
      <c r="AE853">
        <v>13</v>
      </c>
      <c r="AF853" t="str" cm="1">
        <f t="array" ref="AF853">_xlfn.IFS(AE853&gt;=10,"Veteran (10y+)",AE853&gt;=3,"Established (3-10y)",AE853&lt;3,"New Hire (&lt;3y)")</f>
        <v>Veteran (10y+)</v>
      </c>
      <c r="AG853">
        <v>11</v>
      </c>
      <c r="AH853">
        <v>1</v>
      </c>
      <c r="AI853">
        <v>9</v>
      </c>
    </row>
    <row r="854" spans="1:35">
      <c r="A854">
        <v>38</v>
      </c>
      <c r="B854" t="str">
        <f t="shared" si="13"/>
        <v>Middle Aged</v>
      </c>
      <c r="C854">
        <v>0</v>
      </c>
      <c r="D854" t="s">
        <v>36</v>
      </c>
      <c r="E854">
        <v>364</v>
      </c>
      <c r="F854" t="s">
        <v>45</v>
      </c>
      <c r="G854">
        <v>3</v>
      </c>
      <c r="H854" t="str" cm="1">
        <f t="array" ref="H854">_xlfn.IFS(G854&gt;15,"Long Commute",G854&gt;5,"Moderate",G854&lt;=5,"Near Office")</f>
        <v>Near Office</v>
      </c>
      <c r="I854" t="s">
        <v>84</v>
      </c>
      <c r="J854" t="s">
        <v>60</v>
      </c>
      <c r="K854">
        <v>4</v>
      </c>
      <c r="L854" t="s">
        <v>39</v>
      </c>
      <c r="M854">
        <v>32</v>
      </c>
      <c r="N854">
        <v>3</v>
      </c>
      <c r="O854">
        <v>2</v>
      </c>
      <c r="P854" t="s">
        <v>47</v>
      </c>
      <c r="Q854" t="s">
        <v>73</v>
      </c>
      <c r="R854" t="s">
        <v>41</v>
      </c>
      <c r="S854">
        <v>4317</v>
      </c>
      <c r="T854" t="str" cm="1">
        <f t="array" ref="T854">_xlfn.IFS(S854&gt;=10000,"High (&gt;10k)",S854&gt;=5000,"Medium (5k-10k)",S854&lt;5000,"Low (&lt;5k)")</f>
        <v>Low (&lt;5k)</v>
      </c>
      <c r="U854">
        <v>2302</v>
      </c>
      <c r="V854">
        <v>3</v>
      </c>
      <c r="W854" t="s">
        <v>35</v>
      </c>
      <c r="X854">
        <v>20</v>
      </c>
      <c r="Y854">
        <v>4</v>
      </c>
      <c r="Z854">
        <v>2</v>
      </c>
      <c r="AA854">
        <v>0</v>
      </c>
      <c r="AB854">
        <v>19</v>
      </c>
      <c r="AC854">
        <v>2</v>
      </c>
      <c r="AD854" t="s">
        <v>74</v>
      </c>
      <c r="AE854">
        <v>3</v>
      </c>
      <c r="AF854" t="str" cm="1">
        <f t="array" ref="AF854">_xlfn.IFS(AE854&gt;=10,"Veteran (10y+)",AE854&gt;=3,"Established (3-10y)",AE854&lt;3,"New Hire (&lt;3y)")</f>
        <v>Established (3-10y)</v>
      </c>
      <c r="AG854">
        <v>2</v>
      </c>
      <c r="AH854">
        <v>2</v>
      </c>
      <c r="AI854">
        <v>2</v>
      </c>
    </row>
    <row r="855" spans="1:35">
      <c r="A855">
        <v>38</v>
      </c>
      <c r="B855" t="str">
        <f t="shared" si="13"/>
        <v>Middle Aged</v>
      </c>
      <c r="C855">
        <v>0</v>
      </c>
      <c r="D855" t="s">
        <v>36</v>
      </c>
      <c r="E855">
        <v>702</v>
      </c>
      <c r="F855" t="s">
        <v>37</v>
      </c>
      <c r="G855">
        <v>1</v>
      </c>
      <c r="H855" t="str" cm="1">
        <f t="array" ref="H855">_xlfn.IFS(G855&gt;15,"Long Commute",G855&gt;5,"Moderate",G855&lt;=5,"Near Office")</f>
        <v>Near Office</v>
      </c>
      <c r="I855" t="s">
        <v>83</v>
      </c>
      <c r="J855" t="s">
        <v>38</v>
      </c>
      <c r="K855">
        <v>1</v>
      </c>
      <c r="L855" t="s">
        <v>39</v>
      </c>
      <c r="M855">
        <v>59</v>
      </c>
      <c r="N855">
        <v>2</v>
      </c>
      <c r="O855">
        <v>2</v>
      </c>
      <c r="P855" t="s">
        <v>40</v>
      </c>
      <c r="Q855" t="s">
        <v>77</v>
      </c>
      <c r="R855" t="s">
        <v>41</v>
      </c>
      <c r="S855">
        <v>8686</v>
      </c>
      <c r="T855" t="str" cm="1">
        <f t="array" ref="T855">_xlfn.IFS(S855&gt;=10000,"High (&gt;10k)",S855&gt;=5000,"Medium (5k-10k)",S855&lt;5000,"Low (&lt;5k)")</f>
        <v>Medium (5k-10k)</v>
      </c>
      <c r="U855">
        <v>12930</v>
      </c>
      <c r="V855">
        <v>4</v>
      </c>
      <c r="W855" t="s">
        <v>43</v>
      </c>
      <c r="X855">
        <v>22</v>
      </c>
      <c r="Y855">
        <v>4</v>
      </c>
      <c r="Z855">
        <v>3</v>
      </c>
      <c r="AA855">
        <v>0</v>
      </c>
      <c r="AB855">
        <v>12</v>
      </c>
      <c r="AC855">
        <v>2</v>
      </c>
      <c r="AD855" t="s">
        <v>79</v>
      </c>
      <c r="AE855">
        <v>8</v>
      </c>
      <c r="AF855" t="str" cm="1">
        <f t="array" ref="AF855">_xlfn.IFS(AE855&gt;=10,"Veteran (10y+)",AE855&gt;=3,"Established (3-10y)",AE855&lt;3,"New Hire (&lt;3y)")</f>
        <v>Established (3-10y)</v>
      </c>
      <c r="AG855">
        <v>3</v>
      </c>
      <c r="AH855">
        <v>0</v>
      </c>
      <c r="AI855">
        <v>7</v>
      </c>
    </row>
    <row r="856" spans="1:35">
      <c r="A856">
        <v>38</v>
      </c>
      <c r="B856" t="str">
        <f t="shared" si="13"/>
        <v>Middle Aged</v>
      </c>
      <c r="C856">
        <v>0</v>
      </c>
      <c r="D856" t="s">
        <v>36</v>
      </c>
      <c r="E856">
        <v>1380</v>
      </c>
      <c r="F856" t="s">
        <v>45</v>
      </c>
      <c r="G856">
        <v>9</v>
      </c>
      <c r="H856" t="str" cm="1">
        <f t="array" ref="H856">_xlfn.IFS(G856&gt;15,"Long Commute",G856&gt;5,"Moderate",G856&lt;=5,"Near Office")</f>
        <v>Moderate</v>
      </c>
      <c r="I856" t="s">
        <v>76</v>
      </c>
      <c r="J856" t="s">
        <v>38</v>
      </c>
      <c r="K856">
        <v>3</v>
      </c>
      <c r="L856" t="s">
        <v>39</v>
      </c>
      <c r="M856">
        <v>75</v>
      </c>
      <c r="N856">
        <v>3</v>
      </c>
      <c r="O856">
        <v>1</v>
      </c>
      <c r="P856" t="s">
        <v>50</v>
      </c>
      <c r="Q856" t="s">
        <v>77</v>
      </c>
      <c r="R856" t="s">
        <v>41</v>
      </c>
      <c r="S856">
        <v>2288</v>
      </c>
      <c r="T856" t="str" cm="1">
        <f t="array" ref="T856">_xlfn.IFS(S856&gt;=10000,"High (&gt;10k)",S856&gt;=5000,"Medium (5k-10k)",S856&lt;5000,"Low (&lt;5k)")</f>
        <v>Low (&lt;5k)</v>
      </c>
      <c r="U856">
        <v>6319</v>
      </c>
      <c r="V856">
        <v>1</v>
      </c>
      <c r="W856" t="s">
        <v>43</v>
      </c>
      <c r="X856">
        <v>12</v>
      </c>
      <c r="Y856">
        <v>3</v>
      </c>
      <c r="Z856">
        <v>3</v>
      </c>
      <c r="AA856">
        <v>0</v>
      </c>
      <c r="AB856">
        <v>2</v>
      </c>
      <c r="AC856">
        <v>3</v>
      </c>
      <c r="AD856" t="s">
        <v>74</v>
      </c>
      <c r="AE856">
        <v>2</v>
      </c>
      <c r="AF856" t="str" cm="1">
        <f t="array" ref="AF856">_xlfn.IFS(AE856&gt;=10,"Veteran (10y+)",AE856&gt;=3,"Established (3-10y)",AE856&lt;3,"New Hire (&lt;3y)")</f>
        <v>New Hire (&lt;3y)</v>
      </c>
      <c r="AG856">
        <v>2</v>
      </c>
      <c r="AH856">
        <v>2</v>
      </c>
      <c r="AI856">
        <v>1</v>
      </c>
    </row>
    <row r="857" spans="1:35">
      <c r="A857">
        <v>38</v>
      </c>
      <c r="B857" t="str">
        <f t="shared" si="13"/>
        <v>Middle Aged</v>
      </c>
      <c r="C857">
        <v>0</v>
      </c>
      <c r="D857" t="s">
        <v>36</v>
      </c>
      <c r="E857">
        <v>1261</v>
      </c>
      <c r="F857" t="s">
        <v>45</v>
      </c>
      <c r="G857">
        <v>2</v>
      </c>
      <c r="H857" t="str" cm="1">
        <f t="array" ref="H857">_xlfn.IFS(G857&gt;15,"Long Commute",G857&gt;5,"Moderate",G857&lt;=5,"Near Office")</f>
        <v>Near Office</v>
      </c>
      <c r="I857" t="s">
        <v>83</v>
      </c>
      <c r="J857" t="s">
        <v>38</v>
      </c>
      <c r="K857">
        <v>4</v>
      </c>
      <c r="L857" t="s">
        <v>46</v>
      </c>
      <c r="M857">
        <v>88</v>
      </c>
      <c r="N857">
        <v>3</v>
      </c>
      <c r="O857">
        <v>2</v>
      </c>
      <c r="P857" t="s">
        <v>53</v>
      </c>
      <c r="Q857" t="s">
        <v>73</v>
      </c>
      <c r="R857" t="s">
        <v>48</v>
      </c>
      <c r="S857">
        <v>6553</v>
      </c>
      <c r="T857" t="str" cm="1">
        <f t="array" ref="T857">_xlfn.IFS(S857&gt;=10000,"High (&gt;10k)",S857&gt;=5000,"Medium (5k-10k)",S857&lt;5000,"Low (&lt;5k)")</f>
        <v>Medium (5k-10k)</v>
      </c>
      <c r="U857">
        <v>7259</v>
      </c>
      <c r="V857">
        <v>9</v>
      </c>
      <c r="W857" t="s">
        <v>43</v>
      </c>
      <c r="X857">
        <v>14</v>
      </c>
      <c r="Y857">
        <v>3</v>
      </c>
      <c r="Z857">
        <v>2</v>
      </c>
      <c r="AA857">
        <v>0</v>
      </c>
      <c r="AB857">
        <v>14</v>
      </c>
      <c r="AC857">
        <v>3</v>
      </c>
      <c r="AD857" t="s">
        <v>74</v>
      </c>
      <c r="AE857">
        <v>1</v>
      </c>
      <c r="AF857" t="str" cm="1">
        <f t="array" ref="AF857">_xlfn.IFS(AE857&gt;=10,"Veteran (10y+)",AE857&gt;=3,"Established (3-10y)",AE857&lt;3,"New Hire (&lt;3y)")</f>
        <v>New Hire (&lt;3y)</v>
      </c>
      <c r="AG857">
        <v>0</v>
      </c>
      <c r="AH857">
        <v>0</v>
      </c>
      <c r="AI857">
        <v>0</v>
      </c>
    </row>
    <row r="858" spans="1:35">
      <c r="A858">
        <v>38</v>
      </c>
      <c r="B858" t="str">
        <f t="shared" si="13"/>
        <v>Middle Aged</v>
      </c>
      <c r="C858">
        <v>0</v>
      </c>
      <c r="D858" t="s">
        <v>36</v>
      </c>
      <c r="E858">
        <v>1084</v>
      </c>
      <c r="F858" t="s">
        <v>45</v>
      </c>
      <c r="G858">
        <v>29</v>
      </c>
      <c r="H858" t="str" cm="1">
        <f t="array" ref="H858">_xlfn.IFS(G858&gt;15,"Long Commute",G858&gt;5,"Moderate",G858&lt;=5,"Near Office")</f>
        <v>Long Commute</v>
      </c>
      <c r="I858" t="s">
        <v>72</v>
      </c>
      <c r="J858" t="s">
        <v>60</v>
      </c>
      <c r="K858">
        <v>4</v>
      </c>
      <c r="L858" t="s">
        <v>46</v>
      </c>
      <c r="M858">
        <v>54</v>
      </c>
      <c r="N858">
        <v>3</v>
      </c>
      <c r="O858">
        <v>2</v>
      </c>
      <c r="P858" t="s">
        <v>53</v>
      </c>
      <c r="Q858" t="s">
        <v>77</v>
      </c>
      <c r="R858" t="s">
        <v>48</v>
      </c>
      <c r="S858">
        <v>6261</v>
      </c>
      <c r="T858" t="str" cm="1">
        <f t="array" ref="T858">_xlfn.IFS(S858&gt;=10000,"High (&gt;10k)",S858&gt;=5000,"Medium (5k-10k)",S858&lt;5000,"Low (&lt;5k)")</f>
        <v>Medium (5k-10k)</v>
      </c>
      <c r="U858">
        <v>4185</v>
      </c>
      <c r="V858">
        <v>3</v>
      </c>
      <c r="W858" t="s">
        <v>43</v>
      </c>
      <c r="X858">
        <v>18</v>
      </c>
      <c r="Y858">
        <v>3</v>
      </c>
      <c r="Z858">
        <v>1</v>
      </c>
      <c r="AA858">
        <v>1</v>
      </c>
      <c r="AB858">
        <v>9</v>
      </c>
      <c r="AC858">
        <v>3</v>
      </c>
      <c r="AD858" t="s">
        <v>80</v>
      </c>
      <c r="AE858">
        <v>7</v>
      </c>
      <c r="AF858" t="str" cm="1">
        <f t="array" ref="AF858">_xlfn.IFS(AE858&gt;=10,"Veteran (10y+)",AE858&gt;=3,"Established (3-10y)",AE858&lt;3,"New Hire (&lt;3y)")</f>
        <v>Established (3-10y)</v>
      </c>
      <c r="AG858">
        <v>7</v>
      </c>
      <c r="AH858">
        <v>1</v>
      </c>
      <c r="AI858">
        <v>7</v>
      </c>
    </row>
    <row r="859" spans="1:35">
      <c r="A859">
        <v>38</v>
      </c>
      <c r="B859" t="str">
        <f t="shared" si="13"/>
        <v>Middle Aged</v>
      </c>
      <c r="C859">
        <v>1</v>
      </c>
      <c r="D859" t="s">
        <v>36</v>
      </c>
      <c r="E859">
        <v>1180</v>
      </c>
      <c r="F859" t="s">
        <v>45</v>
      </c>
      <c r="G859">
        <v>29</v>
      </c>
      <c r="H859" t="str" cm="1">
        <f t="array" ref="H859">_xlfn.IFS(G859&gt;15,"Long Commute",G859&gt;5,"Moderate",G859&lt;=5,"Near Office")</f>
        <v>Long Commute</v>
      </c>
      <c r="I859" t="s">
        <v>78</v>
      </c>
      <c r="J859" t="s">
        <v>51</v>
      </c>
      <c r="K859">
        <v>2</v>
      </c>
      <c r="L859" t="s">
        <v>46</v>
      </c>
      <c r="M859">
        <v>70</v>
      </c>
      <c r="N859">
        <v>3</v>
      </c>
      <c r="O859">
        <v>2</v>
      </c>
      <c r="P859" t="s">
        <v>54</v>
      </c>
      <c r="Q859" t="s">
        <v>82</v>
      </c>
      <c r="R859" t="s">
        <v>48</v>
      </c>
      <c r="S859">
        <v>6673</v>
      </c>
      <c r="T859" t="str" cm="1">
        <f t="array" ref="T859">_xlfn.IFS(S859&gt;=10000,"High (&gt;10k)",S859&gt;=5000,"Medium (5k-10k)",S859&lt;5000,"Low (&lt;5k)")</f>
        <v>Medium (5k-10k)</v>
      </c>
      <c r="U859">
        <v>11354</v>
      </c>
      <c r="V859">
        <v>7</v>
      </c>
      <c r="W859" t="s">
        <v>35</v>
      </c>
      <c r="X859">
        <v>19</v>
      </c>
      <c r="Y859">
        <v>3</v>
      </c>
      <c r="Z859">
        <v>2</v>
      </c>
      <c r="AA859">
        <v>0</v>
      </c>
      <c r="AB859">
        <v>17</v>
      </c>
      <c r="AC859">
        <v>2</v>
      </c>
      <c r="AD859" t="s">
        <v>74</v>
      </c>
      <c r="AE859">
        <v>1</v>
      </c>
      <c r="AF859" t="str" cm="1">
        <f t="array" ref="AF859">_xlfn.IFS(AE859&gt;=10,"Veteran (10y+)",AE859&gt;=3,"Established (3-10y)",AE859&lt;3,"New Hire (&lt;3y)")</f>
        <v>New Hire (&lt;3y)</v>
      </c>
      <c r="AG859">
        <v>0</v>
      </c>
      <c r="AH859">
        <v>0</v>
      </c>
      <c r="AI859">
        <v>0</v>
      </c>
    </row>
    <row r="860" spans="1:35">
      <c r="A860">
        <v>38</v>
      </c>
      <c r="B860" t="str">
        <f t="shared" si="13"/>
        <v>Middle Aged</v>
      </c>
      <c r="C860">
        <v>0</v>
      </c>
      <c r="D860" t="s">
        <v>36</v>
      </c>
      <c r="E860">
        <v>119</v>
      </c>
      <c r="F860" t="s">
        <v>37</v>
      </c>
      <c r="G860">
        <v>3</v>
      </c>
      <c r="H860" t="str" cm="1">
        <f t="array" ref="H860">_xlfn.IFS(G860&gt;15,"Long Commute",G860&gt;5,"Moderate",G860&lt;=5,"Near Office")</f>
        <v>Near Office</v>
      </c>
      <c r="I860" t="s">
        <v>72</v>
      </c>
      <c r="J860" t="s">
        <v>38</v>
      </c>
      <c r="K860">
        <v>1</v>
      </c>
      <c r="L860" t="s">
        <v>46</v>
      </c>
      <c r="M860">
        <v>76</v>
      </c>
      <c r="N860">
        <v>3</v>
      </c>
      <c r="O860">
        <v>3</v>
      </c>
      <c r="P860" t="s">
        <v>40</v>
      </c>
      <c r="Q860" t="s">
        <v>73</v>
      </c>
      <c r="R860" t="s">
        <v>52</v>
      </c>
      <c r="S860">
        <v>10609</v>
      </c>
      <c r="T860" t="str" cm="1">
        <f t="array" ref="T860">_xlfn.IFS(S860&gt;=10000,"High (&gt;10k)",S860&gt;=5000,"Medium (5k-10k)",S860&lt;5000,"Low (&lt;5k)")</f>
        <v>High (&gt;10k)</v>
      </c>
      <c r="U860">
        <v>9647</v>
      </c>
      <c r="V860">
        <v>0</v>
      </c>
      <c r="W860" t="s">
        <v>43</v>
      </c>
      <c r="X860">
        <v>12</v>
      </c>
      <c r="Y860">
        <v>3</v>
      </c>
      <c r="Z860">
        <v>3</v>
      </c>
      <c r="AA860">
        <v>2</v>
      </c>
      <c r="AB860">
        <v>17</v>
      </c>
      <c r="AC860">
        <v>6</v>
      </c>
      <c r="AD860" t="s">
        <v>81</v>
      </c>
      <c r="AE860">
        <v>16</v>
      </c>
      <c r="AF860" t="str" cm="1">
        <f t="array" ref="AF860">_xlfn.IFS(AE860&gt;=10,"Veteran (10y+)",AE860&gt;=3,"Established (3-10y)",AE860&lt;3,"New Hire (&lt;3y)")</f>
        <v>Veteran (10y+)</v>
      </c>
      <c r="AG860">
        <v>10</v>
      </c>
      <c r="AH860">
        <v>5</v>
      </c>
      <c r="AI860">
        <v>13</v>
      </c>
    </row>
    <row r="861" spans="1:35">
      <c r="A861">
        <v>38</v>
      </c>
      <c r="B861" t="str">
        <f t="shared" si="13"/>
        <v>Middle Aged</v>
      </c>
      <c r="C861">
        <v>0</v>
      </c>
      <c r="D861" t="s">
        <v>55</v>
      </c>
      <c r="E861">
        <v>1327</v>
      </c>
      <c r="F861" t="s">
        <v>37</v>
      </c>
      <c r="G861">
        <v>2</v>
      </c>
      <c r="H861" t="str" cm="1">
        <f t="array" ref="H861">_xlfn.IFS(G861&gt;15,"Long Commute",G861&gt;5,"Moderate",G861&lt;=5,"Near Office")</f>
        <v>Near Office</v>
      </c>
      <c r="I861" t="s">
        <v>76</v>
      </c>
      <c r="J861" t="s">
        <v>38</v>
      </c>
      <c r="K861">
        <v>4</v>
      </c>
      <c r="L861" t="s">
        <v>46</v>
      </c>
      <c r="M861">
        <v>39</v>
      </c>
      <c r="N861">
        <v>2</v>
      </c>
      <c r="O861">
        <v>2</v>
      </c>
      <c r="P861" t="s">
        <v>40</v>
      </c>
      <c r="Q861" t="s">
        <v>77</v>
      </c>
      <c r="R861" t="s">
        <v>48</v>
      </c>
      <c r="S861">
        <v>5249</v>
      </c>
      <c r="T861" t="str" cm="1">
        <f t="array" ref="T861">_xlfn.IFS(S861&gt;=10000,"High (&gt;10k)",S861&gt;=5000,"Medium (5k-10k)",S861&lt;5000,"Low (&lt;5k)")</f>
        <v>Medium (5k-10k)</v>
      </c>
      <c r="U861">
        <v>19682</v>
      </c>
      <c r="V861">
        <v>3</v>
      </c>
      <c r="W861" t="s">
        <v>43</v>
      </c>
      <c r="X861">
        <v>18</v>
      </c>
      <c r="Y861">
        <v>3</v>
      </c>
      <c r="Z861">
        <v>4</v>
      </c>
      <c r="AA861">
        <v>1</v>
      </c>
      <c r="AB861">
        <v>13</v>
      </c>
      <c r="AC861">
        <v>0</v>
      </c>
      <c r="AD861" t="s">
        <v>74</v>
      </c>
      <c r="AE861">
        <v>8</v>
      </c>
      <c r="AF861" t="str" cm="1">
        <f t="array" ref="AF861">_xlfn.IFS(AE861&gt;=10,"Veteran (10y+)",AE861&gt;=3,"Established (3-10y)",AE861&lt;3,"New Hire (&lt;3y)")</f>
        <v>Established (3-10y)</v>
      </c>
      <c r="AG861">
        <v>7</v>
      </c>
      <c r="AH861">
        <v>7</v>
      </c>
      <c r="AI861">
        <v>5</v>
      </c>
    </row>
    <row r="862" spans="1:35">
      <c r="A862">
        <v>38</v>
      </c>
      <c r="B862" t="str">
        <f t="shared" si="13"/>
        <v>Middle Aged</v>
      </c>
      <c r="C862">
        <v>0</v>
      </c>
      <c r="D862" t="s">
        <v>36</v>
      </c>
      <c r="E862">
        <v>322</v>
      </c>
      <c r="F862" t="s">
        <v>37</v>
      </c>
      <c r="G862">
        <v>7</v>
      </c>
      <c r="H862" t="str" cm="1">
        <f t="array" ref="H862">_xlfn.IFS(G862&gt;15,"Long Commute",G862&gt;5,"Moderate",G862&lt;=5,"Near Office")</f>
        <v>Moderate</v>
      </c>
      <c r="I862" t="s">
        <v>76</v>
      </c>
      <c r="J862" t="s">
        <v>51</v>
      </c>
      <c r="K862">
        <v>1</v>
      </c>
      <c r="L862" t="s">
        <v>39</v>
      </c>
      <c r="M862">
        <v>44</v>
      </c>
      <c r="N862">
        <v>4</v>
      </c>
      <c r="O862">
        <v>2</v>
      </c>
      <c r="P862" t="s">
        <v>40</v>
      </c>
      <c r="Q862" t="s">
        <v>82</v>
      </c>
      <c r="R862" t="s">
        <v>52</v>
      </c>
      <c r="S862">
        <v>5605</v>
      </c>
      <c r="T862" t="str" cm="1">
        <f t="array" ref="T862">_xlfn.IFS(S862&gt;=10000,"High (&gt;10k)",S862&gt;=5000,"Medium (5k-10k)",S862&lt;5000,"Low (&lt;5k)")</f>
        <v>Medium (5k-10k)</v>
      </c>
      <c r="U862">
        <v>19191</v>
      </c>
      <c r="V862">
        <v>1</v>
      </c>
      <c r="W862" t="s">
        <v>35</v>
      </c>
      <c r="X862">
        <v>24</v>
      </c>
      <c r="Y862">
        <v>4</v>
      </c>
      <c r="Z862">
        <v>3</v>
      </c>
      <c r="AA862">
        <v>1</v>
      </c>
      <c r="AB862">
        <v>8</v>
      </c>
      <c r="AC862">
        <v>3</v>
      </c>
      <c r="AD862" t="s">
        <v>74</v>
      </c>
      <c r="AE862">
        <v>8</v>
      </c>
      <c r="AF862" t="str" cm="1">
        <f t="array" ref="AF862">_xlfn.IFS(AE862&gt;=10,"Veteran (10y+)",AE862&gt;=3,"Established (3-10y)",AE862&lt;3,"New Hire (&lt;3y)")</f>
        <v>Established (3-10y)</v>
      </c>
      <c r="AG862">
        <v>0</v>
      </c>
      <c r="AH862">
        <v>7</v>
      </c>
      <c r="AI862">
        <v>7</v>
      </c>
    </row>
    <row r="863" spans="1:35">
      <c r="A863">
        <v>38</v>
      </c>
      <c r="B863" t="str">
        <f t="shared" si="13"/>
        <v>Middle Aged</v>
      </c>
      <c r="C863">
        <v>0</v>
      </c>
      <c r="D863" t="s">
        <v>36</v>
      </c>
      <c r="E863">
        <v>688</v>
      </c>
      <c r="F863" t="s">
        <v>45</v>
      </c>
      <c r="G863">
        <v>23</v>
      </c>
      <c r="H863" t="str" cm="1">
        <f t="array" ref="H863">_xlfn.IFS(G863&gt;15,"Long Commute",G863&gt;5,"Moderate",G863&lt;=5,"Near Office")</f>
        <v>Long Commute</v>
      </c>
      <c r="I863" t="s">
        <v>83</v>
      </c>
      <c r="J863" t="s">
        <v>38</v>
      </c>
      <c r="K863">
        <v>4</v>
      </c>
      <c r="L863" t="s">
        <v>46</v>
      </c>
      <c r="M863">
        <v>82</v>
      </c>
      <c r="N863">
        <v>3</v>
      </c>
      <c r="O863">
        <v>2</v>
      </c>
      <c r="P863" t="s">
        <v>54</v>
      </c>
      <c r="Q863" t="s">
        <v>77</v>
      </c>
      <c r="R863" t="s">
        <v>52</v>
      </c>
      <c r="S863">
        <v>5745</v>
      </c>
      <c r="T863" t="str" cm="1">
        <f t="array" ref="T863">_xlfn.IFS(S863&gt;=10000,"High (&gt;10k)",S863&gt;=5000,"Medium (5k-10k)",S863&lt;5000,"Low (&lt;5k)")</f>
        <v>Medium (5k-10k)</v>
      </c>
      <c r="U863">
        <v>18899</v>
      </c>
      <c r="V863">
        <v>9</v>
      </c>
      <c r="W863" t="s">
        <v>43</v>
      </c>
      <c r="X863">
        <v>14</v>
      </c>
      <c r="Y863">
        <v>3</v>
      </c>
      <c r="Z863">
        <v>2</v>
      </c>
      <c r="AA863">
        <v>1</v>
      </c>
      <c r="AB863">
        <v>10</v>
      </c>
      <c r="AC863">
        <v>2</v>
      </c>
      <c r="AD863" t="s">
        <v>74</v>
      </c>
      <c r="AE863">
        <v>2</v>
      </c>
      <c r="AF863" t="str" cm="1">
        <f t="array" ref="AF863">_xlfn.IFS(AE863&gt;=10,"Veteran (10y+)",AE863&gt;=3,"Established (3-10y)",AE863&lt;3,"New Hire (&lt;3y)")</f>
        <v>New Hire (&lt;3y)</v>
      </c>
      <c r="AG863">
        <v>2</v>
      </c>
      <c r="AH863">
        <v>1</v>
      </c>
      <c r="AI863">
        <v>2</v>
      </c>
    </row>
    <row r="864" spans="1:35">
      <c r="A864">
        <v>38</v>
      </c>
      <c r="B864" t="str">
        <f t="shared" si="13"/>
        <v>Middle Aged</v>
      </c>
      <c r="C864">
        <v>0</v>
      </c>
      <c r="D864" t="s">
        <v>36</v>
      </c>
      <c r="E864">
        <v>849</v>
      </c>
      <c r="F864" t="s">
        <v>45</v>
      </c>
      <c r="G864">
        <v>25</v>
      </c>
      <c r="H864" t="str" cm="1">
        <f t="array" ref="H864">_xlfn.IFS(G864&gt;15,"Long Commute",G864&gt;5,"Moderate",G864&lt;=5,"Near Office")</f>
        <v>Long Commute</v>
      </c>
      <c r="I864" t="s">
        <v>76</v>
      </c>
      <c r="J864" t="s">
        <v>38</v>
      </c>
      <c r="K864">
        <v>1</v>
      </c>
      <c r="L864" t="s">
        <v>39</v>
      </c>
      <c r="M864">
        <v>81</v>
      </c>
      <c r="N864">
        <v>2</v>
      </c>
      <c r="O864">
        <v>3</v>
      </c>
      <c r="P864" t="s">
        <v>58</v>
      </c>
      <c r="Q864" t="s">
        <v>75</v>
      </c>
      <c r="R864" t="s">
        <v>48</v>
      </c>
      <c r="S864">
        <v>12061</v>
      </c>
      <c r="T864" t="str" cm="1">
        <f t="array" ref="T864">_xlfn.IFS(S864&gt;=10000,"High (&gt;10k)",S864&gt;=5000,"Medium (5k-10k)",S864&lt;5000,"Low (&lt;5k)")</f>
        <v>High (&gt;10k)</v>
      </c>
      <c r="U864">
        <v>26707</v>
      </c>
      <c r="V864">
        <v>3</v>
      </c>
      <c r="W864" t="s">
        <v>43</v>
      </c>
      <c r="X864">
        <v>17</v>
      </c>
      <c r="Y864">
        <v>3</v>
      </c>
      <c r="Z864">
        <v>3</v>
      </c>
      <c r="AA864">
        <v>1</v>
      </c>
      <c r="AB864">
        <v>19</v>
      </c>
      <c r="AC864">
        <v>2</v>
      </c>
      <c r="AD864" t="s">
        <v>74</v>
      </c>
      <c r="AE864">
        <v>10</v>
      </c>
      <c r="AF864" t="str" cm="1">
        <f t="array" ref="AF864">_xlfn.IFS(AE864&gt;=10,"Veteran (10y+)",AE864&gt;=3,"Established (3-10y)",AE864&lt;3,"New Hire (&lt;3y)")</f>
        <v>Veteran (10y+)</v>
      </c>
      <c r="AG864">
        <v>8</v>
      </c>
      <c r="AH864">
        <v>0</v>
      </c>
      <c r="AI864">
        <v>1</v>
      </c>
    </row>
    <row r="865" spans="1:35">
      <c r="A865">
        <v>38</v>
      </c>
      <c r="B865" t="str">
        <f t="shared" si="13"/>
        <v>Middle Aged</v>
      </c>
      <c r="C865">
        <v>0</v>
      </c>
      <c r="D865" t="s">
        <v>36</v>
      </c>
      <c r="E865">
        <v>343</v>
      </c>
      <c r="F865" t="s">
        <v>45</v>
      </c>
      <c r="G865">
        <v>15</v>
      </c>
      <c r="H865" t="str" cm="1">
        <f t="array" ref="H865">_xlfn.IFS(G865&gt;15,"Long Commute",G865&gt;5,"Moderate",G865&lt;=5,"Near Office")</f>
        <v>Moderate</v>
      </c>
      <c r="I865" t="s">
        <v>76</v>
      </c>
      <c r="J865" t="s">
        <v>38</v>
      </c>
      <c r="K865">
        <v>3</v>
      </c>
      <c r="L865" t="s">
        <v>46</v>
      </c>
      <c r="M865">
        <v>92</v>
      </c>
      <c r="N865">
        <v>2</v>
      </c>
      <c r="O865">
        <v>3</v>
      </c>
      <c r="P865" t="s">
        <v>58</v>
      </c>
      <c r="Q865" t="s">
        <v>77</v>
      </c>
      <c r="R865" t="s">
        <v>52</v>
      </c>
      <c r="S865">
        <v>11510</v>
      </c>
      <c r="T865" t="str" cm="1">
        <f t="array" ref="T865">_xlfn.IFS(S865&gt;=10000,"High (&gt;10k)",S865&gt;=5000,"Medium (5k-10k)",S865&lt;5000,"Low (&lt;5k)")</f>
        <v>High (&gt;10k)</v>
      </c>
      <c r="U865">
        <v>15682</v>
      </c>
      <c r="V865">
        <v>0</v>
      </c>
      <c r="W865" t="s">
        <v>35</v>
      </c>
      <c r="X865">
        <v>14</v>
      </c>
      <c r="Y865">
        <v>3</v>
      </c>
      <c r="Z865">
        <v>2</v>
      </c>
      <c r="AA865">
        <v>1</v>
      </c>
      <c r="AB865">
        <v>12</v>
      </c>
      <c r="AC865">
        <v>3</v>
      </c>
      <c r="AD865" t="s">
        <v>74</v>
      </c>
      <c r="AE865">
        <v>11</v>
      </c>
      <c r="AF865" t="str" cm="1">
        <f t="array" ref="AF865">_xlfn.IFS(AE865&gt;=10,"Veteran (10y+)",AE865&gt;=3,"Established (3-10y)",AE865&lt;3,"New Hire (&lt;3y)")</f>
        <v>Veteran (10y+)</v>
      </c>
      <c r="AG865">
        <v>10</v>
      </c>
      <c r="AH865">
        <v>2</v>
      </c>
      <c r="AI865">
        <v>9</v>
      </c>
    </row>
    <row r="866" spans="1:35">
      <c r="A866">
        <v>38</v>
      </c>
      <c r="B866" t="str">
        <f t="shared" si="13"/>
        <v>Middle Aged</v>
      </c>
      <c r="C866">
        <v>0</v>
      </c>
      <c r="D866" t="s">
        <v>44</v>
      </c>
      <c r="E866">
        <v>1490</v>
      </c>
      <c r="F866" t="s">
        <v>45</v>
      </c>
      <c r="G866">
        <v>2</v>
      </c>
      <c r="H866" t="str" cm="1">
        <f t="array" ref="H866">_xlfn.IFS(G866&gt;15,"Long Commute",G866&gt;5,"Moderate",G866&lt;=5,"Near Office")</f>
        <v>Near Office</v>
      </c>
      <c r="I866" t="s">
        <v>76</v>
      </c>
      <c r="J866" t="s">
        <v>38</v>
      </c>
      <c r="K866">
        <v>4</v>
      </c>
      <c r="L866" t="s">
        <v>46</v>
      </c>
      <c r="M866">
        <v>42</v>
      </c>
      <c r="N866">
        <v>3</v>
      </c>
      <c r="O866">
        <v>1</v>
      </c>
      <c r="P866" t="s">
        <v>50</v>
      </c>
      <c r="Q866" t="s">
        <v>77</v>
      </c>
      <c r="R866" t="s">
        <v>48</v>
      </c>
      <c r="S866">
        <v>1702</v>
      </c>
      <c r="T866" t="str" cm="1">
        <f t="array" ref="T866">_xlfn.IFS(S866&gt;=10000,"High (&gt;10k)",S866&gt;=5000,"Medium (5k-10k)",S866&lt;5000,"Low (&lt;5k)")</f>
        <v>Low (&lt;5k)</v>
      </c>
      <c r="U866">
        <v>12106</v>
      </c>
      <c r="V866">
        <v>1</v>
      </c>
      <c r="W866" t="s">
        <v>35</v>
      </c>
      <c r="X866">
        <v>23</v>
      </c>
      <c r="Y866">
        <v>4</v>
      </c>
      <c r="Z866">
        <v>3</v>
      </c>
      <c r="AA866">
        <v>1</v>
      </c>
      <c r="AB866">
        <v>1</v>
      </c>
      <c r="AC866">
        <v>3</v>
      </c>
      <c r="AD866" t="s">
        <v>74</v>
      </c>
      <c r="AE866">
        <v>1</v>
      </c>
      <c r="AF866" t="str" cm="1">
        <f t="array" ref="AF866">_xlfn.IFS(AE866&gt;=10,"Veteran (10y+)",AE866&gt;=3,"Established (3-10y)",AE866&lt;3,"New Hire (&lt;3y)")</f>
        <v>New Hire (&lt;3y)</v>
      </c>
      <c r="AG866">
        <v>0</v>
      </c>
      <c r="AH866">
        <v>0</v>
      </c>
      <c r="AI866">
        <v>0</v>
      </c>
    </row>
    <row r="867" spans="1:35">
      <c r="A867">
        <v>38</v>
      </c>
      <c r="B867" t="str">
        <f t="shared" si="13"/>
        <v>Middle Aged</v>
      </c>
      <c r="C867">
        <v>0</v>
      </c>
      <c r="D867" t="s">
        <v>36</v>
      </c>
      <c r="E867">
        <v>1495</v>
      </c>
      <c r="F867" t="s">
        <v>45</v>
      </c>
      <c r="G867">
        <v>10</v>
      </c>
      <c r="H867" t="str" cm="1">
        <f t="array" ref="H867">_xlfn.IFS(G867&gt;15,"Long Commute",G867&gt;5,"Moderate",G867&lt;=5,"Near Office")</f>
        <v>Moderate</v>
      </c>
      <c r="I867" t="s">
        <v>72</v>
      </c>
      <c r="J867" t="s">
        <v>51</v>
      </c>
      <c r="K867">
        <v>3</v>
      </c>
      <c r="L867" t="s">
        <v>39</v>
      </c>
      <c r="M867">
        <v>76</v>
      </c>
      <c r="N867">
        <v>3</v>
      </c>
      <c r="O867">
        <v>2</v>
      </c>
      <c r="P867" t="s">
        <v>54</v>
      </c>
      <c r="Q867" t="s">
        <v>73</v>
      </c>
      <c r="R867" t="s">
        <v>48</v>
      </c>
      <c r="S867">
        <v>9824</v>
      </c>
      <c r="T867" t="str" cm="1">
        <f t="array" ref="T867">_xlfn.IFS(S867&gt;=10000,"High (&gt;10k)",S867&gt;=5000,"Medium (5k-10k)",S867&lt;5000,"Low (&lt;5k)")</f>
        <v>Medium (5k-10k)</v>
      </c>
      <c r="U867">
        <v>22174</v>
      </c>
      <c r="V867">
        <v>3</v>
      </c>
      <c r="W867" t="s">
        <v>43</v>
      </c>
      <c r="X867">
        <v>19</v>
      </c>
      <c r="Y867">
        <v>3</v>
      </c>
      <c r="Z867">
        <v>3</v>
      </c>
      <c r="AA867">
        <v>1</v>
      </c>
      <c r="AB867">
        <v>18</v>
      </c>
      <c r="AC867">
        <v>4</v>
      </c>
      <c r="AD867" t="s">
        <v>74</v>
      </c>
      <c r="AE867">
        <v>1</v>
      </c>
      <c r="AF867" t="str" cm="1">
        <f t="array" ref="AF867">_xlfn.IFS(AE867&gt;=10,"Veteran (10y+)",AE867&gt;=3,"Established (3-10y)",AE867&lt;3,"New Hire (&lt;3y)")</f>
        <v>New Hire (&lt;3y)</v>
      </c>
      <c r="AG867">
        <v>0</v>
      </c>
      <c r="AH867">
        <v>0</v>
      </c>
      <c r="AI867">
        <v>0</v>
      </c>
    </row>
    <row r="868" spans="1:35">
      <c r="A868">
        <v>38</v>
      </c>
      <c r="B868" t="str">
        <f t="shared" si="13"/>
        <v>Middle Aged</v>
      </c>
      <c r="C868">
        <v>0</v>
      </c>
      <c r="D868" t="s">
        <v>36</v>
      </c>
      <c r="E868">
        <v>362</v>
      </c>
      <c r="F868" t="s">
        <v>45</v>
      </c>
      <c r="G868">
        <v>1</v>
      </c>
      <c r="H868" t="str" cm="1">
        <f t="array" ref="H868">_xlfn.IFS(G868&gt;15,"Long Commute",G868&gt;5,"Moderate",G868&lt;=5,"Near Office")</f>
        <v>Near Office</v>
      </c>
      <c r="I868" t="s">
        <v>78</v>
      </c>
      <c r="J868" t="s">
        <v>38</v>
      </c>
      <c r="K868">
        <v>3</v>
      </c>
      <c r="L868" t="s">
        <v>39</v>
      </c>
      <c r="M868">
        <v>43</v>
      </c>
      <c r="N868">
        <v>3</v>
      </c>
      <c r="O868">
        <v>1</v>
      </c>
      <c r="P868" t="s">
        <v>47</v>
      </c>
      <c r="Q868" t="s">
        <v>82</v>
      </c>
      <c r="R868" t="s">
        <v>41</v>
      </c>
      <c r="S868">
        <v>2619</v>
      </c>
      <c r="T868" t="str" cm="1">
        <f t="array" ref="T868">_xlfn.IFS(S868&gt;=10000,"High (&gt;10k)",S868&gt;=5000,"Medium (5k-10k)",S868&lt;5000,"Low (&lt;5k)")</f>
        <v>Low (&lt;5k)</v>
      </c>
      <c r="U868">
        <v>14561</v>
      </c>
      <c r="V868">
        <v>3</v>
      </c>
      <c r="W868" t="s">
        <v>43</v>
      </c>
      <c r="X868">
        <v>17</v>
      </c>
      <c r="Y868">
        <v>3</v>
      </c>
      <c r="Z868">
        <v>4</v>
      </c>
      <c r="AA868">
        <v>0</v>
      </c>
      <c r="AB868">
        <v>8</v>
      </c>
      <c r="AC868">
        <v>3</v>
      </c>
      <c r="AD868" t="s">
        <v>81</v>
      </c>
      <c r="AE868">
        <v>0</v>
      </c>
      <c r="AF868" t="str" cm="1">
        <f t="array" ref="AF868">_xlfn.IFS(AE868&gt;=10,"Veteran (10y+)",AE868&gt;=3,"Established (3-10y)",AE868&lt;3,"New Hire (&lt;3y)")</f>
        <v>New Hire (&lt;3y)</v>
      </c>
      <c r="AG868">
        <v>0</v>
      </c>
      <c r="AH868">
        <v>0</v>
      </c>
      <c r="AI868">
        <v>0</v>
      </c>
    </row>
    <row r="869" spans="1:35">
      <c r="A869">
        <v>38</v>
      </c>
      <c r="B869" t="str">
        <f t="shared" si="13"/>
        <v>Middle Aged</v>
      </c>
      <c r="C869">
        <v>0</v>
      </c>
      <c r="D869" t="s">
        <v>36</v>
      </c>
      <c r="E869">
        <v>243</v>
      </c>
      <c r="F869" t="s">
        <v>37</v>
      </c>
      <c r="G869">
        <v>7</v>
      </c>
      <c r="H869" t="str" cm="1">
        <f t="array" ref="H869">_xlfn.IFS(G869&gt;15,"Long Commute",G869&gt;5,"Moderate",G869&lt;=5,"Near Office")</f>
        <v>Moderate</v>
      </c>
      <c r="I869" t="s">
        <v>83</v>
      </c>
      <c r="J869" t="s">
        <v>59</v>
      </c>
      <c r="K869">
        <v>4</v>
      </c>
      <c r="L869" t="s">
        <v>39</v>
      </c>
      <c r="M869">
        <v>46</v>
      </c>
      <c r="N869">
        <v>2</v>
      </c>
      <c r="O869">
        <v>2</v>
      </c>
      <c r="P869" t="s">
        <v>40</v>
      </c>
      <c r="Q869" t="s">
        <v>77</v>
      </c>
      <c r="R869" t="s">
        <v>41</v>
      </c>
      <c r="S869">
        <v>4028</v>
      </c>
      <c r="T869" t="str" cm="1">
        <f t="array" ref="T869">_xlfn.IFS(S869&gt;=10000,"High (&gt;10k)",S869&gt;=5000,"Medium (5k-10k)",S869&lt;5000,"Low (&lt;5k)")</f>
        <v>Low (&lt;5k)</v>
      </c>
      <c r="U869">
        <v>7791</v>
      </c>
      <c r="V869">
        <v>0</v>
      </c>
      <c r="W869" t="s">
        <v>43</v>
      </c>
      <c r="X869">
        <v>20</v>
      </c>
      <c r="Y869">
        <v>4</v>
      </c>
      <c r="Z869">
        <v>1</v>
      </c>
      <c r="AA869">
        <v>0</v>
      </c>
      <c r="AB869">
        <v>8</v>
      </c>
      <c r="AC869">
        <v>2</v>
      </c>
      <c r="AD869" t="s">
        <v>74</v>
      </c>
      <c r="AE869">
        <v>7</v>
      </c>
      <c r="AF869" t="str" cm="1">
        <f t="array" ref="AF869">_xlfn.IFS(AE869&gt;=10,"Veteran (10y+)",AE869&gt;=3,"Established (3-10y)",AE869&lt;3,"New Hire (&lt;3y)")</f>
        <v>Established (3-10y)</v>
      </c>
      <c r="AG869">
        <v>7</v>
      </c>
      <c r="AH869">
        <v>0</v>
      </c>
      <c r="AI869">
        <v>5</v>
      </c>
    </row>
    <row r="870" spans="1:35">
      <c r="A870">
        <v>38</v>
      </c>
      <c r="B870" t="str">
        <f t="shared" si="13"/>
        <v>Middle Aged</v>
      </c>
      <c r="C870">
        <v>0</v>
      </c>
      <c r="D870" t="s">
        <v>36</v>
      </c>
      <c r="E870">
        <v>827</v>
      </c>
      <c r="F870" t="s">
        <v>45</v>
      </c>
      <c r="G870">
        <v>1</v>
      </c>
      <c r="H870" t="str" cm="1">
        <f t="array" ref="H870">_xlfn.IFS(G870&gt;15,"Long Commute",G870&gt;5,"Moderate",G870&lt;=5,"Near Office")</f>
        <v>Near Office</v>
      </c>
      <c r="I870" t="s">
        <v>83</v>
      </c>
      <c r="J870" t="s">
        <v>38</v>
      </c>
      <c r="K870">
        <v>2</v>
      </c>
      <c r="L870" t="s">
        <v>39</v>
      </c>
      <c r="M870">
        <v>33</v>
      </c>
      <c r="N870">
        <v>4</v>
      </c>
      <c r="O870">
        <v>2</v>
      </c>
      <c r="P870" t="s">
        <v>54</v>
      </c>
      <c r="Q870" t="s">
        <v>77</v>
      </c>
      <c r="R870" t="s">
        <v>41</v>
      </c>
      <c r="S870">
        <v>7625</v>
      </c>
      <c r="T870" t="str" cm="1">
        <f t="array" ref="T870">_xlfn.IFS(S870&gt;=10000,"High (&gt;10k)",S870&gt;=5000,"Medium (5k-10k)",S870&lt;5000,"Low (&lt;5k)")</f>
        <v>Medium (5k-10k)</v>
      </c>
      <c r="U870">
        <v>19383</v>
      </c>
      <c r="V870">
        <v>0</v>
      </c>
      <c r="W870" t="s">
        <v>43</v>
      </c>
      <c r="X870">
        <v>13</v>
      </c>
      <c r="Y870">
        <v>3</v>
      </c>
      <c r="Z870">
        <v>3</v>
      </c>
      <c r="AA870">
        <v>0</v>
      </c>
      <c r="AB870">
        <v>10</v>
      </c>
      <c r="AC870">
        <v>4</v>
      </c>
      <c r="AD870" t="s">
        <v>81</v>
      </c>
      <c r="AE870">
        <v>9</v>
      </c>
      <c r="AF870" t="str" cm="1">
        <f t="array" ref="AF870">_xlfn.IFS(AE870&gt;=10,"Veteran (10y+)",AE870&gt;=3,"Established (3-10y)",AE870&lt;3,"New Hire (&lt;3y)")</f>
        <v>Established (3-10y)</v>
      </c>
      <c r="AG870">
        <v>7</v>
      </c>
      <c r="AH870">
        <v>1</v>
      </c>
      <c r="AI870">
        <v>8</v>
      </c>
    </row>
    <row r="871" spans="1:35">
      <c r="A871">
        <v>38</v>
      </c>
      <c r="B871" t="str">
        <f t="shared" si="13"/>
        <v>Middle Aged</v>
      </c>
      <c r="C871">
        <v>0</v>
      </c>
      <c r="D871" t="s">
        <v>36</v>
      </c>
      <c r="E871">
        <v>168</v>
      </c>
      <c r="F871" t="s">
        <v>45</v>
      </c>
      <c r="G871">
        <v>1</v>
      </c>
      <c r="H871" t="str" cm="1">
        <f t="array" ref="H871">_xlfn.IFS(G871&gt;15,"Long Commute",G871&gt;5,"Moderate",G871&lt;=5,"Near Office")</f>
        <v>Near Office</v>
      </c>
      <c r="I871" t="s">
        <v>72</v>
      </c>
      <c r="J871" t="s">
        <v>38</v>
      </c>
      <c r="K871">
        <v>3</v>
      </c>
      <c r="L871" t="s">
        <v>39</v>
      </c>
      <c r="M871">
        <v>81</v>
      </c>
      <c r="N871">
        <v>3</v>
      </c>
      <c r="O871">
        <v>3</v>
      </c>
      <c r="P871" t="s">
        <v>53</v>
      </c>
      <c r="Q871" t="s">
        <v>73</v>
      </c>
      <c r="R871" t="s">
        <v>41</v>
      </c>
      <c r="S871">
        <v>7861</v>
      </c>
      <c r="T871" t="str" cm="1">
        <f t="array" ref="T871">_xlfn.IFS(S871&gt;=10000,"High (&gt;10k)",S871&gt;=5000,"Medium (5k-10k)",S871&lt;5000,"Low (&lt;5k)")</f>
        <v>Medium (5k-10k)</v>
      </c>
      <c r="U871">
        <v>15397</v>
      </c>
      <c r="V871">
        <v>4</v>
      </c>
      <c r="W871" t="s">
        <v>35</v>
      </c>
      <c r="X871">
        <v>14</v>
      </c>
      <c r="Y871">
        <v>3</v>
      </c>
      <c r="Z871">
        <v>4</v>
      </c>
      <c r="AA871">
        <v>0</v>
      </c>
      <c r="AB871">
        <v>10</v>
      </c>
      <c r="AC871">
        <v>4</v>
      </c>
      <c r="AD871" t="s">
        <v>79</v>
      </c>
      <c r="AE871">
        <v>1</v>
      </c>
      <c r="AF871" t="str" cm="1">
        <f t="array" ref="AF871">_xlfn.IFS(AE871&gt;=10,"Veteran (10y+)",AE871&gt;=3,"Established (3-10y)",AE871&lt;3,"New Hire (&lt;3y)")</f>
        <v>New Hire (&lt;3y)</v>
      </c>
      <c r="AG871">
        <v>0</v>
      </c>
      <c r="AH871">
        <v>0</v>
      </c>
      <c r="AI871">
        <v>0</v>
      </c>
    </row>
    <row r="872" spans="1:35">
      <c r="A872">
        <v>38</v>
      </c>
      <c r="B872" t="str">
        <f t="shared" si="13"/>
        <v>Middle Aged</v>
      </c>
      <c r="C872">
        <v>0</v>
      </c>
      <c r="D872" t="s">
        <v>36</v>
      </c>
      <c r="E872">
        <v>268</v>
      </c>
      <c r="F872" t="s">
        <v>45</v>
      </c>
      <c r="G872">
        <v>2</v>
      </c>
      <c r="H872" t="str" cm="1">
        <f t="array" ref="H872">_xlfn.IFS(G872&gt;15,"Long Commute",G872&gt;5,"Moderate",G872&lt;=5,"Near Office")</f>
        <v>Near Office</v>
      </c>
      <c r="I872" t="s">
        <v>84</v>
      </c>
      <c r="J872" t="s">
        <v>51</v>
      </c>
      <c r="K872">
        <v>4</v>
      </c>
      <c r="L872" t="s">
        <v>46</v>
      </c>
      <c r="M872">
        <v>92</v>
      </c>
      <c r="N872">
        <v>3</v>
      </c>
      <c r="O872">
        <v>1</v>
      </c>
      <c r="P872" t="s">
        <v>47</v>
      </c>
      <c r="Q872" t="s">
        <v>73</v>
      </c>
      <c r="R872" t="s">
        <v>48</v>
      </c>
      <c r="S872">
        <v>3057</v>
      </c>
      <c r="T872" t="str" cm="1">
        <f t="array" ref="T872">_xlfn.IFS(S872&gt;=10000,"High (&gt;10k)",S872&gt;=5000,"Medium (5k-10k)",S872&lt;5000,"Low (&lt;5k)")</f>
        <v>Low (&lt;5k)</v>
      </c>
      <c r="U872">
        <v>20471</v>
      </c>
      <c r="V872">
        <v>6</v>
      </c>
      <c r="W872" t="s">
        <v>35</v>
      </c>
      <c r="X872">
        <v>13</v>
      </c>
      <c r="Y872">
        <v>3</v>
      </c>
      <c r="Z872">
        <v>2</v>
      </c>
      <c r="AA872">
        <v>1</v>
      </c>
      <c r="AB872">
        <v>6</v>
      </c>
      <c r="AC872">
        <v>0</v>
      </c>
      <c r="AD872" t="s">
        <v>80</v>
      </c>
      <c r="AE872">
        <v>1</v>
      </c>
      <c r="AF872" t="str" cm="1">
        <f t="array" ref="AF872">_xlfn.IFS(AE872&gt;=10,"Veteran (10y+)",AE872&gt;=3,"Established (3-10y)",AE872&lt;3,"New Hire (&lt;3y)")</f>
        <v>New Hire (&lt;3y)</v>
      </c>
      <c r="AG872">
        <v>0</v>
      </c>
      <c r="AH872">
        <v>0</v>
      </c>
      <c r="AI872">
        <v>1</v>
      </c>
    </row>
    <row r="873" spans="1:35">
      <c r="A873">
        <v>38</v>
      </c>
      <c r="B873" t="str">
        <f t="shared" si="13"/>
        <v>Middle Aged</v>
      </c>
      <c r="C873">
        <v>0</v>
      </c>
      <c r="D873" t="s">
        <v>44</v>
      </c>
      <c r="E873">
        <v>240</v>
      </c>
      <c r="F873" t="s">
        <v>45</v>
      </c>
      <c r="G873">
        <v>2</v>
      </c>
      <c r="H873" t="str" cm="1">
        <f t="array" ref="H873">_xlfn.IFS(G873&gt;15,"Long Commute",G873&gt;5,"Moderate",G873&lt;=5,"Near Office")</f>
        <v>Near Office</v>
      </c>
      <c r="I873" t="s">
        <v>83</v>
      </c>
      <c r="J873" t="s">
        <v>38</v>
      </c>
      <c r="K873">
        <v>1</v>
      </c>
      <c r="L873" t="s">
        <v>39</v>
      </c>
      <c r="M873">
        <v>75</v>
      </c>
      <c r="N873">
        <v>4</v>
      </c>
      <c r="O873">
        <v>2</v>
      </c>
      <c r="P873" t="s">
        <v>53</v>
      </c>
      <c r="Q873" t="s">
        <v>82</v>
      </c>
      <c r="R873" t="s">
        <v>41</v>
      </c>
      <c r="S873">
        <v>5980</v>
      </c>
      <c r="T873" t="str" cm="1">
        <f t="array" ref="T873">_xlfn.IFS(S873&gt;=10000,"High (&gt;10k)",S873&gt;=5000,"Medium (5k-10k)",S873&lt;5000,"Low (&lt;5k)")</f>
        <v>Medium (5k-10k)</v>
      </c>
      <c r="U873">
        <v>26085</v>
      </c>
      <c r="V873">
        <v>6</v>
      </c>
      <c r="W873" t="s">
        <v>35</v>
      </c>
      <c r="X873">
        <v>12</v>
      </c>
      <c r="Y873">
        <v>3</v>
      </c>
      <c r="Z873">
        <v>4</v>
      </c>
      <c r="AA873">
        <v>0</v>
      </c>
      <c r="AB873">
        <v>17</v>
      </c>
      <c r="AC873">
        <v>2</v>
      </c>
      <c r="AD873" t="s">
        <v>74</v>
      </c>
      <c r="AE873">
        <v>15</v>
      </c>
      <c r="AF873" t="str" cm="1">
        <f t="array" ref="AF873">_xlfn.IFS(AE873&gt;=10,"Veteran (10y+)",AE873&gt;=3,"Established (3-10y)",AE873&lt;3,"New Hire (&lt;3y)")</f>
        <v>Veteran (10y+)</v>
      </c>
      <c r="AG873">
        <v>7</v>
      </c>
      <c r="AH873">
        <v>4</v>
      </c>
      <c r="AI873">
        <v>12</v>
      </c>
    </row>
    <row r="874" spans="1:35">
      <c r="A874">
        <v>38</v>
      </c>
      <c r="B874" t="str">
        <f t="shared" si="13"/>
        <v>Middle Aged</v>
      </c>
      <c r="C874">
        <v>0</v>
      </c>
      <c r="D874" t="s">
        <v>44</v>
      </c>
      <c r="E874">
        <v>471</v>
      </c>
      <c r="F874" t="s">
        <v>45</v>
      </c>
      <c r="G874">
        <v>12</v>
      </c>
      <c r="H874" t="str" cm="1">
        <f t="array" ref="H874">_xlfn.IFS(G874&gt;15,"Long Commute",G874&gt;5,"Moderate",G874&lt;=5,"Near Office")</f>
        <v>Moderate</v>
      </c>
      <c r="I874" t="s">
        <v>72</v>
      </c>
      <c r="J874" t="s">
        <v>38</v>
      </c>
      <c r="K874">
        <v>1</v>
      </c>
      <c r="L874" t="s">
        <v>46</v>
      </c>
      <c r="M874">
        <v>45</v>
      </c>
      <c r="N874">
        <v>2</v>
      </c>
      <c r="O874">
        <v>2</v>
      </c>
      <c r="P874" t="s">
        <v>54</v>
      </c>
      <c r="Q874" t="s">
        <v>82</v>
      </c>
      <c r="R874" t="s">
        <v>52</v>
      </c>
      <c r="S874">
        <v>6288</v>
      </c>
      <c r="T874" t="str" cm="1">
        <f t="array" ref="T874">_xlfn.IFS(S874&gt;=10000,"High (&gt;10k)",S874&gt;=5000,"Medium (5k-10k)",S874&lt;5000,"Low (&lt;5k)")</f>
        <v>Medium (5k-10k)</v>
      </c>
      <c r="U874">
        <v>4284</v>
      </c>
      <c r="V874">
        <v>2</v>
      </c>
      <c r="W874" t="s">
        <v>43</v>
      </c>
      <c r="X874">
        <v>15</v>
      </c>
      <c r="Y874">
        <v>3</v>
      </c>
      <c r="Z874">
        <v>3</v>
      </c>
      <c r="AA874">
        <v>1</v>
      </c>
      <c r="AB874">
        <v>13</v>
      </c>
      <c r="AC874">
        <v>3</v>
      </c>
      <c r="AD874" t="s">
        <v>81</v>
      </c>
      <c r="AE874">
        <v>4</v>
      </c>
      <c r="AF874" t="str" cm="1">
        <f t="array" ref="AF874">_xlfn.IFS(AE874&gt;=10,"Veteran (10y+)",AE874&gt;=3,"Established (3-10y)",AE874&lt;3,"New Hire (&lt;3y)")</f>
        <v>Established (3-10y)</v>
      </c>
      <c r="AG874">
        <v>3</v>
      </c>
      <c r="AH874">
        <v>1</v>
      </c>
      <c r="AI874">
        <v>2</v>
      </c>
    </row>
    <row r="875" spans="1:35">
      <c r="A875">
        <v>38</v>
      </c>
      <c r="B875" t="str">
        <f t="shared" si="13"/>
        <v>Middle Aged</v>
      </c>
      <c r="C875">
        <v>0</v>
      </c>
      <c r="D875" t="s">
        <v>36</v>
      </c>
      <c r="E875">
        <v>395</v>
      </c>
      <c r="F875" t="s">
        <v>37</v>
      </c>
      <c r="G875">
        <v>9</v>
      </c>
      <c r="H875" t="str" cm="1">
        <f t="array" ref="H875">_xlfn.IFS(G875&gt;15,"Long Commute",G875&gt;5,"Moderate",G875&lt;=5,"Near Office")</f>
        <v>Moderate</v>
      </c>
      <c r="I875" t="s">
        <v>72</v>
      </c>
      <c r="J875" t="s">
        <v>59</v>
      </c>
      <c r="K875">
        <v>2</v>
      </c>
      <c r="L875" t="s">
        <v>46</v>
      </c>
      <c r="M875">
        <v>98</v>
      </c>
      <c r="N875">
        <v>2</v>
      </c>
      <c r="O875">
        <v>1</v>
      </c>
      <c r="P875" t="s">
        <v>57</v>
      </c>
      <c r="Q875" t="s">
        <v>75</v>
      </c>
      <c r="R875" t="s">
        <v>48</v>
      </c>
      <c r="S875">
        <v>2899</v>
      </c>
      <c r="T875" t="str" cm="1">
        <f t="array" ref="T875">_xlfn.IFS(S875&gt;=10000,"High (&gt;10k)",S875&gt;=5000,"Medium (5k-10k)",S875&lt;5000,"Low (&lt;5k)")</f>
        <v>Low (&lt;5k)</v>
      </c>
      <c r="U875">
        <v>12102</v>
      </c>
      <c r="V875">
        <v>0</v>
      </c>
      <c r="W875" t="s">
        <v>43</v>
      </c>
      <c r="X875">
        <v>19</v>
      </c>
      <c r="Y875">
        <v>3</v>
      </c>
      <c r="Z875">
        <v>4</v>
      </c>
      <c r="AA875">
        <v>1</v>
      </c>
      <c r="AB875">
        <v>3</v>
      </c>
      <c r="AC875">
        <v>3</v>
      </c>
      <c r="AD875" t="s">
        <v>74</v>
      </c>
      <c r="AE875">
        <v>2</v>
      </c>
      <c r="AF875" t="str" cm="1">
        <f t="array" ref="AF875">_xlfn.IFS(AE875&gt;=10,"Veteran (10y+)",AE875&gt;=3,"Established (3-10y)",AE875&lt;3,"New Hire (&lt;3y)")</f>
        <v>New Hire (&lt;3y)</v>
      </c>
      <c r="AG875">
        <v>2</v>
      </c>
      <c r="AH875">
        <v>1</v>
      </c>
      <c r="AI875">
        <v>2</v>
      </c>
    </row>
    <row r="876" spans="1:35">
      <c r="A876">
        <v>38</v>
      </c>
      <c r="B876" t="str">
        <f t="shared" si="13"/>
        <v>Middle Aged</v>
      </c>
      <c r="C876">
        <v>0</v>
      </c>
      <c r="D876" t="s">
        <v>36</v>
      </c>
      <c r="E876">
        <v>1333</v>
      </c>
      <c r="F876" t="s">
        <v>45</v>
      </c>
      <c r="G876">
        <v>1</v>
      </c>
      <c r="H876" t="str" cm="1">
        <f t="array" ref="H876">_xlfn.IFS(G876&gt;15,"Long Commute",G876&gt;5,"Moderate",G876&lt;=5,"Near Office")</f>
        <v>Near Office</v>
      </c>
      <c r="I876" t="s">
        <v>72</v>
      </c>
      <c r="J876" t="s">
        <v>60</v>
      </c>
      <c r="K876">
        <v>4</v>
      </c>
      <c r="L876" t="s">
        <v>39</v>
      </c>
      <c r="M876">
        <v>80</v>
      </c>
      <c r="N876">
        <v>3</v>
      </c>
      <c r="O876">
        <v>3</v>
      </c>
      <c r="P876" t="s">
        <v>58</v>
      </c>
      <c r="Q876" t="s">
        <v>82</v>
      </c>
      <c r="R876" t="s">
        <v>48</v>
      </c>
      <c r="S876">
        <v>13582</v>
      </c>
      <c r="T876" t="str" cm="1">
        <f t="array" ref="T876">_xlfn.IFS(S876&gt;=10000,"High (&gt;10k)",S876&gt;=5000,"Medium (5k-10k)",S876&lt;5000,"Low (&lt;5k)")</f>
        <v>High (&gt;10k)</v>
      </c>
      <c r="U876">
        <v>16292</v>
      </c>
      <c r="V876">
        <v>1</v>
      </c>
      <c r="W876" t="s">
        <v>43</v>
      </c>
      <c r="X876">
        <v>13</v>
      </c>
      <c r="Y876">
        <v>3</v>
      </c>
      <c r="Z876">
        <v>2</v>
      </c>
      <c r="AA876">
        <v>1</v>
      </c>
      <c r="AB876">
        <v>15</v>
      </c>
      <c r="AC876">
        <v>3</v>
      </c>
      <c r="AD876" t="s">
        <v>74</v>
      </c>
      <c r="AE876">
        <v>15</v>
      </c>
      <c r="AF876" t="str" cm="1">
        <f t="array" ref="AF876">_xlfn.IFS(AE876&gt;=10,"Veteran (10y+)",AE876&gt;=3,"Established (3-10y)",AE876&lt;3,"New Hire (&lt;3y)")</f>
        <v>Veteran (10y+)</v>
      </c>
      <c r="AG876">
        <v>12</v>
      </c>
      <c r="AH876">
        <v>5</v>
      </c>
      <c r="AI876">
        <v>11</v>
      </c>
    </row>
    <row r="877" spans="1:35">
      <c r="A877">
        <v>38</v>
      </c>
      <c r="B877" t="str">
        <f t="shared" si="13"/>
        <v>Middle Aged</v>
      </c>
      <c r="C877">
        <v>0</v>
      </c>
      <c r="D877" t="s">
        <v>55</v>
      </c>
      <c r="E877">
        <v>152</v>
      </c>
      <c r="F877" t="s">
        <v>37</v>
      </c>
      <c r="G877">
        <v>10</v>
      </c>
      <c r="H877" t="str" cm="1">
        <f t="array" ref="H877">_xlfn.IFS(G877&gt;15,"Long Commute",G877&gt;5,"Moderate",G877&lt;=5,"Near Office")</f>
        <v>Moderate</v>
      </c>
      <c r="I877" t="s">
        <v>72</v>
      </c>
      <c r="J877" t="s">
        <v>60</v>
      </c>
      <c r="K877">
        <v>3</v>
      </c>
      <c r="L877" t="s">
        <v>39</v>
      </c>
      <c r="M877">
        <v>85</v>
      </c>
      <c r="N877">
        <v>3</v>
      </c>
      <c r="O877">
        <v>2</v>
      </c>
      <c r="P877" t="s">
        <v>40</v>
      </c>
      <c r="Q877" t="s">
        <v>77</v>
      </c>
      <c r="R877" t="s">
        <v>41</v>
      </c>
      <c r="S877">
        <v>5666</v>
      </c>
      <c r="T877" t="str" cm="1">
        <f t="array" ref="T877">_xlfn.IFS(S877&gt;=10000,"High (&gt;10k)",S877&gt;=5000,"Medium (5k-10k)",S877&lt;5000,"Low (&lt;5k)")</f>
        <v>Medium (5k-10k)</v>
      </c>
      <c r="U877">
        <v>19899</v>
      </c>
      <c r="V877">
        <v>1</v>
      </c>
      <c r="W877" t="s">
        <v>35</v>
      </c>
      <c r="X877">
        <v>13</v>
      </c>
      <c r="Y877">
        <v>3</v>
      </c>
      <c r="Z877">
        <v>2</v>
      </c>
      <c r="AA877">
        <v>0</v>
      </c>
      <c r="AB877">
        <v>6</v>
      </c>
      <c r="AC877">
        <v>1</v>
      </c>
      <c r="AD877" t="s">
        <v>74</v>
      </c>
      <c r="AE877">
        <v>5</v>
      </c>
      <c r="AF877" t="str" cm="1">
        <f t="array" ref="AF877">_xlfn.IFS(AE877&gt;=10,"Veteran (10y+)",AE877&gt;=3,"Established (3-10y)",AE877&lt;3,"New Hire (&lt;3y)")</f>
        <v>Established (3-10y)</v>
      </c>
      <c r="AG877">
        <v>3</v>
      </c>
      <c r="AH877">
        <v>1</v>
      </c>
      <c r="AI877">
        <v>3</v>
      </c>
    </row>
    <row r="878" spans="1:35">
      <c r="A878">
        <v>38</v>
      </c>
      <c r="B878" t="str">
        <f t="shared" si="13"/>
        <v>Middle Aged</v>
      </c>
      <c r="C878">
        <v>0</v>
      </c>
      <c r="D878" t="s">
        <v>44</v>
      </c>
      <c r="E878">
        <v>1391</v>
      </c>
      <c r="F878" t="s">
        <v>45</v>
      </c>
      <c r="G878">
        <v>10</v>
      </c>
      <c r="H878" t="str" cm="1">
        <f t="array" ref="H878">_xlfn.IFS(G878&gt;15,"Long Commute",G878&gt;5,"Moderate",G878&lt;=5,"Near Office")</f>
        <v>Moderate</v>
      </c>
      <c r="I878" t="s">
        <v>78</v>
      </c>
      <c r="J878" t="s">
        <v>51</v>
      </c>
      <c r="K878">
        <v>3</v>
      </c>
      <c r="L878" t="s">
        <v>46</v>
      </c>
      <c r="M878">
        <v>66</v>
      </c>
      <c r="N878">
        <v>3</v>
      </c>
      <c r="O878">
        <v>1</v>
      </c>
      <c r="P878" t="s">
        <v>47</v>
      </c>
      <c r="Q878" t="s">
        <v>73</v>
      </c>
      <c r="R878" t="s">
        <v>48</v>
      </c>
      <c r="S878">
        <v>2684</v>
      </c>
      <c r="T878" t="str" cm="1">
        <f t="array" ref="T878">_xlfn.IFS(S878&gt;=10000,"High (&gt;10k)",S878&gt;=5000,"Medium (5k-10k)",S878&lt;5000,"Low (&lt;5k)")</f>
        <v>Low (&lt;5k)</v>
      </c>
      <c r="U878">
        <v>12127</v>
      </c>
      <c r="V878">
        <v>0</v>
      </c>
      <c r="W878" t="s">
        <v>43</v>
      </c>
      <c r="X878">
        <v>17</v>
      </c>
      <c r="Y878">
        <v>3</v>
      </c>
      <c r="Z878">
        <v>2</v>
      </c>
      <c r="AA878">
        <v>1</v>
      </c>
      <c r="AB878">
        <v>3</v>
      </c>
      <c r="AC878">
        <v>0</v>
      </c>
      <c r="AD878" t="s">
        <v>81</v>
      </c>
      <c r="AE878">
        <v>2</v>
      </c>
      <c r="AF878" t="str" cm="1">
        <f t="array" ref="AF878">_xlfn.IFS(AE878&gt;=10,"Veteran (10y+)",AE878&gt;=3,"Established (3-10y)",AE878&lt;3,"New Hire (&lt;3y)")</f>
        <v>New Hire (&lt;3y)</v>
      </c>
      <c r="AG878">
        <v>1</v>
      </c>
      <c r="AH878">
        <v>0</v>
      </c>
      <c r="AI878">
        <v>2</v>
      </c>
    </row>
    <row r="879" spans="1:35">
      <c r="A879">
        <v>38</v>
      </c>
      <c r="B879" t="str">
        <f t="shared" si="13"/>
        <v>Middle Aged</v>
      </c>
      <c r="C879">
        <v>0</v>
      </c>
      <c r="D879" t="s">
        <v>36</v>
      </c>
      <c r="E879">
        <v>1035</v>
      </c>
      <c r="F879" t="s">
        <v>37</v>
      </c>
      <c r="G879">
        <v>3</v>
      </c>
      <c r="H879" t="str" cm="1">
        <f t="array" ref="H879">_xlfn.IFS(G879&gt;15,"Long Commute",G879&gt;5,"Moderate",G879&lt;=5,"Near Office")</f>
        <v>Near Office</v>
      </c>
      <c r="I879" t="s">
        <v>83</v>
      </c>
      <c r="J879" t="s">
        <v>38</v>
      </c>
      <c r="K879">
        <v>2</v>
      </c>
      <c r="L879" t="s">
        <v>46</v>
      </c>
      <c r="M879">
        <v>42</v>
      </c>
      <c r="N879">
        <v>3</v>
      </c>
      <c r="O879">
        <v>2</v>
      </c>
      <c r="P879" t="s">
        <v>40</v>
      </c>
      <c r="Q879" t="s">
        <v>77</v>
      </c>
      <c r="R879" t="s">
        <v>41</v>
      </c>
      <c r="S879">
        <v>6861</v>
      </c>
      <c r="T879" t="str" cm="1">
        <f t="array" ref="T879">_xlfn.IFS(S879&gt;=10000,"High (&gt;10k)",S879&gt;=5000,"Medium (5k-10k)",S879&lt;5000,"Low (&lt;5k)")</f>
        <v>Medium (5k-10k)</v>
      </c>
      <c r="U879">
        <v>4981</v>
      </c>
      <c r="V879">
        <v>8</v>
      </c>
      <c r="W879" t="s">
        <v>35</v>
      </c>
      <c r="X879">
        <v>12</v>
      </c>
      <c r="Y879">
        <v>3</v>
      </c>
      <c r="Z879">
        <v>3</v>
      </c>
      <c r="AA879">
        <v>0</v>
      </c>
      <c r="AB879">
        <v>19</v>
      </c>
      <c r="AC879">
        <v>1</v>
      </c>
      <c r="AD879" t="s">
        <v>74</v>
      </c>
      <c r="AE879">
        <v>1</v>
      </c>
      <c r="AF879" t="str" cm="1">
        <f t="array" ref="AF879">_xlfn.IFS(AE879&gt;=10,"Veteran (10y+)",AE879&gt;=3,"Established (3-10y)",AE879&lt;3,"New Hire (&lt;3y)")</f>
        <v>New Hire (&lt;3y)</v>
      </c>
      <c r="AG879">
        <v>0</v>
      </c>
      <c r="AH879">
        <v>0</v>
      </c>
      <c r="AI879">
        <v>0</v>
      </c>
    </row>
    <row r="880" spans="1:35">
      <c r="A880">
        <v>38</v>
      </c>
      <c r="B880" t="str">
        <f t="shared" si="13"/>
        <v>Middle Aged</v>
      </c>
      <c r="C880">
        <v>0</v>
      </c>
      <c r="D880" t="s">
        <v>44</v>
      </c>
      <c r="E880">
        <v>1186</v>
      </c>
      <c r="F880" t="s">
        <v>45</v>
      </c>
      <c r="G880">
        <v>3</v>
      </c>
      <c r="H880" t="str" cm="1">
        <f t="array" ref="H880">_xlfn.IFS(G880&gt;15,"Long Commute",G880&gt;5,"Moderate",G880&lt;=5,"Near Office")</f>
        <v>Near Office</v>
      </c>
      <c r="I880" t="s">
        <v>83</v>
      </c>
      <c r="J880" t="s">
        <v>49</v>
      </c>
      <c r="K880">
        <v>3</v>
      </c>
      <c r="L880" t="s">
        <v>46</v>
      </c>
      <c r="M880">
        <v>44</v>
      </c>
      <c r="N880">
        <v>3</v>
      </c>
      <c r="O880">
        <v>1</v>
      </c>
      <c r="P880" t="s">
        <v>47</v>
      </c>
      <c r="Q880" t="s">
        <v>73</v>
      </c>
      <c r="R880" t="s">
        <v>48</v>
      </c>
      <c r="S880">
        <v>2821</v>
      </c>
      <c r="T880" t="str" cm="1">
        <f t="array" ref="T880">_xlfn.IFS(S880&gt;=10000,"High (&gt;10k)",S880&gt;=5000,"Medium (5k-10k)",S880&lt;5000,"Low (&lt;5k)")</f>
        <v>Low (&lt;5k)</v>
      </c>
      <c r="U880">
        <v>2997</v>
      </c>
      <c r="V880">
        <v>3</v>
      </c>
      <c r="W880" t="s">
        <v>43</v>
      </c>
      <c r="X880">
        <v>16</v>
      </c>
      <c r="Y880">
        <v>3</v>
      </c>
      <c r="Z880">
        <v>1</v>
      </c>
      <c r="AA880">
        <v>1</v>
      </c>
      <c r="AB880">
        <v>8</v>
      </c>
      <c r="AC880">
        <v>2</v>
      </c>
      <c r="AD880" t="s">
        <v>74</v>
      </c>
      <c r="AE880">
        <v>2</v>
      </c>
      <c r="AF880" t="str" cm="1">
        <f t="array" ref="AF880">_xlfn.IFS(AE880&gt;=10,"Veteran (10y+)",AE880&gt;=3,"Established (3-10y)",AE880&lt;3,"New Hire (&lt;3y)")</f>
        <v>New Hire (&lt;3y)</v>
      </c>
      <c r="AG880">
        <v>2</v>
      </c>
      <c r="AH880">
        <v>2</v>
      </c>
      <c r="AI880">
        <v>2</v>
      </c>
    </row>
    <row r="881" spans="1:35">
      <c r="A881">
        <v>38</v>
      </c>
      <c r="B881" t="str">
        <f t="shared" si="13"/>
        <v>Middle Aged</v>
      </c>
      <c r="C881">
        <v>0</v>
      </c>
      <c r="D881" t="s">
        <v>36</v>
      </c>
      <c r="E881">
        <v>330</v>
      </c>
      <c r="F881" t="s">
        <v>45</v>
      </c>
      <c r="G881">
        <v>17</v>
      </c>
      <c r="H881" t="str" cm="1">
        <f t="array" ref="H881">_xlfn.IFS(G881&gt;15,"Long Commute",G881&gt;5,"Moderate",G881&lt;=5,"Near Office")</f>
        <v>Long Commute</v>
      </c>
      <c r="I881" t="s">
        <v>78</v>
      </c>
      <c r="J881" t="s">
        <v>38</v>
      </c>
      <c r="K881">
        <v>3</v>
      </c>
      <c r="L881" t="s">
        <v>39</v>
      </c>
      <c r="M881">
        <v>65</v>
      </c>
      <c r="N881">
        <v>2</v>
      </c>
      <c r="O881">
        <v>3</v>
      </c>
      <c r="P881" t="s">
        <v>54</v>
      </c>
      <c r="Q881" t="s">
        <v>73</v>
      </c>
      <c r="R881" t="s">
        <v>48</v>
      </c>
      <c r="S881">
        <v>8823</v>
      </c>
      <c r="T881" t="str" cm="1">
        <f t="array" ref="T881">_xlfn.IFS(S881&gt;=10000,"High (&gt;10k)",S881&gt;=5000,"Medium (5k-10k)",S881&lt;5000,"Low (&lt;5k)")</f>
        <v>Medium (5k-10k)</v>
      </c>
      <c r="U881">
        <v>24608</v>
      </c>
      <c r="V881">
        <v>0</v>
      </c>
      <c r="W881" t="s">
        <v>43</v>
      </c>
      <c r="X881">
        <v>18</v>
      </c>
      <c r="Y881">
        <v>3</v>
      </c>
      <c r="Z881">
        <v>1</v>
      </c>
      <c r="AA881">
        <v>1</v>
      </c>
      <c r="AB881">
        <v>20</v>
      </c>
      <c r="AC881">
        <v>4</v>
      </c>
      <c r="AD881" t="s">
        <v>81</v>
      </c>
      <c r="AE881">
        <v>19</v>
      </c>
      <c r="AF881" t="str" cm="1">
        <f t="array" ref="AF881">_xlfn.IFS(AE881&gt;=10,"Veteran (10y+)",AE881&gt;=3,"Established (3-10y)",AE881&lt;3,"New Hire (&lt;3y)")</f>
        <v>Veteran (10y+)</v>
      </c>
      <c r="AG881">
        <v>9</v>
      </c>
      <c r="AH881">
        <v>1</v>
      </c>
      <c r="AI881">
        <v>9</v>
      </c>
    </row>
    <row r="882" spans="1:35">
      <c r="A882">
        <v>38</v>
      </c>
      <c r="B882" t="str">
        <f t="shared" si="13"/>
        <v>Middle Aged</v>
      </c>
      <c r="C882">
        <v>0</v>
      </c>
      <c r="D882" t="s">
        <v>36</v>
      </c>
      <c r="E882">
        <v>770</v>
      </c>
      <c r="F882" t="s">
        <v>37</v>
      </c>
      <c r="G882">
        <v>10</v>
      </c>
      <c r="H882" t="str" cm="1">
        <f t="array" ref="H882">_xlfn.IFS(G882&gt;15,"Long Commute",G882&gt;5,"Moderate",G882&lt;=5,"Near Office")</f>
        <v>Moderate</v>
      </c>
      <c r="I882" t="s">
        <v>83</v>
      </c>
      <c r="J882" t="s">
        <v>59</v>
      </c>
      <c r="K882">
        <v>3</v>
      </c>
      <c r="L882" t="s">
        <v>46</v>
      </c>
      <c r="M882">
        <v>73</v>
      </c>
      <c r="N882">
        <v>2</v>
      </c>
      <c r="O882">
        <v>3</v>
      </c>
      <c r="P882" t="s">
        <v>40</v>
      </c>
      <c r="Q882" t="s">
        <v>73</v>
      </c>
      <c r="R882" t="s">
        <v>52</v>
      </c>
      <c r="S882">
        <v>8740</v>
      </c>
      <c r="T882" t="str" cm="1">
        <f t="array" ref="T882">_xlfn.IFS(S882&gt;=10000,"High (&gt;10k)",S882&gt;=5000,"Medium (5k-10k)",S882&lt;5000,"Low (&lt;5k)")</f>
        <v>Medium (5k-10k)</v>
      </c>
      <c r="U882">
        <v>5569</v>
      </c>
      <c r="V882">
        <v>0</v>
      </c>
      <c r="W882" t="s">
        <v>35</v>
      </c>
      <c r="X882">
        <v>14</v>
      </c>
      <c r="Y882">
        <v>3</v>
      </c>
      <c r="Z882">
        <v>2</v>
      </c>
      <c r="AA882">
        <v>2</v>
      </c>
      <c r="AB882">
        <v>9</v>
      </c>
      <c r="AC882">
        <v>2</v>
      </c>
      <c r="AD882" t="s">
        <v>74</v>
      </c>
      <c r="AE882">
        <v>8</v>
      </c>
      <c r="AF882" t="str" cm="1">
        <f t="array" ref="AF882">_xlfn.IFS(AE882&gt;=10,"Veteran (10y+)",AE882&gt;=3,"Established (3-10y)",AE882&lt;3,"New Hire (&lt;3y)")</f>
        <v>Established (3-10y)</v>
      </c>
      <c r="AG882">
        <v>7</v>
      </c>
      <c r="AH882">
        <v>2</v>
      </c>
      <c r="AI882">
        <v>7</v>
      </c>
    </row>
    <row r="883" spans="1:35">
      <c r="A883">
        <v>38</v>
      </c>
      <c r="B883" t="str">
        <f t="shared" si="13"/>
        <v>Middle Aged</v>
      </c>
      <c r="C883">
        <v>0</v>
      </c>
      <c r="D883" t="s">
        <v>36</v>
      </c>
      <c r="E883">
        <v>130</v>
      </c>
      <c r="F883" t="s">
        <v>37</v>
      </c>
      <c r="G883">
        <v>2</v>
      </c>
      <c r="H883" t="str" cm="1">
        <f t="array" ref="H883">_xlfn.IFS(G883&gt;15,"Long Commute",G883&gt;5,"Moderate",G883&lt;=5,"Near Office")</f>
        <v>Near Office</v>
      </c>
      <c r="I883" t="s">
        <v>76</v>
      </c>
      <c r="J883" t="s">
        <v>59</v>
      </c>
      <c r="K883">
        <v>4</v>
      </c>
      <c r="L883" t="s">
        <v>46</v>
      </c>
      <c r="M883">
        <v>32</v>
      </c>
      <c r="N883">
        <v>3</v>
      </c>
      <c r="O883">
        <v>3</v>
      </c>
      <c r="P883" t="s">
        <v>40</v>
      </c>
      <c r="Q883" t="s">
        <v>75</v>
      </c>
      <c r="R883" t="s">
        <v>41</v>
      </c>
      <c r="S883">
        <v>7351</v>
      </c>
      <c r="T883" t="str" cm="1">
        <f t="array" ref="T883">_xlfn.IFS(S883&gt;=10000,"High (&gt;10k)",S883&gt;=5000,"Medium (5k-10k)",S883&lt;5000,"Low (&lt;5k)")</f>
        <v>Medium (5k-10k)</v>
      </c>
      <c r="U883">
        <v>20619</v>
      </c>
      <c r="V883">
        <v>7</v>
      </c>
      <c r="W883" t="s">
        <v>43</v>
      </c>
      <c r="X883">
        <v>16</v>
      </c>
      <c r="Y883">
        <v>3</v>
      </c>
      <c r="Z883">
        <v>3</v>
      </c>
      <c r="AA883">
        <v>0</v>
      </c>
      <c r="AB883">
        <v>10</v>
      </c>
      <c r="AC883">
        <v>2</v>
      </c>
      <c r="AD883" t="s">
        <v>74</v>
      </c>
      <c r="AE883">
        <v>1</v>
      </c>
      <c r="AF883" t="str" cm="1">
        <f t="array" ref="AF883">_xlfn.IFS(AE883&gt;=10,"Veteran (10y+)",AE883&gt;=3,"Established (3-10y)",AE883&lt;3,"New Hire (&lt;3y)")</f>
        <v>New Hire (&lt;3y)</v>
      </c>
      <c r="AG883">
        <v>0</v>
      </c>
      <c r="AH883">
        <v>0</v>
      </c>
      <c r="AI883">
        <v>0</v>
      </c>
    </row>
    <row r="884" spans="1:35">
      <c r="A884">
        <v>38</v>
      </c>
      <c r="B884" t="str">
        <f t="shared" si="13"/>
        <v>Middle Aged</v>
      </c>
      <c r="C884">
        <v>0</v>
      </c>
      <c r="D884" t="s">
        <v>36</v>
      </c>
      <c r="E884">
        <v>433</v>
      </c>
      <c r="F884" t="s">
        <v>61</v>
      </c>
      <c r="G884">
        <v>1</v>
      </c>
      <c r="H884" t="str" cm="1">
        <f t="array" ref="H884">_xlfn.IFS(G884&gt;15,"Long Commute",G884&gt;5,"Moderate",G884&lt;=5,"Near Office")</f>
        <v>Near Office</v>
      </c>
      <c r="I884" t="s">
        <v>72</v>
      </c>
      <c r="J884" t="s">
        <v>61</v>
      </c>
      <c r="K884">
        <v>3</v>
      </c>
      <c r="L884" t="s">
        <v>46</v>
      </c>
      <c r="M884">
        <v>37</v>
      </c>
      <c r="N884">
        <v>4</v>
      </c>
      <c r="O884">
        <v>1</v>
      </c>
      <c r="P884" t="s">
        <v>61</v>
      </c>
      <c r="Q884" t="s">
        <v>73</v>
      </c>
      <c r="R884" t="s">
        <v>48</v>
      </c>
      <c r="S884">
        <v>2844</v>
      </c>
      <c r="T884" t="str" cm="1">
        <f t="array" ref="T884">_xlfn.IFS(S884&gt;=10000,"High (&gt;10k)",S884&gt;=5000,"Medium (5k-10k)",S884&lt;5000,"Low (&lt;5k)")</f>
        <v>Low (&lt;5k)</v>
      </c>
      <c r="U884">
        <v>6004</v>
      </c>
      <c r="V884">
        <v>1</v>
      </c>
      <c r="W884" t="s">
        <v>43</v>
      </c>
      <c r="X884">
        <v>13</v>
      </c>
      <c r="Y884">
        <v>3</v>
      </c>
      <c r="Z884">
        <v>4</v>
      </c>
      <c r="AA884">
        <v>1</v>
      </c>
      <c r="AB884">
        <v>7</v>
      </c>
      <c r="AC884">
        <v>2</v>
      </c>
      <c r="AD884" t="s">
        <v>79</v>
      </c>
      <c r="AE884">
        <v>7</v>
      </c>
      <c r="AF884" t="str" cm="1">
        <f t="array" ref="AF884">_xlfn.IFS(AE884&gt;=10,"Veteran (10y+)",AE884&gt;=3,"Established (3-10y)",AE884&lt;3,"New Hire (&lt;3y)")</f>
        <v>Established (3-10y)</v>
      </c>
      <c r="AG884">
        <v>6</v>
      </c>
      <c r="AH884">
        <v>5</v>
      </c>
      <c r="AI884">
        <v>0</v>
      </c>
    </row>
    <row r="885" spans="1:35">
      <c r="A885">
        <v>38</v>
      </c>
      <c r="B885" t="str">
        <f t="shared" si="13"/>
        <v>Middle Aged</v>
      </c>
      <c r="C885">
        <v>0</v>
      </c>
      <c r="D885" t="s">
        <v>36</v>
      </c>
      <c r="E885">
        <v>1009</v>
      </c>
      <c r="F885" t="s">
        <v>37</v>
      </c>
      <c r="G885">
        <v>2</v>
      </c>
      <c r="H885" t="str" cm="1">
        <f t="array" ref="H885">_xlfn.IFS(G885&gt;15,"Long Commute",G885&gt;5,"Moderate",G885&lt;=5,"Near Office")</f>
        <v>Near Office</v>
      </c>
      <c r="I885" t="s">
        <v>76</v>
      </c>
      <c r="J885" t="s">
        <v>38</v>
      </c>
      <c r="K885">
        <v>2</v>
      </c>
      <c r="L885" t="s">
        <v>39</v>
      </c>
      <c r="M885">
        <v>31</v>
      </c>
      <c r="N885">
        <v>3</v>
      </c>
      <c r="O885">
        <v>2</v>
      </c>
      <c r="P885" t="s">
        <v>40</v>
      </c>
      <c r="Q885" t="s">
        <v>82</v>
      </c>
      <c r="R885" t="s">
        <v>52</v>
      </c>
      <c r="S885">
        <v>6893</v>
      </c>
      <c r="T885" t="str" cm="1">
        <f t="array" ref="T885">_xlfn.IFS(S885&gt;=10000,"High (&gt;10k)",S885&gt;=5000,"Medium (5k-10k)",S885&lt;5000,"Low (&lt;5k)")</f>
        <v>Medium (5k-10k)</v>
      </c>
      <c r="U885">
        <v>19461</v>
      </c>
      <c r="V885">
        <v>3</v>
      </c>
      <c r="W885" t="s">
        <v>43</v>
      </c>
      <c r="X885">
        <v>15</v>
      </c>
      <c r="Y885">
        <v>3</v>
      </c>
      <c r="Z885">
        <v>4</v>
      </c>
      <c r="AA885">
        <v>1</v>
      </c>
      <c r="AB885">
        <v>11</v>
      </c>
      <c r="AC885">
        <v>3</v>
      </c>
      <c r="AD885" t="s">
        <v>74</v>
      </c>
      <c r="AE885">
        <v>7</v>
      </c>
      <c r="AF885" t="str" cm="1">
        <f t="array" ref="AF885">_xlfn.IFS(AE885&gt;=10,"Veteran (10y+)",AE885&gt;=3,"Established (3-10y)",AE885&lt;3,"New Hire (&lt;3y)")</f>
        <v>Established (3-10y)</v>
      </c>
      <c r="AG885">
        <v>7</v>
      </c>
      <c r="AH885">
        <v>1</v>
      </c>
      <c r="AI885">
        <v>7</v>
      </c>
    </row>
    <row r="886" spans="1:35">
      <c r="A886">
        <v>38</v>
      </c>
      <c r="B886" t="str">
        <f t="shared" si="13"/>
        <v>Middle Aged</v>
      </c>
      <c r="C886">
        <v>0</v>
      </c>
      <c r="D886" t="s">
        <v>44</v>
      </c>
      <c r="E886">
        <v>693</v>
      </c>
      <c r="F886" t="s">
        <v>45</v>
      </c>
      <c r="G886">
        <v>7</v>
      </c>
      <c r="H886" t="str" cm="1">
        <f t="array" ref="H886">_xlfn.IFS(G886&gt;15,"Long Commute",G886&gt;5,"Moderate",G886&lt;=5,"Near Office")</f>
        <v>Moderate</v>
      </c>
      <c r="I886" t="s">
        <v>72</v>
      </c>
      <c r="J886" t="s">
        <v>38</v>
      </c>
      <c r="K886">
        <v>4</v>
      </c>
      <c r="L886" t="s">
        <v>46</v>
      </c>
      <c r="M886">
        <v>57</v>
      </c>
      <c r="N886">
        <v>4</v>
      </c>
      <c r="O886">
        <v>1</v>
      </c>
      <c r="P886" t="s">
        <v>47</v>
      </c>
      <c r="Q886" t="s">
        <v>73</v>
      </c>
      <c r="R886" t="s">
        <v>52</v>
      </c>
      <c r="S886">
        <v>2610</v>
      </c>
      <c r="T886" t="str" cm="1">
        <f t="array" ref="T886">_xlfn.IFS(S886&gt;=10000,"High (&gt;10k)",S886&gt;=5000,"Medium (5k-10k)",S886&lt;5000,"Low (&lt;5k)")</f>
        <v>Low (&lt;5k)</v>
      </c>
      <c r="U886">
        <v>15748</v>
      </c>
      <c r="V886">
        <v>1</v>
      </c>
      <c r="W886" t="s">
        <v>43</v>
      </c>
      <c r="X886">
        <v>11</v>
      </c>
      <c r="Y886">
        <v>3</v>
      </c>
      <c r="Z886">
        <v>4</v>
      </c>
      <c r="AA886">
        <v>3</v>
      </c>
      <c r="AB886">
        <v>4</v>
      </c>
      <c r="AC886">
        <v>2</v>
      </c>
      <c r="AD886" t="s">
        <v>74</v>
      </c>
      <c r="AE886">
        <v>4</v>
      </c>
      <c r="AF886" t="str" cm="1">
        <f t="array" ref="AF886">_xlfn.IFS(AE886&gt;=10,"Veteran (10y+)",AE886&gt;=3,"Established (3-10y)",AE886&lt;3,"New Hire (&lt;3y)")</f>
        <v>Established (3-10y)</v>
      </c>
      <c r="AG886">
        <v>2</v>
      </c>
      <c r="AH886">
        <v>0</v>
      </c>
      <c r="AI886">
        <v>3</v>
      </c>
    </row>
    <row r="887" spans="1:35">
      <c r="A887">
        <v>38</v>
      </c>
      <c r="B887" t="str">
        <f t="shared" si="13"/>
        <v>Middle Aged</v>
      </c>
      <c r="C887">
        <v>0</v>
      </c>
      <c r="D887" t="s">
        <v>44</v>
      </c>
      <c r="E887">
        <v>888</v>
      </c>
      <c r="F887" t="s">
        <v>61</v>
      </c>
      <c r="G887">
        <v>10</v>
      </c>
      <c r="H887" t="str" cm="1">
        <f t="array" ref="H887">_xlfn.IFS(G887&gt;15,"Long Commute",G887&gt;5,"Moderate",G887&lt;=5,"Near Office")</f>
        <v>Moderate</v>
      </c>
      <c r="I887" t="s">
        <v>83</v>
      </c>
      <c r="J887" t="s">
        <v>61</v>
      </c>
      <c r="K887">
        <v>3</v>
      </c>
      <c r="L887" t="s">
        <v>46</v>
      </c>
      <c r="M887">
        <v>71</v>
      </c>
      <c r="N887">
        <v>3</v>
      </c>
      <c r="O887">
        <v>2</v>
      </c>
      <c r="P887" t="s">
        <v>61</v>
      </c>
      <c r="Q887" t="s">
        <v>73</v>
      </c>
      <c r="R887" t="s">
        <v>48</v>
      </c>
      <c r="S887">
        <v>6077</v>
      </c>
      <c r="T887" t="str" cm="1">
        <f t="array" ref="T887">_xlfn.IFS(S887&gt;=10000,"High (&gt;10k)",S887&gt;=5000,"Medium (5k-10k)",S887&lt;5000,"Low (&lt;5k)")</f>
        <v>Medium (5k-10k)</v>
      </c>
      <c r="U887">
        <v>14814</v>
      </c>
      <c r="V887">
        <v>3</v>
      </c>
      <c r="W887" t="s">
        <v>43</v>
      </c>
      <c r="X887">
        <v>11</v>
      </c>
      <c r="Y887">
        <v>3</v>
      </c>
      <c r="Z887">
        <v>3</v>
      </c>
      <c r="AA887">
        <v>0</v>
      </c>
      <c r="AB887">
        <v>10</v>
      </c>
      <c r="AC887">
        <v>2</v>
      </c>
      <c r="AD887" t="s">
        <v>74</v>
      </c>
      <c r="AE887">
        <v>6</v>
      </c>
      <c r="AF887" t="str" cm="1">
        <f t="array" ref="AF887">_xlfn.IFS(AE887&gt;=10,"Veteran (10y+)",AE887&gt;=3,"Established (3-10y)",AE887&lt;3,"New Hire (&lt;3y)")</f>
        <v>Established (3-10y)</v>
      </c>
      <c r="AG887">
        <v>3</v>
      </c>
      <c r="AH887">
        <v>1</v>
      </c>
      <c r="AI887">
        <v>2</v>
      </c>
    </row>
    <row r="888" spans="1:35">
      <c r="A888">
        <v>38</v>
      </c>
      <c r="B888" t="str">
        <f t="shared" si="13"/>
        <v>Middle Aged</v>
      </c>
      <c r="C888">
        <v>1</v>
      </c>
      <c r="D888" t="s">
        <v>36</v>
      </c>
      <c r="E888">
        <v>903</v>
      </c>
      <c r="F888" t="s">
        <v>45</v>
      </c>
      <c r="G888">
        <v>2</v>
      </c>
      <c r="H888" t="str" cm="1">
        <f t="array" ref="H888">_xlfn.IFS(G888&gt;15,"Long Commute",G888&gt;5,"Moderate",G888&lt;=5,"Near Office")</f>
        <v>Near Office</v>
      </c>
      <c r="I888" t="s">
        <v>72</v>
      </c>
      <c r="J888" t="s">
        <v>51</v>
      </c>
      <c r="K888">
        <v>3</v>
      </c>
      <c r="L888" t="s">
        <v>46</v>
      </c>
      <c r="M888">
        <v>81</v>
      </c>
      <c r="N888">
        <v>3</v>
      </c>
      <c r="O888">
        <v>2</v>
      </c>
      <c r="P888" t="s">
        <v>53</v>
      </c>
      <c r="Q888" t="s">
        <v>75</v>
      </c>
      <c r="R888" t="s">
        <v>48</v>
      </c>
      <c r="S888">
        <v>4855</v>
      </c>
      <c r="T888" t="str" cm="1">
        <f t="array" ref="T888">_xlfn.IFS(S888&gt;=10000,"High (&gt;10k)",S888&gt;=5000,"Medium (5k-10k)",S888&lt;5000,"Low (&lt;5k)")</f>
        <v>Low (&lt;5k)</v>
      </c>
      <c r="U888">
        <v>7653</v>
      </c>
      <c r="V888">
        <v>4</v>
      </c>
      <c r="W888" t="s">
        <v>43</v>
      </c>
      <c r="X888">
        <v>11</v>
      </c>
      <c r="Y888">
        <v>3</v>
      </c>
      <c r="Z888">
        <v>1</v>
      </c>
      <c r="AA888">
        <v>2</v>
      </c>
      <c r="AB888">
        <v>7</v>
      </c>
      <c r="AC888">
        <v>2</v>
      </c>
      <c r="AD888" t="s">
        <v>74</v>
      </c>
      <c r="AE888">
        <v>5</v>
      </c>
      <c r="AF888" t="str" cm="1">
        <f t="array" ref="AF888">_xlfn.IFS(AE888&gt;=10,"Veteran (10y+)",AE888&gt;=3,"Established (3-10y)",AE888&lt;3,"New Hire (&lt;3y)")</f>
        <v>Established (3-10y)</v>
      </c>
      <c r="AG888">
        <v>2</v>
      </c>
      <c r="AH888">
        <v>1</v>
      </c>
      <c r="AI888">
        <v>4</v>
      </c>
    </row>
    <row r="889" spans="1:35">
      <c r="A889">
        <v>38</v>
      </c>
      <c r="B889" t="str">
        <f t="shared" si="13"/>
        <v>Middle Aged</v>
      </c>
      <c r="C889">
        <v>0</v>
      </c>
      <c r="D889" t="s">
        <v>36</v>
      </c>
      <c r="E889">
        <v>1245</v>
      </c>
      <c r="F889" t="s">
        <v>37</v>
      </c>
      <c r="G889">
        <v>14</v>
      </c>
      <c r="H889" t="str" cm="1">
        <f t="array" ref="H889">_xlfn.IFS(G889&gt;15,"Long Commute",G889&gt;5,"Moderate",G889&lt;=5,"Near Office")</f>
        <v>Moderate</v>
      </c>
      <c r="I889" t="s">
        <v>72</v>
      </c>
      <c r="J889" t="s">
        <v>38</v>
      </c>
      <c r="K889">
        <v>3</v>
      </c>
      <c r="L889" t="s">
        <v>46</v>
      </c>
      <c r="M889">
        <v>80</v>
      </c>
      <c r="N889">
        <v>3</v>
      </c>
      <c r="O889">
        <v>2</v>
      </c>
      <c r="P889" t="s">
        <v>40</v>
      </c>
      <c r="Q889" t="s">
        <v>75</v>
      </c>
      <c r="R889" t="s">
        <v>48</v>
      </c>
      <c r="S889">
        <v>9924</v>
      </c>
      <c r="T889" t="str" cm="1">
        <f t="array" ref="T889">_xlfn.IFS(S889&gt;=10000,"High (&gt;10k)",S889&gt;=5000,"Medium (5k-10k)",S889&lt;5000,"Low (&lt;5k)")</f>
        <v>Medium (5k-10k)</v>
      </c>
      <c r="U889">
        <v>12355</v>
      </c>
      <c r="V889">
        <v>0</v>
      </c>
      <c r="W889" t="s">
        <v>43</v>
      </c>
      <c r="X889">
        <v>11</v>
      </c>
      <c r="Y889">
        <v>3</v>
      </c>
      <c r="Z889">
        <v>4</v>
      </c>
      <c r="AA889">
        <v>1</v>
      </c>
      <c r="AB889">
        <v>10</v>
      </c>
      <c r="AC889">
        <v>3</v>
      </c>
      <c r="AD889" t="s">
        <v>74</v>
      </c>
      <c r="AE889">
        <v>9</v>
      </c>
      <c r="AF889" t="str" cm="1">
        <f t="array" ref="AF889">_xlfn.IFS(AE889&gt;=10,"Veteran (10y+)",AE889&gt;=3,"Established (3-10y)",AE889&lt;3,"New Hire (&lt;3y)")</f>
        <v>Established (3-10y)</v>
      </c>
      <c r="AG889">
        <v>8</v>
      </c>
      <c r="AH889">
        <v>7</v>
      </c>
      <c r="AI889">
        <v>7</v>
      </c>
    </row>
    <row r="890" spans="1:35">
      <c r="A890">
        <v>38</v>
      </c>
      <c r="B890" t="str">
        <f t="shared" si="13"/>
        <v>Middle Aged</v>
      </c>
      <c r="C890">
        <v>0</v>
      </c>
      <c r="D890" t="s">
        <v>36</v>
      </c>
      <c r="E890">
        <v>437</v>
      </c>
      <c r="F890" t="s">
        <v>37</v>
      </c>
      <c r="G890">
        <v>16</v>
      </c>
      <c r="H890" t="str" cm="1">
        <f t="array" ref="H890">_xlfn.IFS(G890&gt;15,"Long Commute",G890&gt;5,"Moderate",G890&lt;=5,"Near Office")</f>
        <v>Long Commute</v>
      </c>
      <c r="I890" t="s">
        <v>72</v>
      </c>
      <c r="J890" t="s">
        <v>38</v>
      </c>
      <c r="K890">
        <v>2</v>
      </c>
      <c r="L890" t="s">
        <v>39</v>
      </c>
      <c r="M890">
        <v>90</v>
      </c>
      <c r="N890">
        <v>3</v>
      </c>
      <c r="O890">
        <v>2</v>
      </c>
      <c r="P890" t="s">
        <v>40</v>
      </c>
      <c r="Q890" t="s">
        <v>75</v>
      </c>
      <c r="R890" t="s">
        <v>41</v>
      </c>
      <c r="S890">
        <v>4198</v>
      </c>
      <c r="T890" t="str" cm="1">
        <f t="array" ref="T890">_xlfn.IFS(S890&gt;=10000,"High (&gt;10k)",S890&gt;=5000,"Medium (5k-10k)",S890&lt;5000,"Low (&lt;5k)")</f>
        <v>Low (&lt;5k)</v>
      </c>
      <c r="U890">
        <v>16379</v>
      </c>
      <c r="V890">
        <v>2</v>
      </c>
      <c r="W890" t="s">
        <v>43</v>
      </c>
      <c r="X890">
        <v>12</v>
      </c>
      <c r="Y890">
        <v>3</v>
      </c>
      <c r="Z890">
        <v>2</v>
      </c>
      <c r="AA890">
        <v>0</v>
      </c>
      <c r="AB890">
        <v>8</v>
      </c>
      <c r="AC890">
        <v>5</v>
      </c>
      <c r="AD890" t="s">
        <v>79</v>
      </c>
      <c r="AE890">
        <v>3</v>
      </c>
      <c r="AF890" t="str" cm="1">
        <f t="array" ref="AF890">_xlfn.IFS(AE890&gt;=10,"Veteran (10y+)",AE890&gt;=3,"Established (3-10y)",AE890&lt;3,"New Hire (&lt;3y)")</f>
        <v>Established (3-10y)</v>
      </c>
      <c r="AG890">
        <v>2</v>
      </c>
      <c r="AH890">
        <v>1</v>
      </c>
      <c r="AI890">
        <v>2</v>
      </c>
    </row>
    <row r="891" spans="1:35">
      <c r="A891">
        <v>38</v>
      </c>
      <c r="B891" t="str">
        <f t="shared" si="13"/>
        <v>Middle Aged</v>
      </c>
      <c r="C891">
        <v>0</v>
      </c>
      <c r="D891" t="s">
        <v>36</v>
      </c>
      <c r="E891">
        <v>397</v>
      </c>
      <c r="F891" t="s">
        <v>45</v>
      </c>
      <c r="G891">
        <v>2</v>
      </c>
      <c r="H891" t="str" cm="1">
        <f t="array" ref="H891">_xlfn.IFS(G891&gt;15,"Long Commute",G891&gt;5,"Moderate",G891&lt;=5,"Near Office")</f>
        <v>Near Office</v>
      </c>
      <c r="I891" t="s">
        <v>76</v>
      </c>
      <c r="J891" t="s">
        <v>51</v>
      </c>
      <c r="K891">
        <v>4</v>
      </c>
      <c r="L891" t="s">
        <v>39</v>
      </c>
      <c r="M891">
        <v>54</v>
      </c>
      <c r="N891">
        <v>2</v>
      </c>
      <c r="O891">
        <v>3</v>
      </c>
      <c r="P891" t="s">
        <v>53</v>
      </c>
      <c r="Q891" t="s">
        <v>73</v>
      </c>
      <c r="R891" t="s">
        <v>48</v>
      </c>
      <c r="S891">
        <v>7756</v>
      </c>
      <c r="T891" t="str" cm="1">
        <f t="array" ref="T891">_xlfn.IFS(S891&gt;=10000,"High (&gt;10k)",S891&gt;=5000,"Medium (5k-10k)",S891&lt;5000,"Low (&lt;5k)")</f>
        <v>Medium (5k-10k)</v>
      </c>
      <c r="U891">
        <v>14199</v>
      </c>
      <c r="V891">
        <v>3</v>
      </c>
      <c r="W891" t="s">
        <v>35</v>
      </c>
      <c r="X891">
        <v>19</v>
      </c>
      <c r="Y891">
        <v>3</v>
      </c>
      <c r="Z891">
        <v>4</v>
      </c>
      <c r="AA891">
        <v>1</v>
      </c>
      <c r="AB891">
        <v>10</v>
      </c>
      <c r="AC891">
        <v>6</v>
      </c>
      <c r="AD891" t="s">
        <v>79</v>
      </c>
      <c r="AE891">
        <v>5</v>
      </c>
      <c r="AF891" t="str" cm="1">
        <f t="array" ref="AF891">_xlfn.IFS(AE891&gt;=10,"Veteran (10y+)",AE891&gt;=3,"Established (3-10y)",AE891&lt;3,"New Hire (&lt;3y)")</f>
        <v>Established (3-10y)</v>
      </c>
      <c r="AG891">
        <v>4</v>
      </c>
      <c r="AH891">
        <v>0</v>
      </c>
      <c r="AI891">
        <v>2</v>
      </c>
    </row>
    <row r="892" spans="1:35">
      <c r="A892">
        <v>38</v>
      </c>
      <c r="B892" t="str">
        <f t="shared" si="13"/>
        <v>Middle Aged</v>
      </c>
      <c r="C892">
        <v>0</v>
      </c>
      <c r="D892" t="s">
        <v>44</v>
      </c>
      <c r="E892">
        <v>1189</v>
      </c>
      <c r="F892" t="s">
        <v>45</v>
      </c>
      <c r="G892">
        <v>1</v>
      </c>
      <c r="H892" t="str" cm="1">
        <f t="array" ref="H892">_xlfn.IFS(G892&gt;15,"Long Commute",G892&gt;5,"Moderate",G892&lt;=5,"Near Office")</f>
        <v>Near Office</v>
      </c>
      <c r="I892" t="s">
        <v>72</v>
      </c>
      <c r="J892" t="s">
        <v>38</v>
      </c>
      <c r="K892">
        <v>4</v>
      </c>
      <c r="L892" t="s">
        <v>46</v>
      </c>
      <c r="M892">
        <v>90</v>
      </c>
      <c r="N892">
        <v>3</v>
      </c>
      <c r="O892">
        <v>2</v>
      </c>
      <c r="P892" t="s">
        <v>47</v>
      </c>
      <c r="Q892" t="s">
        <v>77</v>
      </c>
      <c r="R892" t="s">
        <v>48</v>
      </c>
      <c r="S892">
        <v>4735</v>
      </c>
      <c r="T892" t="str" cm="1">
        <f t="array" ref="T892">_xlfn.IFS(S892&gt;=10000,"High (&gt;10k)",S892&gt;=5000,"Medium (5k-10k)",S892&lt;5000,"Low (&lt;5k)")</f>
        <v>Low (&lt;5k)</v>
      </c>
      <c r="U892">
        <v>9867</v>
      </c>
      <c r="V892">
        <v>7</v>
      </c>
      <c r="W892" t="s">
        <v>43</v>
      </c>
      <c r="X892">
        <v>15</v>
      </c>
      <c r="Y892">
        <v>3</v>
      </c>
      <c r="Z892">
        <v>4</v>
      </c>
      <c r="AA892">
        <v>2</v>
      </c>
      <c r="AB892">
        <v>19</v>
      </c>
      <c r="AC892">
        <v>4</v>
      </c>
      <c r="AD892" t="s">
        <v>79</v>
      </c>
      <c r="AE892">
        <v>13</v>
      </c>
      <c r="AF892" t="str" cm="1">
        <f t="array" ref="AF892">_xlfn.IFS(AE892&gt;=10,"Veteran (10y+)",AE892&gt;=3,"Established (3-10y)",AE892&lt;3,"New Hire (&lt;3y)")</f>
        <v>Veteran (10y+)</v>
      </c>
      <c r="AG892">
        <v>11</v>
      </c>
      <c r="AH892">
        <v>2</v>
      </c>
      <c r="AI892">
        <v>9</v>
      </c>
    </row>
    <row r="893" spans="1:35">
      <c r="A893">
        <v>38</v>
      </c>
      <c r="B893" t="str">
        <f t="shared" si="13"/>
        <v>Middle Aged</v>
      </c>
      <c r="C893">
        <v>0</v>
      </c>
      <c r="D893" t="s">
        <v>44</v>
      </c>
      <c r="E893">
        <v>148</v>
      </c>
      <c r="F893" t="s">
        <v>45</v>
      </c>
      <c r="G893">
        <v>2</v>
      </c>
      <c r="H893" t="str" cm="1">
        <f t="array" ref="H893">_xlfn.IFS(G893&gt;15,"Long Commute",G893&gt;5,"Moderate",G893&lt;=5,"Near Office")</f>
        <v>Near Office</v>
      </c>
      <c r="I893" t="s">
        <v>72</v>
      </c>
      <c r="J893" t="s">
        <v>51</v>
      </c>
      <c r="K893">
        <v>4</v>
      </c>
      <c r="L893" t="s">
        <v>39</v>
      </c>
      <c r="M893">
        <v>42</v>
      </c>
      <c r="N893">
        <v>2</v>
      </c>
      <c r="O893">
        <v>1</v>
      </c>
      <c r="P893" t="s">
        <v>50</v>
      </c>
      <c r="Q893" t="s">
        <v>75</v>
      </c>
      <c r="R893" t="s">
        <v>41</v>
      </c>
      <c r="S893">
        <v>2440</v>
      </c>
      <c r="T893" t="str" cm="1">
        <f t="array" ref="T893">_xlfn.IFS(S893&gt;=10000,"High (&gt;10k)",S893&gt;=5000,"Medium (5k-10k)",S893&lt;5000,"Low (&lt;5k)")</f>
        <v>Low (&lt;5k)</v>
      </c>
      <c r="U893">
        <v>23826</v>
      </c>
      <c r="V893">
        <v>1</v>
      </c>
      <c r="W893" t="s">
        <v>43</v>
      </c>
      <c r="X893">
        <v>22</v>
      </c>
      <c r="Y893">
        <v>4</v>
      </c>
      <c r="Z893">
        <v>2</v>
      </c>
      <c r="AA893">
        <v>0</v>
      </c>
      <c r="AB893">
        <v>4</v>
      </c>
      <c r="AC893">
        <v>3</v>
      </c>
      <c r="AD893" t="s">
        <v>74</v>
      </c>
      <c r="AE893">
        <v>4</v>
      </c>
      <c r="AF893" t="str" cm="1">
        <f t="array" ref="AF893">_xlfn.IFS(AE893&gt;=10,"Veteran (10y+)",AE893&gt;=3,"Established (3-10y)",AE893&lt;3,"New Hire (&lt;3y)")</f>
        <v>Established (3-10y)</v>
      </c>
      <c r="AG893">
        <v>3</v>
      </c>
      <c r="AH893">
        <v>3</v>
      </c>
      <c r="AI893">
        <v>3</v>
      </c>
    </row>
    <row r="894" spans="1:35">
      <c r="A894">
        <v>38</v>
      </c>
      <c r="B894" t="str">
        <f t="shared" si="13"/>
        <v>Middle Aged</v>
      </c>
      <c r="C894">
        <v>0</v>
      </c>
      <c r="D894" t="s">
        <v>36</v>
      </c>
      <c r="E894">
        <v>1495</v>
      </c>
      <c r="F894" t="s">
        <v>45</v>
      </c>
      <c r="G894">
        <v>4</v>
      </c>
      <c r="H894" t="str" cm="1">
        <f t="array" ref="H894">_xlfn.IFS(G894&gt;15,"Long Commute",G894&gt;5,"Moderate",G894&lt;=5,"Near Office")</f>
        <v>Near Office</v>
      </c>
      <c r="I894" t="s">
        <v>76</v>
      </c>
      <c r="J894" t="s">
        <v>51</v>
      </c>
      <c r="K894">
        <v>4</v>
      </c>
      <c r="L894" t="s">
        <v>39</v>
      </c>
      <c r="M894">
        <v>87</v>
      </c>
      <c r="N894">
        <v>3</v>
      </c>
      <c r="O894">
        <v>1</v>
      </c>
      <c r="P894" t="s">
        <v>50</v>
      </c>
      <c r="Q894" t="s">
        <v>73</v>
      </c>
      <c r="R894" t="s">
        <v>48</v>
      </c>
      <c r="S894">
        <v>3306</v>
      </c>
      <c r="T894" t="str" cm="1">
        <f t="array" ref="T894">_xlfn.IFS(S894&gt;=10000,"High (&gt;10k)",S894&gt;=5000,"Medium (5k-10k)",S894&lt;5000,"Low (&lt;5k)")</f>
        <v>Low (&lt;5k)</v>
      </c>
      <c r="U894">
        <v>26176</v>
      </c>
      <c r="V894">
        <v>7</v>
      </c>
      <c r="W894" t="s">
        <v>43</v>
      </c>
      <c r="X894">
        <v>19</v>
      </c>
      <c r="Y894">
        <v>3</v>
      </c>
      <c r="Z894">
        <v>4</v>
      </c>
      <c r="AA894">
        <v>1</v>
      </c>
      <c r="AB894">
        <v>7</v>
      </c>
      <c r="AC894">
        <v>5</v>
      </c>
      <c r="AD894" t="s">
        <v>81</v>
      </c>
      <c r="AE894">
        <v>0</v>
      </c>
      <c r="AF894" t="str" cm="1">
        <f t="array" ref="AF894">_xlfn.IFS(AE894&gt;=10,"Veteran (10y+)",AE894&gt;=3,"Established (3-10y)",AE894&lt;3,"New Hire (&lt;3y)")</f>
        <v>New Hire (&lt;3y)</v>
      </c>
      <c r="AG894">
        <v>0</v>
      </c>
      <c r="AH894">
        <v>0</v>
      </c>
      <c r="AI894">
        <v>0</v>
      </c>
    </row>
    <row r="895" spans="1:35">
      <c r="A895">
        <v>38</v>
      </c>
      <c r="B895" t="str">
        <f t="shared" si="13"/>
        <v>Middle Aged</v>
      </c>
      <c r="C895">
        <v>0</v>
      </c>
      <c r="D895" t="s">
        <v>44</v>
      </c>
      <c r="E895">
        <v>594</v>
      </c>
      <c r="F895" t="s">
        <v>45</v>
      </c>
      <c r="G895">
        <v>2</v>
      </c>
      <c r="H895" t="str" cm="1">
        <f t="array" ref="H895">_xlfn.IFS(G895&gt;15,"Long Commute",G895&gt;5,"Moderate",G895&lt;=5,"Near Office")</f>
        <v>Near Office</v>
      </c>
      <c r="I895" t="s">
        <v>76</v>
      </c>
      <c r="J895" t="s">
        <v>51</v>
      </c>
      <c r="K895">
        <v>3</v>
      </c>
      <c r="L895" t="s">
        <v>39</v>
      </c>
      <c r="M895">
        <v>75</v>
      </c>
      <c r="N895">
        <v>2</v>
      </c>
      <c r="O895">
        <v>1</v>
      </c>
      <c r="P895" t="s">
        <v>50</v>
      </c>
      <c r="Q895" t="s">
        <v>75</v>
      </c>
      <c r="R895" t="s">
        <v>48</v>
      </c>
      <c r="S895">
        <v>2468</v>
      </c>
      <c r="T895" t="str" cm="1">
        <f t="array" ref="T895">_xlfn.IFS(S895&gt;=10000,"High (&gt;10k)",S895&gt;=5000,"Medium (5k-10k)",S895&lt;5000,"Low (&lt;5k)")</f>
        <v>Low (&lt;5k)</v>
      </c>
      <c r="U895">
        <v>15963</v>
      </c>
      <c r="V895">
        <v>4</v>
      </c>
      <c r="W895" t="s">
        <v>43</v>
      </c>
      <c r="X895">
        <v>14</v>
      </c>
      <c r="Y895">
        <v>3</v>
      </c>
      <c r="Z895">
        <v>2</v>
      </c>
      <c r="AA895">
        <v>1</v>
      </c>
      <c r="AB895">
        <v>9</v>
      </c>
      <c r="AC895">
        <v>4</v>
      </c>
      <c r="AD895" t="s">
        <v>81</v>
      </c>
      <c r="AE895">
        <v>6</v>
      </c>
      <c r="AF895" t="str" cm="1">
        <f t="array" ref="AF895">_xlfn.IFS(AE895&gt;=10,"Veteran (10y+)",AE895&gt;=3,"Established (3-10y)",AE895&lt;3,"New Hire (&lt;3y)")</f>
        <v>Established (3-10y)</v>
      </c>
      <c r="AG895">
        <v>1</v>
      </c>
      <c r="AH895">
        <v>0</v>
      </c>
      <c r="AI895">
        <v>5</v>
      </c>
    </row>
    <row r="896" spans="1:35">
      <c r="A896">
        <v>38</v>
      </c>
      <c r="B896" t="str">
        <f t="shared" si="13"/>
        <v>Middle Aged</v>
      </c>
      <c r="C896">
        <v>0</v>
      </c>
      <c r="D896" t="s">
        <v>36</v>
      </c>
      <c r="E896">
        <v>833</v>
      </c>
      <c r="F896" t="s">
        <v>45</v>
      </c>
      <c r="G896">
        <v>18</v>
      </c>
      <c r="H896" t="str" cm="1">
        <f t="array" ref="H896">_xlfn.IFS(G896&gt;15,"Long Commute",G896&gt;5,"Moderate",G896&lt;=5,"Near Office")</f>
        <v>Long Commute</v>
      </c>
      <c r="I896" t="s">
        <v>72</v>
      </c>
      <c r="J896" t="s">
        <v>51</v>
      </c>
      <c r="K896">
        <v>2</v>
      </c>
      <c r="L896" t="s">
        <v>46</v>
      </c>
      <c r="M896">
        <v>60</v>
      </c>
      <c r="N896">
        <v>1</v>
      </c>
      <c r="O896">
        <v>2</v>
      </c>
      <c r="P896" t="s">
        <v>54</v>
      </c>
      <c r="Q896" t="s">
        <v>77</v>
      </c>
      <c r="R896" t="s">
        <v>48</v>
      </c>
      <c r="S896">
        <v>5811</v>
      </c>
      <c r="T896" t="str" cm="1">
        <f t="array" ref="T896">_xlfn.IFS(S896&gt;=10000,"High (&gt;10k)",S896&gt;=5000,"Medium (5k-10k)",S896&lt;5000,"Low (&lt;5k)")</f>
        <v>Medium (5k-10k)</v>
      </c>
      <c r="U896">
        <v>24539</v>
      </c>
      <c r="V896">
        <v>3</v>
      </c>
      <c r="W896" t="s">
        <v>35</v>
      </c>
      <c r="X896">
        <v>16</v>
      </c>
      <c r="Y896">
        <v>3</v>
      </c>
      <c r="Z896">
        <v>3</v>
      </c>
      <c r="AA896">
        <v>1</v>
      </c>
      <c r="AB896">
        <v>15</v>
      </c>
      <c r="AC896">
        <v>2</v>
      </c>
      <c r="AD896" t="s">
        <v>74</v>
      </c>
      <c r="AE896">
        <v>1</v>
      </c>
      <c r="AF896" t="str" cm="1">
        <f t="array" ref="AF896">_xlfn.IFS(AE896&gt;=10,"Veteran (10y+)",AE896&gt;=3,"Established (3-10y)",AE896&lt;3,"New Hire (&lt;3y)")</f>
        <v>New Hire (&lt;3y)</v>
      </c>
      <c r="AG896">
        <v>0</v>
      </c>
      <c r="AH896">
        <v>1</v>
      </c>
      <c r="AI896">
        <v>0</v>
      </c>
    </row>
    <row r="897" spans="1:35">
      <c r="A897">
        <v>38</v>
      </c>
      <c r="B897" t="str">
        <f t="shared" si="13"/>
        <v>Middle Aged</v>
      </c>
      <c r="C897">
        <v>0</v>
      </c>
      <c r="D897" t="s">
        <v>36</v>
      </c>
      <c r="E897">
        <v>1153</v>
      </c>
      <c r="F897" t="s">
        <v>45</v>
      </c>
      <c r="G897">
        <v>6</v>
      </c>
      <c r="H897" t="str" cm="1">
        <f t="array" ref="H897">_xlfn.IFS(G897&gt;15,"Long Commute",G897&gt;5,"Moderate",G897&lt;=5,"Near Office")</f>
        <v>Moderate</v>
      </c>
      <c r="I897" t="s">
        <v>76</v>
      </c>
      <c r="J897" t="s">
        <v>49</v>
      </c>
      <c r="K897">
        <v>4</v>
      </c>
      <c r="L897" t="s">
        <v>39</v>
      </c>
      <c r="M897">
        <v>40</v>
      </c>
      <c r="N897">
        <v>2</v>
      </c>
      <c r="O897">
        <v>1</v>
      </c>
      <c r="P897" t="s">
        <v>50</v>
      </c>
      <c r="Q897" t="s">
        <v>73</v>
      </c>
      <c r="R897" t="s">
        <v>48</v>
      </c>
      <c r="S897">
        <v>3702</v>
      </c>
      <c r="T897" t="str" cm="1">
        <f t="array" ref="T897">_xlfn.IFS(S897&gt;=10000,"High (&gt;10k)",S897&gt;=5000,"Medium (5k-10k)",S897&lt;5000,"Low (&lt;5k)")</f>
        <v>Low (&lt;5k)</v>
      </c>
      <c r="U897">
        <v>16376</v>
      </c>
      <c r="V897">
        <v>1</v>
      </c>
      <c r="W897" t="s">
        <v>43</v>
      </c>
      <c r="X897">
        <v>11</v>
      </c>
      <c r="Y897">
        <v>3</v>
      </c>
      <c r="Z897">
        <v>2</v>
      </c>
      <c r="AA897">
        <v>1</v>
      </c>
      <c r="AB897">
        <v>5</v>
      </c>
      <c r="AC897">
        <v>3</v>
      </c>
      <c r="AD897" t="s">
        <v>74</v>
      </c>
      <c r="AE897">
        <v>5</v>
      </c>
      <c r="AF897" t="str" cm="1">
        <f t="array" ref="AF897">_xlfn.IFS(AE897&gt;=10,"Veteran (10y+)",AE897&gt;=3,"Established (3-10y)",AE897&lt;3,"New Hire (&lt;3y)")</f>
        <v>Established (3-10y)</v>
      </c>
      <c r="AG897">
        <v>4</v>
      </c>
      <c r="AH897">
        <v>0</v>
      </c>
      <c r="AI897">
        <v>4</v>
      </c>
    </row>
    <row r="898" spans="1:35">
      <c r="A898">
        <v>38</v>
      </c>
      <c r="B898" t="str">
        <f t="shared" si="13"/>
        <v>Middle Aged</v>
      </c>
      <c r="C898">
        <v>0</v>
      </c>
      <c r="D898" t="s">
        <v>55</v>
      </c>
      <c r="E898">
        <v>1336</v>
      </c>
      <c r="F898" t="s">
        <v>61</v>
      </c>
      <c r="G898">
        <v>2</v>
      </c>
      <c r="H898" t="str" cm="1">
        <f t="array" ref="H898">_xlfn.IFS(G898&gt;15,"Long Commute",G898&gt;5,"Moderate",G898&lt;=5,"Near Office")</f>
        <v>Near Office</v>
      </c>
      <c r="I898" t="s">
        <v>72</v>
      </c>
      <c r="J898" t="s">
        <v>61</v>
      </c>
      <c r="K898">
        <v>1</v>
      </c>
      <c r="L898" t="s">
        <v>46</v>
      </c>
      <c r="M898">
        <v>100</v>
      </c>
      <c r="N898">
        <v>3</v>
      </c>
      <c r="O898">
        <v>1</v>
      </c>
      <c r="P898" t="s">
        <v>61</v>
      </c>
      <c r="Q898" t="s">
        <v>75</v>
      </c>
      <c r="R898" t="s">
        <v>52</v>
      </c>
      <c r="S898">
        <v>2592</v>
      </c>
      <c r="T898" t="str" cm="1">
        <f t="array" ref="T898">_xlfn.IFS(S898&gt;=10000,"High (&gt;10k)",S898&gt;=5000,"Medium (5k-10k)",S898&lt;5000,"Low (&lt;5k)")</f>
        <v>Low (&lt;5k)</v>
      </c>
      <c r="U898">
        <v>7129</v>
      </c>
      <c r="V898">
        <v>5</v>
      </c>
      <c r="W898" t="s">
        <v>43</v>
      </c>
      <c r="X898">
        <v>13</v>
      </c>
      <c r="Y898">
        <v>3</v>
      </c>
      <c r="Z898">
        <v>4</v>
      </c>
      <c r="AA898">
        <v>3</v>
      </c>
      <c r="AB898">
        <v>13</v>
      </c>
      <c r="AC898">
        <v>3</v>
      </c>
      <c r="AD898" t="s">
        <v>74</v>
      </c>
      <c r="AE898">
        <v>11</v>
      </c>
      <c r="AF898" t="str" cm="1">
        <f t="array" ref="AF898">_xlfn.IFS(AE898&gt;=10,"Veteran (10y+)",AE898&gt;=3,"Established (3-10y)",AE898&lt;3,"New Hire (&lt;3y)")</f>
        <v>Veteran (10y+)</v>
      </c>
      <c r="AG898">
        <v>10</v>
      </c>
      <c r="AH898">
        <v>3</v>
      </c>
      <c r="AI898">
        <v>8</v>
      </c>
    </row>
    <row r="899" spans="1:35">
      <c r="A899">
        <v>38</v>
      </c>
      <c r="B899" t="str">
        <f t="shared" ref="B899:B962" si="14">IF(A899&gt;=46,"Senior",IF(A899&gt;=30,"Middle Aged","Young Adults"))</f>
        <v>Middle Aged</v>
      </c>
      <c r="C899">
        <v>0</v>
      </c>
      <c r="D899" t="s">
        <v>36</v>
      </c>
      <c r="E899">
        <v>723</v>
      </c>
      <c r="F899" t="s">
        <v>37</v>
      </c>
      <c r="G899">
        <v>2</v>
      </c>
      <c r="H899" t="str" cm="1">
        <f t="array" ref="H899">_xlfn.IFS(G899&gt;15,"Long Commute",G899&gt;5,"Moderate",G899&lt;=5,"Near Office")</f>
        <v>Near Office</v>
      </c>
      <c r="I899" t="s">
        <v>83</v>
      </c>
      <c r="J899" t="s">
        <v>59</v>
      </c>
      <c r="K899">
        <v>2</v>
      </c>
      <c r="L899" t="s">
        <v>39</v>
      </c>
      <c r="M899">
        <v>77</v>
      </c>
      <c r="N899">
        <v>1</v>
      </c>
      <c r="O899">
        <v>2</v>
      </c>
      <c r="P899" t="s">
        <v>57</v>
      </c>
      <c r="Q899" t="s">
        <v>77</v>
      </c>
      <c r="R899" t="s">
        <v>48</v>
      </c>
      <c r="S899">
        <v>5405</v>
      </c>
      <c r="T899" t="str" cm="1">
        <f t="array" ref="T899">_xlfn.IFS(S899&gt;=10000,"High (&gt;10k)",S899&gt;=5000,"Medium (5k-10k)",S899&lt;5000,"Low (&lt;5k)")</f>
        <v>Medium (5k-10k)</v>
      </c>
      <c r="U899">
        <v>4244</v>
      </c>
      <c r="V899">
        <v>2</v>
      </c>
      <c r="W899" t="s">
        <v>35</v>
      </c>
      <c r="X899">
        <v>20</v>
      </c>
      <c r="Y899">
        <v>4</v>
      </c>
      <c r="Z899">
        <v>1</v>
      </c>
      <c r="AA899">
        <v>2</v>
      </c>
      <c r="AB899">
        <v>20</v>
      </c>
      <c r="AC899">
        <v>4</v>
      </c>
      <c r="AD899" t="s">
        <v>81</v>
      </c>
      <c r="AE899">
        <v>4</v>
      </c>
      <c r="AF899" t="str" cm="1">
        <f t="array" ref="AF899">_xlfn.IFS(AE899&gt;=10,"Veteran (10y+)",AE899&gt;=3,"Established (3-10y)",AE899&lt;3,"New Hire (&lt;3y)")</f>
        <v>Established (3-10y)</v>
      </c>
      <c r="AG899">
        <v>2</v>
      </c>
      <c r="AH899">
        <v>0</v>
      </c>
      <c r="AI899">
        <v>3</v>
      </c>
    </row>
    <row r="900" spans="1:35">
      <c r="A900">
        <v>38</v>
      </c>
      <c r="B900" t="str">
        <f t="shared" si="14"/>
        <v>Middle Aged</v>
      </c>
      <c r="C900">
        <v>0</v>
      </c>
      <c r="D900" t="s">
        <v>44</v>
      </c>
      <c r="E900">
        <v>1394</v>
      </c>
      <c r="F900" t="s">
        <v>45</v>
      </c>
      <c r="G900">
        <v>8</v>
      </c>
      <c r="H900" t="str" cm="1">
        <f t="array" ref="H900">_xlfn.IFS(G900&gt;15,"Long Commute",G900&gt;5,"Moderate",G900&lt;=5,"Near Office")</f>
        <v>Moderate</v>
      </c>
      <c r="I900" t="s">
        <v>72</v>
      </c>
      <c r="J900" t="s">
        <v>51</v>
      </c>
      <c r="K900">
        <v>4</v>
      </c>
      <c r="L900" t="s">
        <v>39</v>
      </c>
      <c r="M900">
        <v>58</v>
      </c>
      <c r="N900">
        <v>2</v>
      </c>
      <c r="O900">
        <v>2</v>
      </c>
      <c r="P900" t="s">
        <v>47</v>
      </c>
      <c r="Q900" t="s">
        <v>75</v>
      </c>
      <c r="R900" t="s">
        <v>52</v>
      </c>
      <c r="S900">
        <v>2133</v>
      </c>
      <c r="T900" t="str" cm="1">
        <f t="array" ref="T900">_xlfn.IFS(S900&gt;=10000,"High (&gt;10k)",S900&gt;=5000,"Medium (5k-10k)",S900&lt;5000,"Low (&lt;5k)")</f>
        <v>Low (&lt;5k)</v>
      </c>
      <c r="U900">
        <v>18115</v>
      </c>
      <c r="V900">
        <v>1</v>
      </c>
      <c r="W900" t="s">
        <v>35</v>
      </c>
      <c r="X900">
        <v>16</v>
      </c>
      <c r="Y900">
        <v>3</v>
      </c>
      <c r="Z900">
        <v>3</v>
      </c>
      <c r="AA900">
        <v>1</v>
      </c>
      <c r="AB900">
        <v>20</v>
      </c>
      <c r="AC900">
        <v>3</v>
      </c>
      <c r="AD900" t="s">
        <v>74</v>
      </c>
      <c r="AE900">
        <v>20</v>
      </c>
      <c r="AF900" t="str" cm="1">
        <f t="array" ref="AF900">_xlfn.IFS(AE900&gt;=10,"Veteran (10y+)",AE900&gt;=3,"Established (3-10y)",AE900&lt;3,"New Hire (&lt;3y)")</f>
        <v>Veteran (10y+)</v>
      </c>
      <c r="AG900">
        <v>11</v>
      </c>
      <c r="AH900">
        <v>0</v>
      </c>
      <c r="AI900">
        <v>7</v>
      </c>
    </row>
    <row r="901" spans="1:35">
      <c r="A901">
        <v>38</v>
      </c>
      <c r="B901" t="str">
        <f t="shared" si="14"/>
        <v>Middle Aged</v>
      </c>
      <c r="C901">
        <v>0</v>
      </c>
      <c r="D901" t="s">
        <v>36</v>
      </c>
      <c r="E901">
        <v>1206</v>
      </c>
      <c r="F901" t="s">
        <v>45</v>
      </c>
      <c r="G901">
        <v>9</v>
      </c>
      <c r="H901" t="str" cm="1">
        <f t="array" ref="H901">_xlfn.IFS(G901&gt;15,"Long Commute",G901&gt;5,"Moderate",G901&lt;=5,"Near Office")</f>
        <v>Moderate</v>
      </c>
      <c r="I901" t="s">
        <v>76</v>
      </c>
      <c r="J901" t="s">
        <v>38</v>
      </c>
      <c r="K901">
        <v>2</v>
      </c>
      <c r="L901" t="s">
        <v>46</v>
      </c>
      <c r="M901">
        <v>71</v>
      </c>
      <c r="N901">
        <v>3</v>
      </c>
      <c r="O901">
        <v>1</v>
      </c>
      <c r="P901" t="s">
        <v>47</v>
      </c>
      <c r="Q901" t="s">
        <v>77</v>
      </c>
      <c r="R901" t="s">
        <v>52</v>
      </c>
      <c r="S901">
        <v>4771</v>
      </c>
      <c r="T901" t="str" cm="1">
        <f t="array" ref="T901">_xlfn.IFS(S901&gt;=10000,"High (&gt;10k)",S901&gt;=5000,"Medium (5k-10k)",S901&lt;5000,"Low (&lt;5k)")</f>
        <v>Low (&lt;5k)</v>
      </c>
      <c r="U901">
        <v>14293</v>
      </c>
      <c r="V901">
        <v>2</v>
      </c>
      <c r="W901" t="s">
        <v>43</v>
      </c>
      <c r="X901">
        <v>19</v>
      </c>
      <c r="Y901">
        <v>3</v>
      </c>
      <c r="Z901">
        <v>4</v>
      </c>
      <c r="AA901">
        <v>2</v>
      </c>
      <c r="AB901">
        <v>10</v>
      </c>
      <c r="AC901">
        <v>0</v>
      </c>
      <c r="AD901" t="s">
        <v>79</v>
      </c>
      <c r="AE901">
        <v>5</v>
      </c>
      <c r="AF901" t="str" cm="1">
        <f t="array" ref="AF901">_xlfn.IFS(AE901&gt;=10,"Veteran (10y+)",AE901&gt;=3,"Established (3-10y)",AE901&lt;3,"New Hire (&lt;3y)")</f>
        <v>Established (3-10y)</v>
      </c>
      <c r="AG901">
        <v>2</v>
      </c>
      <c r="AH901">
        <v>0</v>
      </c>
      <c r="AI901">
        <v>3</v>
      </c>
    </row>
    <row r="902" spans="1:35">
      <c r="A902">
        <v>38</v>
      </c>
      <c r="B902" t="str">
        <f t="shared" si="14"/>
        <v>Middle Aged</v>
      </c>
      <c r="C902">
        <v>0</v>
      </c>
      <c r="D902" t="s">
        <v>36</v>
      </c>
      <c r="E902">
        <v>1404</v>
      </c>
      <c r="F902" t="s">
        <v>37</v>
      </c>
      <c r="G902">
        <v>1</v>
      </c>
      <c r="H902" t="str" cm="1">
        <f t="array" ref="H902">_xlfn.IFS(G902&gt;15,"Long Commute",G902&gt;5,"Moderate",G902&lt;=5,"Near Office")</f>
        <v>Near Office</v>
      </c>
      <c r="I902" t="s">
        <v>72</v>
      </c>
      <c r="J902" t="s">
        <v>38</v>
      </c>
      <c r="K902">
        <v>1</v>
      </c>
      <c r="L902" t="s">
        <v>46</v>
      </c>
      <c r="M902">
        <v>59</v>
      </c>
      <c r="N902">
        <v>2</v>
      </c>
      <c r="O902">
        <v>1</v>
      </c>
      <c r="P902" t="s">
        <v>57</v>
      </c>
      <c r="Q902" t="s">
        <v>82</v>
      </c>
      <c r="R902" t="s">
        <v>41</v>
      </c>
      <c r="S902">
        <v>2858</v>
      </c>
      <c r="T902" t="str" cm="1">
        <f t="array" ref="T902">_xlfn.IFS(S902&gt;=10000,"High (&gt;10k)",S902&gt;=5000,"Medium (5k-10k)",S902&lt;5000,"Low (&lt;5k)")</f>
        <v>Low (&lt;5k)</v>
      </c>
      <c r="U902">
        <v>11473</v>
      </c>
      <c r="V902">
        <v>4</v>
      </c>
      <c r="W902" t="s">
        <v>43</v>
      </c>
      <c r="X902">
        <v>14</v>
      </c>
      <c r="Y902">
        <v>3</v>
      </c>
      <c r="Z902">
        <v>1</v>
      </c>
      <c r="AA902">
        <v>0</v>
      </c>
      <c r="AB902">
        <v>20</v>
      </c>
      <c r="AC902">
        <v>3</v>
      </c>
      <c r="AD902" t="s">
        <v>81</v>
      </c>
      <c r="AE902">
        <v>1</v>
      </c>
      <c r="AF902" t="str" cm="1">
        <f t="array" ref="AF902">_xlfn.IFS(AE902&gt;=10,"Veteran (10y+)",AE902&gt;=3,"Established (3-10y)",AE902&lt;3,"New Hire (&lt;3y)")</f>
        <v>New Hire (&lt;3y)</v>
      </c>
      <c r="AG902">
        <v>0</v>
      </c>
      <c r="AH902">
        <v>0</v>
      </c>
      <c r="AI902">
        <v>0</v>
      </c>
    </row>
    <row r="903" spans="1:35">
      <c r="A903">
        <v>38</v>
      </c>
      <c r="B903" t="str">
        <f t="shared" si="14"/>
        <v>Middle Aged</v>
      </c>
      <c r="C903">
        <v>0</v>
      </c>
      <c r="D903" t="s">
        <v>44</v>
      </c>
      <c r="E903">
        <v>1444</v>
      </c>
      <c r="F903" t="s">
        <v>61</v>
      </c>
      <c r="G903">
        <v>1</v>
      </c>
      <c r="H903" t="str" cm="1">
        <f t="array" ref="H903">_xlfn.IFS(G903&gt;15,"Long Commute",G903&gt;5,"Moderate",G903&lt;=5,"Near Office")</f>
        <v>Near Office</v>
      </c>
      <c r="I903" t="s">
        <v>83</v>
      </c>
      <c r="J903" t="s">
        <v>49</v>
      </c>
      <c r="K903">
        <v>4</v>
      </c>
      <c r="L903" t="s">
        <v>46</v>
      </c>
      <c r="M903">
        <v>88</v>
      </c>
      <c r="N903">
        <v>3</v>
      </c>
      <c r="O903">
        <v>1</v>
      </c>
      <c r="P903" t="s">
        <v>61</v>
      </c>
      <c r="Q903" t="s">
        <v>75</v>
      </c>
      <c r="R903" t="s">
        <v>48</v>
      </c>
      <c r="S903">
        <v>2991</v>
      </c>
      <c r="T903" t="str" cm="1">
        <f t="array" ref="T903">_xlfn.IFS(S903&gt;=10000,"High (&gt;10k)",S903&gt;=5000,"Medium (5k-10k)",S903&lt;5000,"Low (&lt;5k)")</f>
        <v>Low (&lt;5k)</v>
      </c>
      <c r="U903">
        <v>5224</v>
      </c>
      <c r="V903">
        <v>0</v>
      </c>
      <c r="W903" t="s">
        <v>35</v>
      </c>
      <c r="X903">
        <v>11</v>
      </c>
      <c r="Y903">
        <v>3</v>
      </c>
      <c r="Z903">
        <v>2</v>
      </c>
      <c r="AA903">
        <v>1</v>
      </c>
      <c r="AB903">
        <v>7</v>
      </c>
      <c r="AC903">
        <v>2</v>
      </c>
      <c r="AD903" t="s">
        <v>74</v>
      </c>
      <c r="AE903">
        <v>6</v>
      </c>
      <c r="AF903" t="str" cm="1">
        <f t="array" ref="AF903">_xlfn.IFS(AE903&gt;=10,"Veteran (10y+)",AE903&gt;=3,"Established (3-10y)",AE903&lt;3,"New Hire (&lt;3y)")</f>
        <v>Established (3-10y)</v>
      </c>
      <c r="AG903">
        <v>2</v>
      </c>
      <c r="AH903">
        <v>1</v>
      </c>
      <c r="AI903">
        <v>2</v>
      </c>
    </row>
    <row r="904" spans="1:35">
      <c r="A904">
        <v>38</v>
      </c>
      <c r="B904" t="str">
        <f t="shared" si="14"/>
        <v>Middle Aged</v>
      </c>
      <c r="C904">
        <v>0</v>
      </c>
      <c r="D904" t="s">
        <v>36</v>
      </c>
      <c r="E904">
        <v>1321</v>
      </c>
      <c r="F904" t="s">
        <v>37</v>
      </c>
      <c r="G904">
        <v>1</v>
      </c>
      <c r="H904" t="str" cm="1">
        <f t="array" ref="H904">_xlfn.IFS(G904&gt;15,"Long Commute",G904&gt;5,"Moderate",G904&lt;=5,"Near Office")</f>
        <v>Near Office</v>
      </c>
      <c r="I904" t="s">
        <v>83</v>
      </c>
      <c r="J904" t="s">
        <v>38</v>
      </c>
      <c r="K904">
        <v>4</v>
      </c>
      <c r="L904" t="s">
        <v>46</v>
      </c>
      <c r="M904">
        <v>86</v>
      </c>
      <c r="N904">
        <v>3</v>
      </c>
      <c r="O904">
        <v>2</v>
      </c>
      <c r="P904" t="s">
        <v>40</v>
      </c>
      <c r="Q904" t="s">
        <v>75</v>
      </c>
      <c r="R904" t="s">
        <v>48</v>
      </c>
      <c r="S904">
        <v>4440</v>
      </c>
      <c r="T904" t="str" cm="1">
        <f t="array" ref="T904">_xlfn.IFS(S904&gt;=10000,"High (&gt;10k)",S904&gt;=5000,"Medium (5k-10k)",S904&lt;5000,"Low (&lt;5k)")</f>
        <v>Low (&lt;5k)</v>
      </c>
      <c r="U904">
        <v>7636</v>
      </c>
      <c r="V904">
        <v>0</v>
      </c>
      <c r="W904" t="s">
        <v>43</v>
      </c>
      <c r="X904">
        <v>15</v>
      </c>
      <c r="Y904">
        <v>3</v>
      </c>
      <c r="Z904">
        <v>1</v>
      </c>
      <c r="AA904">
        <v>2</v>
      </c>
      <c r="AB904">
        <v>16</v>
      </c>
      <c r="AC904">
        <v>3</v>
      </c>
      <c r="AD904" t="s">
        <v>74</v>
      </c>
      <c r="AE904">
        <v>15</v>
      </c>
      <c r="AF904" t="str" cm="1">
        <f t="array" ref="AF904">_xlfn.IFS(AE904&gt;=10,"Veteran (10y+)",AE904&gt;=3,"Established (3-10y)",AE904&lt;3,"New Hire (&lt;3y)")</f>
        <v>Veteran (10y+)</v>
      </c>
      <c r="AG904">
        <v>13</v>
      </c>
      <c r="AH904">
        <v>5</v>
      </c>
      <c r="AI904">
        <v>8</v>
      </c>
    </row>
    <row r="905" spans="1:35">
      <c r="A905">
        <v>38</v>
      </c>
      <c r="B905" t="str">
        <f t="shared" si="14"/>
        <v>Middle Aged</v>
      </c>
      <c r="C905">
        <v>0</v>
      </c>
      <c r="D905" t="s">
        <v>44</v>
      </c>
      <c r="E905">
        <v>508</v>
      </c>
      <c r="F905" t="s">
        <v>45</v>
      </c>
      <c r="G905">
        <v>6</v>
      </c>
      <c r="H905" t="str" cm="1">
        <f t="array" ref="H905">_xlfn.IFS(G905&gt;15,"Long Commute",G905&gt;5,"Moderate",G905&lt;=5,"Near Office")</f>
        <v>Moderate</v>
      </c>
      <c r="I905" t="s">
        <v>83</v>
      </c>
      <c r="J905" t="s">
        <v>38</v>
      </c>
      <c r="K905">
        <v>1</v>
      </c>
      <c r="L905" t="s">
        <v>46</v>
      </c>
      <c r="M905">
        <v>72</v>
      </c>
      <c r="N905">
        <v>2</v>
      </c>
      <c r="O905">
        <v>2</v>
      </c>
      <c r="P905" t="s">
        <v>53</v>
      </c>
      <c r="Q905" t="s">
        <v>73</v>
      </c>
      <c r="R905" t="s">
        <v>48</v>
      </c>
      <c r="S905">
        <v>5321</v>
      </c>
      <c r="T905" t="str" cm="1">
        <f t="array" ref="T905">_xlfn.IFS(S905&gt;=10000,"High (&gt;10k)",S905&gt;=5000,"Medium (5k-10k)",S905&lt;5000,"Low (&lt;5k)")</f>
        <v>Medium (5k-10k)</v>
      </c>
      <c r="U905">
        <v>14284</v>
      </c>
      <c r="V905">
        <v>2</v>
      </c>
      <c r="W905" t="s">
        <v>43</v>
      </c>
      <c r="X905">
        <v>11</v>
      </c>
      <c r="Y905">
        <v>3</v>
      </c>
      <c r="Z905">
        <v>4</v>
      </c>
      <c r="AA905">
        <v>1</v>
      </c>
      <c r="AB905">
        <v>10</v>
      </c>
      <c r="AC905">
        <v>1</v>
      </c>
      <c r="AD905" t="s">
        <v>74</v>
      </c>
      <c r="AE905">
        <v>8</v>
      </c>
      <c r="AF905" t="str" cm="1">
        <f t="array" ref="AF905">_xlfn.IFS(AE905&gt;=10,"Veteran (10y+)",AE905&gt;=3,"Established (3-10y)",AE905&lt;3,"New Hire (&lt;3y)")</f>
        <v>Established (3-10y)</v>
      </c>
      <c r="AG905">
        <v>3</v>
      </c>
      <c r="AH905">
        <v>7</v>
      </c>
      <c r="AI905">
        <v>7</v>
      </c>
    </row>
    <row r="906" spans="1:35">
      <c r="A906">
        <v>38</v>
      </c>
      <c r="B906" t="str">
        <f t="shared" si="14"/>
        <v>Middle Aged</v>
      </c>
      <c r="C906">
        <v>0</v>
      </c>
      <c r="D906" t="s">
        <v>36</v>
      </c>
      <c r="E906">
        <v>201</v>
      </c>
      <c r="F906" t="s">
        <v>45</v>
      </c>
      <c r="G906">
        <v>10</v>
      </c>
      <c r="H906" t="str" cm="1">
        <f t="array" ref="H906">_xlfn.IFS(G906&gt;15,"Long Commute",G906&gt;5,"Moderate",G906&lt;=5,"Near Office")</f>
        <v>Moderate</v>
      </c>
      <c r="I906" t="s">
        <v>72</v>
      </c>
      <c r="J906" t="s">
        <v>51</v>
      </c>
      <c r="K906">
        <v>2</v>
      </c>
      <c r="L906" t="s">
        <v>39</v>
      </c>
      <c r="M906">
        <v>99</v>
      </c>
      <c r="N906">
        <v>1</v>
      </c>
      <c r="O906">
        <v>3</v>
      </c>
      <c r="P906" t="s">
        <v>58</v>
      </c>
      <c r="Q906" t="s">
        <v>73</v>
      </c>
      <c r="R906" t="s">
        <v>48</v>
      </c>
      <c r="S906">
        <v>13206</v>
      </c>
      <c r="T906" t="str" cm="1">
        <f t="array" ref="T906">_xlfn.IFS(S906&gt;=10000,"High (&gt;10k)",S906&gt;=5000,"Medium (5k-10k)",S906&lt;5000,"Low (&lt;5k)")</f>
        <v>High (&gt;10k)</v>
      </c>
      <c r="U906">
        <v>3376</v>
      </c>
      <c r="V906">
        <v>3</v>
      </c>
      <c r="W906" t="s">
        <v>43</v>
      </c>
      <c r="X906">
        <v>12</v>
      </c>
      <c r="Y906">
        <v>3</v>
      </c>
      <c r="Z906">
        <v>1</v>
      </c>
      <c r="AA906">
        <v>1</v>
      </c>
      <c r="AB906">
        <v>20</v>
      </c>
      <c r="AC906">
        <v>3</v>
      </c>
      <c r="AD906" t="s">
        <v>74</v>
      </c>
      <c r="AE906">
        <v>18</v>
      </c>
      <c r="AF906" t="str" cm="1">
        <f t="array" ref="AF906">_xlfn.IFS(AE906&gt;=10,"Veteran (10y+)",AE906&gt;=3,"Established (3-10y)",AE906&lt;3,"New Hire (&lt;3y)")</f>
        <v>Veteran (10y+)</v>
      </c>
      <c r="AG906">
        <v>16</v>
      </c>
      <c r="AH906">
        <v>1</v>
      </c>
      <c r="AI906">
        <v>11</v>
      </c>
    </row>
    <row r="907" spans="1:35">
      <c r="A907">
        <v>38</v>
      </c>
      <c r="B907" t="str">
        <f t="shared" si="14"/>
        <v>Middle Aged</v>
      </c>
      <c r="C907">
        <v>0</v>
      </c>
      <c r="D907" t="s">
        <v>36</v>
      </c>
      <c r="E907">
        <v>345</v>
      </c>
      <c r="F907" t="s">
        <v>37</v>
      </c>
      <c r="G907">
        <v>10</v>
      </c>
      <c r="H907" t="str" cm="1">
        <f t="array" ref="H907">_xlfn.IFS(G907&gt;15,"Long Commute",G907&gt;5,"Moderate",G907&lt;=5,"Near Office")</f>
        <v>Moderate</v>
      </c>
      <c r="I907" t="s">
        <v>76</v>
      </c>
      <c r="J907" t="s">
        <v>38</v>
      </c>
      <c r="K907">
        <v>1</v>
      </c>
      <c r="L907" t="s">
        <v>39</v>
      </c>
      <c r="M907">
        <v>100</v>
      </c>
      <c r="N907">
        <v>3</v>
      </c>
      <c r="O907">
        <v>2</v>
      </c>
      <c r="P907" t="s">
        <v>40</v>
      </c>
      <c r="Q907" t="s">
        <v>77</v>
      </c>
      <c r="R907" t="s">
        <v>48</v>
      </c>
      <c r="S907">
        <v>5343</v>
      </c>
      <c r="T907" t="str" cm="1">
        <f t="array" ref="T907">_xlfn.IFS(S907&gt;=10000,"High (&gt;10k)",S907&gt;=5000,"Medium (5k-10k)",S907&lt;5000,"Low (&lt;5k)")</f>
        <v>Medium (5k-10k)</v>
      </c>
      <c r="U907">
        <v>5982</v>
      </c>
      <c r="V907">
        <v>1</v>
      </c>
      <c r="W907" t="s">
        <v>43</v>
      </c>
      <c r="X907">
        <v>11</v>
      </c>
      <c r="Y907">
        <v>3</v>
      </c>
      <c r="Z907">
        <v>3</v>
      </c>
      <c r="AA907">
        <v>1</v>
      </c>
      <c r="AB907">
        <v>10</v>
      </c>
      <c r="AC907">
        <v>1</v>
      </c>
      <c r="AD907" t="s">
        <v>74</v>
      </c>
      <c r="AE907">
        <v>10</v>
      </c>
      <c r="AF907" t="str" cm="1">
        <f t="array" ref="AF907">_xlfn.IFS(AE907&gt;=10,"Veteran (10y+)",AE907&gt;=3,"Established (3-10y)",AE907&lt;3,"New Hire (&lt;3y)")</f>
        <v>Veteran (10y+)</v>
      </c>
      <c r="AG907">
        <v>7</v>
      </c>
      <c r="AH907">
        <v>1</v>
      </c>
      <c r="AI907">
        <v>9</v>
      </c>
    </row>
    <row r="908" spans="1:35">
      <c r="A908">
        <v>39</v>
      </c>
      <c r="B908" t="str">
        <f t="shared" si="14"/>
        <v>Middle Aged</v>
      </c>
      <c r="C908">
        <v>1</v>
      </c>
      <c r="D908" t="s">
        <v>36</v>
      </c>
      <c r="E908">
        <v>895</v>
      </c>
      <c r="F908" t="s">
        <v>37</v>
      </c>
      <c r="G908">
        <v>5</v>
      </c>
      <c r="H908" t="str" cm="1">
        <f t="array" ref="H908">_xlfn.IFS(G908&gt;15,"Long Commute",G908&gt;5,"Moderate",G908&lt;=5,"Near Office")</f>
        <v>Near Office</v>
      </c>
      <c r="I908" t="s">
        <v>72</v>
      </c>
      <c r="J908" t="s">
        <v>60</v>
      </c>
      <c r="K908">
        <v>4</v>
      </c>
      <c r="L908" t="s">
        <v>46</v>
      </c>
      <c r="M908">
        <v>56</v>
      </c>
      <c r="N908">
        <v>3</v>
      </c>
      <c r="O908">
        <v>2</v>
      </c>
      <c r="P908" t="s">
        <v>57</v>
      </c>
      <c r="Q908" t="s">
        <v>77</v>
      </c>
      <c r="R908" t="s">
        <v>48</v>
      </c>
      <c r="S908">
        <v>2086</v>
      </c>
      <c r="T908" t="str" cm="1">
        <f t="array" ref="T908">_xlfn.IFS(S908&gt;=10000,"High (&gt;10k)",S908&gt;=5000,"Medium (5k-10k)",S908&lt;5000,"Low (&lt;5k)")</f>
        <v>Low (&lt;5k)</v>
      </c>
      <c r="U908">
        <v>3335</v>
      </c>
      <c r="V908">
        <v>3</v>
      </c>
      <c r="W908" t="s">
        <v>43</v>
      </c>
      <c r="X908">
        <v>14</v>
      </c>
      <c r="Y908">
        <v>3</v>
      </c>
      <c r="Z908">
        <v>3</v>
      </c>
      <c r="AA908">
        <v>1</v>
      </c>
      <c r="AB908">
        <v>19</v>
      </c>
      <c r="AC908">
        <v>6</v>
      </c>
      <c r="AD908" t="s">
        <v>79</v>
      </c>
      <c r="AE908">
        <v>1</v>
      </c>
      <c r="AF908" t="str" cm="1">
        <f t="array" ref="AF908">_xlfn.IFS(AE908&gt;=10,"Veteran (10y+)",AE908&gt;=3,"Established (3-10y)",AE908&lt;3,"New Hire (&lt;3y)")</f>
        <v>New Hire (&lt;3y)</v>
      </c>
      <c r="AG908">
        <v>0</v>
      </c>
      <c r="AH908">
        <v>0</v>
      </c>
      <c r="AI908">
        <v>0</v>
      </c>
    </row>
    <row r="909" spans="1:35">
      <c r="A909">
        <v>39</v>
      </c>
      <c r="B909" t="str">
        <f t="shared" si="14"/>
        <v>Middle Aged</v>
      </c>
      <c r="C909">
        <v>0</v>
      </c>
      <c r="D909" t="s">
        <v>36</v>
      </c>
      <c r="E909">
        <v>1329</v>
      </c>
      <c r="F909" t="s">
        <v>37</v>
      </c>
      <c r="G909">
        <v>4</v>
      </c>
      <c r="H909" t="str" cm="1">
        <f t="array" ref="H909">_xlfn.IFS(G909&gt;15,"Long Commute",G909&gt;5,"Moderate",G909&lt;=5,"Near Office")</f>
        <v>Near Office</v>
      </c>
      <c r="I909" t="s">
        <v>83</v>
      </c>
      <c r="J909" t="s">
        <v>38</v>
      </c>
      <c r="K909">
        <v>4</v>
      </c>
      <c r="L909" t="s">
        <v>39</v>
      </c>
      <c r="M909">
        <v>47</v>
      </c>
      <c r="N909">
        <v>2</v>
      </c>
      <c r="O909">
        <v>2</v>
      </c>
      <c r="P909" t="s">
        <v>40</v>
      </c>
      <c r="Q909" t="s">
        <v>73</v>
      </c>
      <c r="R909" t="s">
        <v>48</v>
      </c>
      <c r="S909">
        <v>5902</v>
      </c>
      <c r="T909" t="str" cm="1">
        <f t="array" ref="T909">_xlfn.IFS(S909&gt;=10000,"High (&gt;10k)",S909&gt;=5000,"Medium (5k-10k)",S909&lt;5000,"Low (&lt;5k)")</f>
        <v>Medium (5k-10k)</v>
      </c>
      <c r="U909">
        <v>14590</v>
      </c>
      <c r="V909">
        <v>4</v>
      </c>
      <c r="W909" t="s">
        <v>43</v>
      </c>
      <c r="X909">
        <v>14</v>
      </c>
      <c r="Y909">
        <v>3</v>
      </c>
      <c r="Z909">
        <v>3</v>
      </c>
      <c r="AA909">
        <v>1</v>
      </c>
      <c r="AB909">
        <v>17</v>
      </c>
      <c r="AC909">
        <v>1</v>
      </c>
      <c r="AD909" t="s">
        <v>79</v>
      </c>
      <c r="AE909">
        <v>15</v>
      </c>
      <c r="AF909" t="str" cm="1">
        <f t="array" ref="AF909">_xlfn.IFS(AE909&gt;=10,"Veteran (10y+)",AE909&gt;=3,"Established (3-10y)",AE909&lt;3,"New Hire (&lt;3y)")</f>
        <v>Veteran (10y+)</v>
      </c>
      <c r="AG909">
        <v>11</v>
      </c>
      <c r="AH909">
        <v>5</v>
      </c>
      <c r="AI909">
        <v>9</v>
      </c>
    </row>
    <row r="910" spans="1:35">
      <c r="A910">
        <v>39</v>
      </c>
      <c r="B910" t="str">
        <f t="shared" si="14"/>
        <v>Middle Aged</v>
      </c>
      <c r="C910">
        <v>0</v>
      </c>
      <c r="D910" t="s">
        <v>36</v>
      </c>
      <c r="E910">
        <v>1431</v>
      </c>
      <c r="F910" t="s">
        <v>45</v>
      </c>
      <c r="G910">
        <v>1</v>
      </c>
      <c r="H910" t="str" cm="1">
        <f t="array" ref="H910">_xlfn.IFS(G910&gt;15,"Long Commute",G910&gt;5,"Moderate",G910&lt;=5,"Near Office")</f>
        <v>Near Office</v>
      </c>
      <c r="I910" t="s">
        <v>83</v>
      </c>
      <c r="J910" t="s">
        <v>51</v>
      </c>
      <c r="K910">
        <v>3</v>
      </c>
      <c r="L910" t="s">
        <v>39</v>
      </c>
      <c r="M910">
        <v>96</v>
      </c>
      <c r="N910">
        <v>3</v>
      </c>
      <c r="O910">
        <v>1</v>
      </c>
      <c r="P910" t="s">
        <v>50</v>
      </c>
      <c r="Q910" t="s">
        <v>73</v>
      </c>
      <c r="R910" t="s">
        <v>52</v>
      </c>
      <c r="S910">
        <v>2232</v>
      </c>
      <c r="T910" t="str" cm="1">
        <f t="array" ref="T910">_xlfn.IFS(S910&gt;=10000,"High (&gt;10k)",S910&gt;=5000,"Medium (5k-10k)",S910&lt;5000,"Low (&lt;5k)")</f>
        <v>Low (&lt;5k)</v>
      </c>
      <c r="U910">
        <v>15417</v>
      </c>
      <c r="V910">
        <v>7</v>
      </c>
      <c r="W910" t="s">
        <v>43</v>
      </c>
      <c r="X910">
        <v>14</v>
      </c>
      <c r="Y910">
        <v>3</v>
      </c>
      <c r="Z910">
        <v>3</v>
      </c>
      <c r="AA910">
        <v>3</v>
      </c>
      <c r="AB910">
        <v>7</v>
      </c>
      <c r="AC910">
        <v>1</v>
      </c>
      <c r="AD910" t="s">
        <v>74</v>
      </c>
      <c r="AE910">
        <v>3</v>
      </c>
      <c r="AF910" t="str" cm="1">
        <f t="array" ref="AF910">_xlfn.IFS(AE910&gt;=10,"Veteran (10y+)",AE910&gt;=3,"Established (3-10y)",AE910&lt;3,"New Hire (&lt;3y)")</f>
        <v>Established (3-10y)</v>
      </c>
      <c r="AG910">
        <v>2</v>
      </c>
      <c r="AH910">
        <v>1</v>
      </c>
      <c r="AI910">
        <v>2</v>
      </c>
    </row>
    <row r="911" spans="1:35">
      <c r="A911">
        <v>39</v>
      </c>
      <c r="B911" t="str">
        <f t="shared" si="14"/>
        <v>Middle Aged</v>
      </c>
      <c r="C911">
        <v>0</v>
      </c>
      <c r="D911" t="s">
        <v>44</v>
      </c>
      <c r="E911">
        <v>505</v>
      </c>
      <c r="F911" t="s">
        <v>45</v>
      </c>
      <c r="G911">
        <v>2</v>
      </c>
      <c r="H911" t="str" cm="1">
        <f t="array" ref="H911">_xlfn.IFS(G911&gt;15,"Long Commute",G911&gt;5,"Moderate",G911&lt;=5,"Near Office")</f>
        <v>Near Office</v>
      </c>
      <c r="I911" t="s">
        <v>83</v>
      </c>
      <c r="J911" t="s">
        <v>60</v>
      </c>
      <c r="K911">
        <v>3</v>
      </c>
      <c r="L911" t="s">
        <v>39</v>
      </c>
      <c r="M911">
        <v>64</v>
      </c>
      <c r="N911">
        <v>3</v>
      </c>
      <c r="O911">
        <v>3</v>
      </c>
      <c r="P911" t="s">
        <v>54</v>
      </c>
      <c r="Q911" t="s">
        <v>73</v>
      </c>
      <c r="R911" t="s">
        <v>41</v>
      </c>
      <c r="S911">
        <v>10938</v>
      </c>
      <c r="T911" t="str" cm="1">
        <f t="array" ref="T911">_xlfn.IFS(S911&gt;=10000,"High (&gt;10k)",S911&gt;=5000,"Medium (5k-10k)",S911&lt;5000,"Low (&lt;5k)")</f>
        <v>High (&gt;10k)</v>
      </c>
      <c r="U911">
        <v>6420</v>
      </c>
      <c r="V911">
        <v>0</v>
      </c>
      <c r="W911" t="s">
        <v>43</v>
      </c>
      <c r="X911">
        <v>25</v>
      </c>
      <c r="Y911">
        <v>4</v>
      </c>
      <c r="Z911">
        <v>4</v>
      </c>
      <c r="AA911">
        <v>0</v>
      </c>
      <c r="AB911">
        <v>20</v>
      </c>
      <c r="AC911">
        <v>1</v>
      </c>
      <c r="AD911" t="s">
        <v>74</v>
      </c>
      <c r="AE911">
        <v>19</v>
      </c>
      <c r="AF911" t="str" cm="1">
        <f t="array" ref="AF911">_xlfn.IFS(AE911&gt;=10,"Veteran (10y+)",AE911&gt;=3,"Established (3-10y)",AE911&lt;3,"New Hire (&lt;3y)")</f>
        <v>Veteran (10y+)</v>
      </c>
      <c r="AG911">
        <v>6</v>
      </c>
      <c r="AH911">
        <v>11</v>
      </c>
      <c r="AI911">
        <v>8</v>
      </c>
    </row>
    <row r="912" spans="1:35">
      <c r="A912">
        <v>39</v>
      </c>
      <c r="B912" t="str">
        <f t="shared" si="14"/>
        <v>Middle Aged</v>
      </c>
      <c r="C912">
        <v>0</v>
      </c>
      <c r="D912" t="s">
        <v>36</v>
      </c>
      <c r="E912">
        <v>1132</v>
      </c>
      <c r="F912" t="s">
        <v>45</v>
      </c>
      <c r="G912">
        <v>1</v>
      </c>
      <c r="H912" t="str" cm="1">
        <f t="array" ref="H912">_xlfn.IFS(G912&gt;15,"Long Commute",G912&gt;5,"Moderate",G912&lt;=5,"Near Office")</f>
        <v>Near Office</v>
      </c>
      <c r="I912" t="s">
        <v>72</v>
      </c>
      <c r="J912" t="s">
        <v>51</v>
      </c>
      <c r="K912">
        <v>3</v>
      </c>
      <c r="L912" t="s">
        <v>46</v>
      </c>
      <c r="M912">
        <v>48</v>
      </c>
      <c r="N912">
        <v>4</v>
      </c>
      <c r="O912">
        <v>3</v>
      </c>
      <c r="P912" t="s">
        <v>54</v>
      </c>
      <c r="Q912" t="s">
        <v>77</v>
      </c>
      <c r="R912" t="s">
        <v>52</v>
      </c>
      <c r="S912">
        <v>9613</v>
      </c>
      <c r="T912" t="str" cm="1">
        <f t="array" ref="T912">_xlfn.IFS(S912&gt;=10000,"High (&gt;10k)",S912&gt;=5000,"Medium (5k-10k)",S912&lt;5000,"Low (&lt;5k)")</f>
        <v>Medium (5k-10k)</v>
      </c>
      <c r="U912">
        <v>10942</v>
      </c>
      <c r="V912">
        <v>0</v>
      </c>
      <c r="W912" t="s">
        <v>43</v>
      </c>
      <c r="X912">
        <v>17</v>
      </c>
      <c r="Y912">
        <v>3</v>
      </c>
      <c r="Z912">
        <v>1</v>
      </c>
      <c r="AA912">
        <v>3</v>
      </c>
      <c r="AB912">
        <v>19</v>
      </c>
      <c r="AC912">
        <v>5</v>
      </c>
      <c r="AD912" t="s">
        <v>81</v>
      </c>
      <c r="AE912">
        <v>18</v>
      </c>
      <c r="AF912" t="str" cm="1">
        <f t="array" ref="AF912">_xlfn.IFS(AE912&gt;=10,"Veteran (10y+)",AE912&gt;=3,"Established (3-10y)",AE912&lt;3,"New Hire (&lt;3y)")</f>
        <v>Veteran (10y+)</v>
      </c>
      <c r="AG912">
        <v>10</v>
      </c>
      <c r="AH912">
        <v>3</v>
      </c>
      <c r="AI912">
        <v>7</v>
      </c>
    </row>
    <row r="913" spans="1:35">
      <c r="A913">
        <v>39</v>
      </c>
      <c r="B913" t="str">
        <f t="shared" si="14"/>
        <v>Middle Aged</v>
      </c>
      <c r="C913">
        <v>0</v>
      </c>
      <c r="D913" t="s">
        <v>36</v>
      </c>
      <c r="E913">
        <v>117</v>
      </c>
      <c r="F913" t="s">
        <v>45</v>
      </c>
      <c r="G913">
        <v>10</v>
      </c>
      <c r="H913" t="str" cm="1">
        <f t="array" ref="H913">_xlfn.IFS(G913&gt;15,"Long Commute",G913&gt;5,"Moderate",G913&lt;=5,"Near Office")</f>
        <v>Moderate</v>
      </c>
      <c r="I913" t="s">
        <v>78</v>
      </c>
      <c r="J913" t="s">
        <v>51</v>
      </c>
      <c r="K913">
        <v>3</v>
      </c>
      <c r="L913" t="s">
        <v>46</v>
      </c>
      <c r="M913">
        <v>99</v>
      </c>
      <c r="N913">
        <v>3</v>
      </c>
      <c r="O913">
        <v>4</v>
      </c>
      <c r="P913" t="s">
        <v>56</v>
      </c>
      <c r="Q913" t="s">
        <v>82</v>
      </c>
      <c r="R913" t="s">
        <v>48</v>
      </c>
      <c r="S913">
        <v>17068</v>
      </c>
      <c r="T913" t="str" cm="1">
        <f t="array" ref="T913">_xlfn.IFS(S913&gt;=10000,"High (&gt;10k)",S913&gt;=5000,"Medium (5k-10k)",S913&lt;5000,"Low (&lt;5k)")</f>
        <v>High (&gt;10k)</v>
      </c>
      <c r="U913">
        <v>5355</v>
      </c>
      <c r="V913">
        <v>1</v>
      </c>
      <c r="W913" t="s">
        <v>35</v>
      </c>
      <c r="X913">
        <v>14</v>
      </c>
      <c r="Y913">
        <v>3</v>
      </c>
      <c r="Z913">
        <v>4</v>
      </c>
      <c r="AA913">
        <v>0</v>
      </c>
      <c r="AB913">
        <v>21</v>
      </c>
      <c r="AC913">
        <v>3</v>
      </c>
      <c r="AD913" t="s">
        <v>74</v>
      </c>
      <c r="AE913">
        <v>21</v>
      </c>
      <c r="AF913" t="str" cm="1">
        <f t="array" ref="AF913">_xlfn.IFS(AE913&gt;=10,"Veteran (10y+)",AE913&gt;=3,"Established (3-10y)",AE913&lt;3,"New Hire (&lt;3y)")</f>
        <v>Veteran (10y+)</v>
      </c>
      <c r="AG913">
        <v>9</v>
      </c>
      <c r="AH913">
        <v>11</v>
      </c>
      <c r="AI913">
        <v>10</v>
      </c>
    </row>
    <row r="914" spans="1:35">
      <c r="A914">
        <v>39</v>
      </c>
      <c r="B914" t="str">
        <f t="shared" si="14"/>
        <v>Middle Aged</v>
      </c>
      <c r="C914">
        <v>0</v>
      </c>
      <c r="D914" t="s">
        <v>44</v>
      </c>
      <c r="E914">
        <v>672</v>
      </c>
      <c r="F914" t="s">
        <v>45</v>
      </c>
      <c r="G914">
        <v>7</v>
      </c>
      <c r="H914" t="str" cm="1">
        <f t="array" ref="H914">_xlfn.IFS(G914&gt;15,"Long Commute",G914&gt;5,"Moderate",G914&lt;=5,"Near Office")</f>
        <v>Moderate</v>
      </c>
      <c r="I914" t="s">
        <v>76</v>
      </c>
      <c r="J914" t="s">
        <v>51</v>
      </c>
      <c r="K914">
        <v>3</v>
      </c>
      <c r="L914" t="s">
        <v>46</v>
      </c>
      <c r="M914">
        <v>54</v>
      </c>
      <c r="N914">
        <v>2</v>
      </c>
      <c r="O914">
        <v>5</v>
      </c>
      <c r="P914" t="s">
        <v>56</v>
      </c>
      <c r="Q914" t="s">
        <v>77</v>
      </c>
      <c r="R914" t="s">
        <v>48</v>
      </c>
      <c r="S914">
        <v>19272</v>
      </c>
      <c r="T914" t="str" cm="1">
        <f t="array" ref="T914">_xlfn.IFS(S914&gt;=10000,"High (&gt;10k)",S914&gt;=5000,"Medium (5k-10k)",S914&lt;5000,"Low (&lt;5k)")</f>
        <v>High (&gt;10k)</v>
      </c>
      <c r="U914">
        <v>21141</v>
      </c>
      <c r="V914">
        <v>1</v>
      </c>
      <c r="W914" t="s">
        <v>43</v>
      </c>
      <c r="X914">
        <v>15</v>
      </c>
      <c r="Y914">
        <v>3</v>
      </c>
      <c r="Z914">
        <v>1</v>
      </c>
      <c r="AA914">
        <v>1</v>
      </c>
      <c r="AB914">
        <v>21</v>
      </c>
      <c r="AC914">
        <v>2</v>
      </c>
      <c r="AD914" t="s">
        <v>74</v>
      </c>
      <c r="AE914">
        <v>21</v>
      </c>
      <c r="AF914" t="str" cm="1">
        <f t="array" ref="AF914">_xlfn.IFS(AE914&gt;=10,"Veteran (10y+)",AE914&gt;=3,"Established (3-10y)",AE914&lt;3,"New Hire (&lt;3y)")</f>
        <v>Veteran (10y+)</v>
      </c>
      <c r="AG914">
        <v>9</v>
      </c>
      <c r="AH914">
        <v>13</v>
      </c>
      <c r="AI914">
        <v>3</v>
      </c>
    </row>
    <row r="915" spans="1:35">
      <c r="A915">
        <v>39</v>
      </c>
      <c r="B915" t="str">
        <f t="shared" si="14"/>
        <v>Middle Aged</v>
      </c>
      <c r="C915">
        <v>1</v>
      </c>
      <c r="D915" t="s">
        <v>36</v>
      </c>
      <c r="E915">
        <v>1162</v>
      </c>
      <c r="F915" t="s">
        <v>37</v>
      </c>
      <c r="G915">
        <v>3</v>
      </c>
      <c r="H915" t="str" cm="1">
        <f t="array" ref="H915">_xlfn.IFS(G915&gt;15,"Long Commute",G915&gt;5,"Moderate",G915&lt;=5,"Near Office")</f>
        <v>Near Office</v>
      </c>
      <c r="I915" t="s">
        <v>76</v>
      </c>
      <c r="J915" t="s">
        <v>51</v>
      </c>
      <c r="K915">
        <v>4</v>
      </c>
      <c r="L915" t="s">
        <v>39</v>
      </c>
      <c r="M915">
        <v>41</v>
      </c>
      <c r="N915">
        <v>3</v>
      </c>
      <c r="O915">
        <v>2</v>
      </c>
      <c r="P915" t="s">
        <v>40</v>
      </c>
      <c r="Q915" t="s">
        <v>73</v>
      </c>
      <c r="R915" t="s">
        <v>48</v>
      </c>
      <c r="S915">
        <v>5238</v>
      </c>
      <c r="T915" t="str" cm="1">
        <f t="array" ref="T915">_xlfn.IFS(S915&gt;=10000,"High (&gt;10k)",S915&gt;=5000,"Medium (5k-10k)",S915&lt;5000,"Low (&lt;5k)")</f>
        <v>Medium (5k-10k)</v>
      </c>
      <c r="U915">
        <v>17778</v>
      </c>
      <c r="V915">
        <v>4</v>
      </c>
      <c r="W915" t="s">
        <v>35</v>
      </c>
      <c r="X915">
        <v>18</v>
      </c>
      <c r="Y915">
        <v>3</v>
      </c>
      <c r="Z915">
        <v>1</v>
      </c>
      <c r="AA915">
        <v>0</v>
      </c>
      <c r="AB915">
        <v>12</v>
      </c>
      <c r="AC915">
        <v>3</v>
      </c>
      <c r="AD915" t="s">
        <v>81</v>
      </c>
      <c r="AE915">
        <v>1</v>
      </c>
      <c r="AF915" t="str" cm="1">
        <f t="array" ref="AF915">_xlfn.IFS(AE915&gt;=10,"Veteran (10y+)",AE915&gt;=3,"Established (3-10y)",AE915&lt;3,"New Hire (&lt;3y)")</f>
        <v>New Hire (&lt;3y)</v>
      </c>
      <c r="AG915">
        <v>0</v>
      </c>
      <c r="AH915">
        <v>0</v>
      </c>
      <c r="AI915">
        <v>0</v>
      </c>
    </row>
    <row r="916" spans="1:35">
      <c r="A916">
        <v>39</v>
      </c>
      <c r="B916" t="str">
        <f t="shared" si="14"/>
        <v>Middle Aged</v>
      </c>
      <c r="C916">
        <v>0</v>
      </c>
      <c r="D916" t="s">
        <v>44</v>
      </c>
      <c r="E916">
        <v>1218</v>
      </c>
      <c r="F916" t="s">
        <v>45</v>
      </c>
      <c r="G916">
        <v>1</v>
      </c>
      <c r="H916" t="str" cm="1">
        <f t="array" ref="H916">_xlfn.IFS(G916&gt;15,"Long Commute",G916&gt;5,"Moderate",G916&lt;=5,"Near Office")</f>
        <v>Near Office</v>
      </c>
      <c r="I916" t="s">
        <v>78</v>
      </c>
      <c r="J916" t="s">
        <v>38</v>
      </c>
      <c r="K916">
        <v>2</v>
      </c>
      <c r="L916" t="s">
        <v>46</v>
      </c>
      <c r="M916">
        <v>52</v>
      </c>
      <c r="N916">
        <v>3</v>
      </c>
      <c r="O916">
        <v>5</v>
      </c>
      <c r="P916" t="s">
        <v>56</v>
      </c>
      <c r="Q916" t="s">
        <v>73</v>
      </c>
      <c r="R916" t="s">
        <v>52</v>
      </c>
      <c r="S916">
        <v>19197</v>
      </c>
      <c r="T916" t="str" cm="1">
        <f t="array" ref="T916">_xlfn.IFS(S916&gt;=10000,"High (&gt;10k)",S916&gt;=5000,"Medium (5k-10k)",S916&lt;5000,"Low (&lt;5k)")</f>
        <v>High (&gt;10k)</v>
      </c>
      <c r="U916">
        <v>8213</v>
      </c>
      <c r="V916">
        <v>1</v>
      </c>
      <c r="W916" t="s">
        <v>35</v>
      </c>
      <c r="X916">
        <v>14</v>
      </c>
      <c r="Y916">
        <v>3</v>
      </c>
      <c r="Z916">
        <v>3</v>
      </c>
      <c r="AA916">
        <v>1</v>
      </c>
      <c r="AB916">
        <v>21</v>
      </c>
      <c r="AC916">
        <v>3</v>
      </c>
      <c r="AD916" t="s">
        <v>74</v>
      </c>
      <c r="AE916">
        <v>21</v>
      </c>
      <c r="AF916" t="str" cm="1">
        <f t="array" ref="AF916">_xlfn.IFS(AE916&gt;=10,"Veteran (10y+)",AE916&gt;=3,"Established (3-10y)",AE916&lt;3,"New Hire (&lt;3y)")</f>
        <v>Veteran (10y+)</v>
      </c>
      <c r="AG916">
        <v>8</v>
      </c>
      <c r="AH916">
        <v>1</v>
      </c>
      <c r="AI916">
        <v>6</v>
      </c>
    </row>
    <row r="917" spans="1:35">
      <c r="A917">
        <v>39</v>
      </c>
      <c r="B917" t="str">
        <f t="shared" si="14"/>
        <v>Middle Aged</v>
      </c>
      <c r="C917">
        <v>0</v>
      </c>
      <c r="D917" t="s">
        <v>44</v>
      </c>
      <c r="E917">
        <v>443</v>
      </c>
      <c r="F917" t="s">
        <v>45</v>
      </c>
      <c r="G917">
        <v>8</v>
      </c>
      <c r="H917" t="str" cm="1">
        <f t="array" ref="H917">_xlfn.IFS(G917&gt;15,"Long Commute",G917&gt;5,"Moderate",G917&lt;=5,"Near Office")</f>
        <v>Moderate</v>
      </c>
      <c r="I917" t="s">
        <v>78</v>
      </c>
      <c r="J917" t="s">
        <v>38</v>
      </c>
      <c r="K917">
        <v>3</v>
      </c>
      <c r="L917" t="s">
        <v>39</v>
      </c>
      <c r="M917">
        <v>48</v>
      </c>
      <c r="N917">
        <v>3</v>
      </c>
      <c r="O917">
        <v>1</v>
      </c>
      <c r="P917" t="s">
        <v>50</v>
      </c>
      <c r="Q917" t="s">
        <v>73</v>
      </c>
      <c r="R917" t="s">
        <v>48</v>
      </c>
      <c r="S917">
        <v>3755</v>
      </c>
      <c r="T917" t="str" cm="1">
        <f t="array" ref="T917">_xlfn.IFS(S917&gt;=10000,"High (&gt;10k)",S917&gt;=5000,"Medium (5k-10k)",S917&lt;5000,"Low (&lt;5k)")</f>
        <v>Low (&lt;5k)</v>
      </c>
      <c r="U917">
        <v>17872</v>
      </c>
      <c r="V917">
        <v>1</v>
      </c>
      <c r="W917" t="s">
        <v>43</v>
      </c>
      <c r="X917">
        <v>11</v>
      </c>
      <c r="Y917">
        <v>3</v>
      </c>
      <c r="Z917">
        <v>1</v>
      </c>
      <c r="AA917">
        <v>1</v>
      </c>
      <c r="AB917">
        <v>8</v>
      </c>
      <c r="AC917">
        <v>3</v>
      </c>
      <c r="AD917" t="s">
        <v>74</v>
      </c>
      <c r="AE917">
        <v>8</v>
      </c>
      <c r="AF917" t="str" cm="1">
        <f t="array" ref="AF917">_xlfn.IFS(AE917&gt;=10,"Veteran (10y+)",AE917&gt;=3,"Established (3-10y)",AE917&lt;3,"New Hire (&lt;3y)")</f>
        <v>Established (3-10y)</v>
      </c>
      <c r="AG917">
        <v>3</v>
      </c>
      <c r="AH917">
        <v>0</v>
      </c>
      <c r="AI917">
        <v>7</v>
      </c>
    </row>
    <row r="918" spans="1:35">
      <c r="A918">
        <v>39</v>
      </c>
      <c r="B918" t="str">
        <f t="shared" si="14"/>
        <v>Middle Aged</v>
      </c>
      <c r="C918">
        <v>0</v>
      </c>
      <c r="D918" t="s">
        <v>36</v>
      </c>
      <c r="E918">
        <v>408</v>
      </c>
      <c r="F918" t="s">
        <v>45</v>
      </c>
      <c r="G918">
        <v>2</v>
      </c>
      <c r="H918" t="str" cm="1">
        <f t="array" ref="H918">_xlfn.IFS(G918&gt;15,"Long Commute",G918&gt;5,"Moderate",G918&lt;=5,"Near Office")</f>
        <v>Near Office</v>
      </c>
      <c r="I918" t="s">
        <v>83</v>
      </c>
      <c r="J918" t="s">
        <v>60</v>
      </c>
      <c r="K918">
        <v>4</v>
      </c>
      <c r="L918" t="s">
        <v>39</v>
      </c>
      <c r="M918">
        <v>80</v>
      </c>
      <c r="N918">
        <v>2</v>
      </c>
      <c r="O918">
        <v>2</v>
      </c>
      <c r="P918" t="s">
        <v>54</v>
      </c>
      <c r="Q918" t="s">
        <v>73</v>
      </c>
      <c r="R918" t="s">
        <v>41</v>
      </c>
      <c r="S918">
        <v>4553</v>
      </c>
      <c r="T918" t="str" cm="1">
        <f t="array" ref="T918">_xlfn.IFS(S918&gt;=10000,"High (&gt;10k)",S918&gt;=5000,"Medium (5k-10k)",S918&lt;5000,"Low (&lt;5k)")</f>
        <v>Low (&lt;5k)</v>
      </c>
      <c r="U918">
        <v>20978</v>
      </c>
      <c r="V918">
        <v>1</v>
      </c>
      <c r="W918" t="s">
        <v>43</v>
      </c>
      <c r="X918">
        <v>11</v>
      </c>
      <c r="Y918">
        <v>3</v>
      </c>
      <c r="Z918">
        <v>1</v>
      </c>
      <c r="AA918">
        <v>0</v>
      </c>
      <c r="AB918">
        <v>20</v>
      </c>
      <c r="AC918">
        <v>4</v>
      </c>
      <c r="AD918" t="s">
        <v>74</v>
      </c>
      <c r="AE918">
        <v>20</v>
      </c>
      <c r="AF918" t="str" cm="1">
        <f t="array" ref="AF918">_xlfn.IFS(AE918&gt;=10,"Veteran (10y+)",AE918&gt;=3,"Established (3-10y)",AE918&lt;3,"New Hire (&lt;3y)")</f>
        <v>Veteran (10y+)</v>
      </c>
      <c r="AG918">
        <v>7</v>
      </c>
      <c r="AH918">
        <v>11</v>
      </c>
      <c r="AI918">
        <v>10</v>
      </c>
    </row>
    <row r="919" spans="1:35">
      <c r="A919">
        <v>39</v>
      </c>
      <c r="B919" t="str">
        <f t="shared" si="14"/>
        <v>Middle Aged</v>
      </c>
      <c r="C919">
        <v>0</v>
      </c>
      <c r="D919" t="s">
        <v>36</v>
      </c>
      <c r="E919">
        <v>141</v>
      </c>
      <c r="F919" t="s">
        <v>61</v>
      </c>
      <c r="G919">
        <v>3</v>
      </c>
      <c r="H919" t="str" cm="1">
        <f t="array" ref="H919">_xlfn.IFS(G919&gt;15,"Long Commute",G919&gt;5,"Moderate",G919&lt;=5,"Near Office")</f>
        <v>Near Office</v>
      </c>
      <c r="I919" t="s">
        <v>72</v>
      </c>
      <c r="J919" t="s">
        <v>61</v>
      </c>
      <c r="K919">
        <v>3</v>
      </c>
      <c r="L919" t="s">
        <v>39</v>
      </c>
      <c r="M919">
        <v>44</v>
      </c>
      <c r="N919">
        <v>4</v>
      </c>
      <c r="O919">
        <v>2</v>
      </c>
      <c r="P919" t="s">
        <v>61</v>
      </c>
      <c r="Q919" t="s">
        <v>75</v>
      </c>
      <c r="R919" t="s">
        <v>48</v>
      </c>
      <c r="S919">
        <v>6389</v>
      </c>
      <c r="T919" t="str" cm="1">
        <f t="array" ref="T919">_xlfn.IFS(S919&gt;=10000,"High (&gt;10k)",S919&gt;=5000,"Medium (5k-10k)",S919&lt;5000,"Low (&lt;5k)")</f>
        <v>Medium (5k-10k)</v>
      </c>
      <c r="U919">
        <v>18767</v>
      </c>
      <c r="V919">
        <v>9</v>
      </c>
      <c r="W919" t="s">
        <v>43</v>
      </c>
      <c r="X919">
        <v>15</v>
      </c>
      <c r="Y919">
        <v>3</v>
      </c>
      <c r="Z919">
        <v>3</v>
      </c>
      <c r="AA919">
        <v>1</v>
      </c>
      <c r="AB919">
        <v>12</v>
      </c>
      <c r="AC919">
        <v>3</v>
      </c>
      <c r="AD919" t="s">
        <v>80</v>
      </c>
      <c r="AE919">
        <v>8</v>
      </c>
      <c r="AF919" t="str" cm="1">
        <f t="array" ref="AF919">_xlfn.IFS(AE919&gt;=10,"Veteran (10y+)",AE919&gt;=3,"Established (3-10y)",AE919&lt;3,"New Hire (&lt;3y)")</f>
        <v>Established (3-10y)</v>
      </c>
      <c r="AG919">
        <v>3</v>
      </c>
      <c r="AH919">
        <v>3</v>
      </c>
      <c r="AI919">
        <v>6</v>
      </c>
    </row>
    <row r="920" spans="1:35">
      <c r="A920">
        <v>39</v>
      </c>
      <c r="B920" t="str">
        <f t="shared" si="14"/>
        <v>Middle Aged</v>
      </c>
      <c r="C920">
        <v>0</v>
      </c>
      <c r="D920" t="s">
        <v>36</v>
      </c>
      <c r="E920">
        <v>1383</v>
      </c>
      <c r="F920" t="s">
        <v>61</v>
      </c>
      <c r="G920">
        <v>2</v>
      </c>
      <c r="H920" t="str" cm="1">
        <f t="array" ref="H920">_xlfn.IFS(G920&gt;15,"Long Commute",G920&gt;5,"Moderate",G920&lt;=5,"Near Office")</f>
        <v>Near Office</v>
      </c>
      <c r="I920" t="s">
        <v>72</v>
      </c>
      <c r="J920" t="s">
        <v>38</v>
      </c>
      <c r="K920">
        <v>4</v>
      </c>
      <c r="L920" t="s">
        <v>39</v>
      </c>
      <c r="M920">
        <v>42</v>
      </c>
      <c r="N920">
        <v>2</v>
      </c>
      <c r="O920">
        <v>2</v>
      </c>
      <c r="P920" t="s">
        <v>61</v>
      </c>
      <c r="Q920" t="s">
        <v>77</v>
      </c>
      <c r="R920" t="s">
        <v>48</v>
      </c>
      <c r="S920">
        <v>5204</v>
      </c>
      <c r="T920" t="str" cm="1">
        <f t="array" ref="T920">_xlfn.IFS(S920&gt;=10000,"High (&gt;10k)",S920&gt;=5000,"Medium (5k-10k)",S920&lt;5000,"Low (&lt;5k)")</f>
        <v>Medium (5k-10k)</v>
      </c>
      <c r="U920">
        <v>7790</v>
      </c>
      <c r="V920">
        <v>8</v>
      </c>
      <c r="W920" t="s">
        <v>43</v>
      </c>
      <c r="X920">
        <v>11</v>
      </c>
      <c r="Y920">
        <v>3</v>
      </c>
      <c r="Z920">
        <v>3</v>
      </c>
      <c r="AA920">
        <v>2</v>
      </c>
      <c r="AB920">
        <v>13</v>
      </c>
      <c r="AC920">
        <v>2</v>
      </c>
      <c r="AD920" t="s">
        <v>74</v>
      </c>
      <c r="AE920">
        <v>5</v>
      </c>
      <c r="AF920" t="str" cm="1">
        <f t="array" ref="AF920">_xlfn.IFS(AE920&gt;=10,"Veteran (10y+)",AE920&gt;=3,"Established (3-10y)",AE920&lt;3,"New Hire (&lt;3y)")</f>
        <v>Established (3-10y)</v>
      </c>
      <c r="AG920">
        <v>4</v>
      </c>
      <c r="AH920">
        <v>0</v>
      </c>
      <c r="AI920">
        <v>4</v>
      </c>
    </row>
    <row r="921" spans="1:35">
      <c r="A921">
        <v>39</v>
      </c>
      <c r="B921" t="str">
        <f t="shared" si="14"/>
        <v>Middle Aged</v>
      </c>
      <c r="C921">
        <v>1</v>
      </c>
      <c r="D921" t="s">
        <v>36</v>
      </c>
      <c r="E921">
        <v>1122</v>
      </c>
      <c r="F921" t="s">
        <v>45</v>
      </c>
      <c r="G921">
        <v>6</v>
      </c>
      <c r="H921" t="str" cm="1">
        <f t="array" ref="H921">_xlfn.IFS(G921&gt;15,"Long Commute",G921&gt;5,"Moderate",G921&lt;=5,"Near Office")</f>
        <v>Moderate</v>
      </c>
      <c r="I921" t="s">
        <v>72</v>
      </c>
      <c r="J921" t="s">
        <v>51</v>
      </c>
      <c r="K921">
        <v>4</v>
      </c>
      <c r="L921" t="s">
        <v>46</v>
      </c>
      <c r="M921">
        <v>70</v>
      </c>
      <c r="N921">
        <v>3</v>
      </c>
      <c r="O921">
        <v>1</v>
      </c>
      <c r="P921" t="s">
        <v>50</v>
      </c>
      <c r="Q921" t="s">
        <v>82</v>
      </c>
      <c r="R921" t="s">
        <v>48</v>
      </c>
      <c r="S921">
        <v>2404</v>
      </c>
      <c r="T921" t="str" cm="1">
        <f t="array" ref="T921">_xlfn.IFS(S921&gt;=10000,"High (&gt;10k)",S921&gt;=5000,"Medium (5k-10k)",S921&lt;5000,"Low (&lt;5k)")</f>
        <v>Low (&lt;5k)</v>
      </c>
      <c r="U921">
        <v>4303</v>
      </c>
      <c r="V921">
        <v>7</v>
      </c>
      <c r="W921" t="s">
        <v>35</v>
      </c>
      <c r="X921">
        <v>21</v>
      </c>
      <c r="Y921">
        <v>4</v>
      </c>
      <c r="Z921">
        <v>4</v>
      </c>
      <c r="AA921">
        <v>0</v>
      </c>
      <c r="AB921">
        <v>8</v>
      </c>
      <c r="AC921">
        <v>2</v>
      </c>
      <c r="AD921" t="s">
        <v>80</v>
      </c>
      <c r="AE921">
        <v>2</v>
      </c>
      <c r="AF921" t="str" cm="1">
        <f t="array" ref="AF921">_xlfn.IFS(AE921&gt;=10,"Veteran (10y+)",AE921&gt;=3,"Established (3-10y)",AE921&lt;3,"New Hire (&lt;3y)")</f>
        <v>New Hire (&lt;3y)</v>
      </c>
      <c r="AG921">
        <v>2</v>
      </c>
      <c r="AH921">
        <v>2</v>
      </c>
      <c r="AI921">
        <v>2</v>
      </c>
    </row>
    <row r="922" spans="1:35">
      <c r="A922">
        <v>39</v>
      </c>
      <c r="B922" t="str">
        <f t="shared" si="14"/>
        <v>Middle Aged</v>
      </c>
      <c r="C922">
        <v>0</v>
      </c>
      <c r="D922" t="s">
        <v>36</v>
      </c>
      <c r="E922">
        <v>903</v>
      </c>
      <c r="F922" t="s">
        <v>37</v>
      </c>
      <c r="G922">
        <v>2</v>
      </c>
      <c r="H922" t="str" cm="1">
        <f t="array" ref="H922">_xlfn.IFS(G922&gt;15,"Long Commute",G922&gt;5,"Moderate",G922&lt;=5,"Near Office")</f>
        <v>Near Office</v>
      </c>
      <c r="I922" t="s">
        <v>84</v>
      </c>
      <c r="J922" t="s">
        <v>38</v>
      </c>
      <c r="K922">
        <v>1</v>
      </c>
      <c r="L922" t="s">
        <v>46</v>
      </c>
      <c r="M922">
        <v>41</v>
      </c>
      <c r="N922">
        <v>4</v>
      </c>
      <c r="O922">
        <v>3</v>
      </c>
      <c r="P922" t="s">
        <v>40</v>
      </c>
      <c r="Q922" t="s">
        <v>73</v>
      </c>
      <c r="R922" t="s">
        <v>41</v>
      </c>
      <c r="S922">
        <v>7880</v>
      </c>
      <c r="T922" t="str" cm="1">
        <f t="array" ref="T922">_xlfn.IFS(S922&gt;=10000,"High (&gt;10k)",S922&gt;=5000,"Medium (5k-10k)",S922&lt;5000,"Low (&lt;5k)")</f>
        <v>Medium (5k-10k)</v>
      </c>
      <c r="U922">
        <v>2560</v>
      </c>
      <c r="V922">
        <v>0</v>
      </c>
      <c r="W922" t="s">
        <v>43</v>
      </c>
      <c r="X922">
        <v>18</v>
      </c>
      <c r="Y922">
        <v>3</v>
      </c>
      <c r="Z922">
        <v>4</v>
      </c>
      <c r="AA922">
        <v>0</v>
      </c>
      <c r="AB922">
        <v>9</v>
      </c>
      <c r="AC922">
        <v>3</v>
      </c>
      <c r="AD922" t="s">
        <v>74</v>
      </c>
      <c r="AE922">
        <v>8</v>
      </c>
      <c r="AF922" t="str" cm="1">
        <f t="array" ref="AF922">_xlfn.IFS(AE922&gt;=10,"Veteran (10y+)",AE922&gt;=3,"Established (3-10y)",AE922&lt;3,"New Hire (&lt;3y)")</f>
        <v>Established (3-10y)</v>
      </c>
      <c r="AG922">
        <v>7</v>
      </c>
      <c r="AH922">
        <v>0</v>
      </c>
      <c r="AI922">
        <v>7</v>
      </c>
    </row>
    <row r="923" spans="1:35">
      <c r="A923">
        <v>39</v>
      </c>
      <c r="B923" t="str">
        <f t="shared" si="14"/>
        <v>Middle Aged</v>
      </c>
      <c r="C923">
        <v>0</v>
      </c>
      <c r="D923" t="s">
        <v>36</v>
      </c>
      <c r="E923">
        <v>466</v>
      </c>
      <c r="F923" t="s">
        <v>45</v>
      </c>
      <c r="G923">
        <v>1</v>
      </c>
      <c r="H923" t="str" cm="1">
        <f t="array" ref="H923">_xlfn.IFS(G923&gt;15,"Long Commute",G923&gt;5,"Moderate",G923&lt;=5,"Near Office")</f>
        <v>Near Office</v>
      </c>
      <c r="I923" t="s">
        <v>78</v>
      </c>
      <c r="J923" t="s">
        <v>38</v>
      </c>
      <c r="K923">
        <v>4</v>
      </c>
      <c r="L923" t="s">
        <v>39</v>
      </c>
      <c r="M923">
        <v>65</v>
      </c>
      <c r="N923">
        <v>2</v>
      </c>
      <c r="O923">
        <v>4</v>
      </c>
      <c r="P923" t="s">
        <v>53</v>
      </c>
      <c r="Q923" t="s">
        <v>77</v>
      </c>
      <c r="R923" t="s">
        <v>48</v>
      </c>
      <c r="S923">
        <v>12742</v>
      </c>
      <c r="T923" t="str" cm="1">
        <f t="array" ref="T923">_xlfn.IFS(S923&gt;=10000,"High (&gt;10k)",S923&gt;=5000,"Medium (5k-10k)",S923&lt;5000,"Low (&lt;5k)")</f>
        <v>High (&gt;10k)</v>
      </c>
      <c r="U923">
        <v>7060</v>
      </c>
      <c r="V923">
        <v>1</v>
      </c>
      <c r="W923" t="s">
        <v>43</v>
      </c>
      <c r="X923">
        <v>16</v>
      </c>
      <c r="Y923">
        <v>3</v>
      </c>
      <c r="Z923">
        <v>3</v>
      </c>
      <c r="AA923">
        <v>1</v>
      </c>
      <c r="AB923">
        <v>21</v>
      </c>
      <c r="AC923">
        <v>3</v>
      </c>
      <c r="AD923" t="s">
        <v>74</v>
      </c>
      <c r="AE923">
        <v>21</v>
      </c>
      <c r="AF923" t="str" cm="1">
        <f t="array" ref="AF923">_xlfn.IFS(AE923&gt;=10,"Veteran (10y+)",AE923&gt;=3,"Established (3-10y)",AE923&lt;3,"New Hire (&lt;3y)")</f>
        <v>Veteran (10y+)</v>
      </c>
      <c r="AG923">
        <v>6</v>
      </c>
      <c r="AH923">
        <v>11</v>
      </c>
      <c r="AI923">
        <v>8</v>
      </c>
    </row>
    <row r="924" spans="1:35">
      <c r="A924">
        <v>39</v>
      </c>
      <c r="B924" t="str">
        <f t="shared" si="14"/>
        <v>Middle Aged</v>
      </c>
      <c r="C924">
        <v>0</v>
      </c>
      <c r="D924" t="s">
        <v>44</v>
      </c>
      <c r="E924">
        <v>945</v>
      </c>
      <c r="F924" t="s">
        <v>45</v>
      </c>
      <c r="G924">
        <v>22</v>
      </c>
      <c r="H924" t="str" cm="1">
        <f t="array" ref="H924">_xlfn.IFS(G924&gt;15,"Long Commute",G924&gt;5,"Moderate",G924&lt;=5,"Near Office")</f>
        <v>Long Commute</v>
      </c>
      <c r="I924" t="s">
        <v>72</v>
      </c>
      <c r="J924" t="s">
        <v>51</v>
      </c>
      <c r="K924">
        <v>4</v>
      </c>
      <c r="L924" t="s">
        <v>39</v>
      </c>
      <c r="M924">
        <v>82</v>
      </c>
      <c r="N924">
        <v>3</v>
      </c>
      <c r="O924">
        <v>3</v>
      </c>
      <c r="P924" t="s">
        <v>53</v>
      </c>
      <c r="Q924" t="s">
        <v>82</v>
      </c>
      <c r="R924" t="s">
        <v>41</v>
      </c>
      <c r="S924">
        <v>10880</v>
      </c>
      <c r="T924" t="str" cm="1">
        <f t="array" ref="T924">_xlfn.IFS(S924&gt;=10000,"High (&gt;10k)",S924&gt;=5000,"Medium (5k-10k)",S924&lt;5000,"Low (&lt;5k)")</f>
        <v>High (&gt;10k)</v>
      </c>
      <c r="U924">
        <v>5083</v>
      </c>
      <c r="V924">
        <v>1</v>
      </c>
      <c r="W924" t="s">
        <v>35</v>
      </c>
      <c r="X924">
        <v>13</v>
      </c>
      <c r="Y924">
        <v>3</v>
      </c>
      <c r="Z924">
        <v>3</v>
      </c>
      <c r="AA924">
        <v>0</v>
      </c>
      <c r="AB924">
        <v>21</v>
      </c>
      <c r="AC924">
        <v>2</v>
      </c>
      <c r="AD924" t="s">
        <v>74</v>
      </c>
      <c r="AE924">
        <v>21</v>
      </c>
      <c r="AF924" t="str" cm="1">
        <f t="array" ref="AF924">_xlfn.IFS(AE924&gt;=10,"Veteran (10y+)",AE924&gt;=3,"Established (3-10y)",AE924&lt;3,"New Hire (&lt;3y)")</f>
        <v>Veteran (10y+)</v>
      </c>
      <c r="AG924">
        <v>6</v>
      </c>
      <c r="AH924">
        <v>2</v>
      </c>
      <c r="AI924">
        <v>8</v>
      </c>
    </row>
    <row r="925" spans="1:35">
      <c r="A925">
        <v>39</v>
      </c>
      <c r="B925" t="str">
        <f t="shared" si="14"/>
        <v>Middle Aged</v>
      </c>
      <c r="C925">
        <v>1</v>
      </c>
      <c r="D925" t="s">
        <v>44</v>
      </c>
      <c r="E925">
        <v>203</v>
      </c>
      <c r="F925" t="s">
        <v>45</v>
      </c>
      <c r="G925">
        <v>2</v>
      </c>
      <c r="H925" t="str" cm="1">
        <f t="array" ref="H925">_xlfn.IFS(G925&gt;15,"Long Commute",G925&gt;5,"Moderate",G925&lt;=5,"Near Office")</f>
        <v>Near Office</v>
      </c>
      <c r="I925" t="s">
        <v>72</v>
      </c>
      <c r="J925" t="s">
        <v>38</v>
      </c>
      <c r="K925">
        <v>1</v>
      </c>
      <c r="L925" t="s">
        <v>46</v>
      </c>
      <c r="M925">
        <v>84</v>
      </c>
      <c r="N925">
        <v>3</v>
      </c>
      <c r="O925">
        <v>4</v>
      </c>
      <c r="P925" t="s">
        <v>54</v>
      </c>
      <c r="Q925" t="s">
        <v>77</v>
      </c>
      <c r="R925" t="s">
        <v>52</v>
      </c>
      <c r="S925">
        <v>12169</v>
      </c>
      <c r="T925" t="str" cm="1">
        <f t="array" ref="T925">_xlfn.IFS(S925&gt;=10000,"High (&gt;10k)",S925&gt;=5000,"Medium (5k-10k)",S925&lt;5000,"Low (&lt;5k)")</f>
        <v>High (&gt;10k)</v>
      </c>
      <c r="U925">
        <v>13547</v>
      </c>
      <c r="V925">
        <v>7</v>
      </c>
      <c r="W925" t="s">
        <v>43</v>
      </c>
      <c r="X925">
        <v>11</v>
      </c>
      <c r="Y925">
        <v>3</v>
      </c>
      <c r="Z925">
        <v>4</v>
      </c>
      <c r="AA925">
        <v>3</v>
      </c>
      <c r="AB925">
        <v>21</v>
      </c>
      <c r="AC925">
        <v>4</v>
      </c>
      <c r="AD925" t="s">
        <v>74</v>
      </c>
      <c r="AE925">
        <v>18</v>
      </c>
      <c r="AF925" t="str" cm="1">
        <f t="array" ref="AF925">_xlfn.IFS(AE925&gt;=10,"Veteran (10y+)",AE925&gt;=3,"Established (3-10y)",AE925&lt;3,"New Hire (&lt;3y)")</f>
        <v>Veteran (10y+)</v>
      </c>
      <c r="AG925">
        <v>7</v>
      </c>
      <c r="AH925">
        <v>11</v>
      </c>
      <c r="AI925">
        <v>5</v>
      </c>
    </row>
    <row r="926" spans="1:35">
      <c r="A926">
        <v>39</v>
      </c>
      <c r="B926" t="str">
        <f t="shared" si="14"/>
        <v>Middle Aged</v>
      </c>
      <c r="C926">
        <v>0</v>
      </c>
      <c r="D926" t="s">
        <v>55</v>
      </c>
      <c r="E926">
        <v>439</v>
      </c>
      <c r="F926" t="s">
        <v>45</v>
      </c>
      <c r="G926">
        <v>9</v>
      </c>
      <c r="H926" t="str" cm="1">
        <f t="array" ref="H926">_xlfn.IFS(G926&gt;15,"Long Commute",G926&gt;5,"Moderate",G926&lt;=5,"Near Office")</f>
        <v>Moderate</v>
      </c>
      <c r="I926" t="s">
        <v>72</v>
      </c>
      <c r="J926" t="s">
        <v>38</v>
      </c>
      <c r="K926">
        <v>3</v>
      </c>
      <c r="L926" t="s">
        <v>46</v>
      </c>
      <c r="M926">
        <v>70</v>
      </c>
      <c r="N926">
        <v>3</v>
      </c>
      <c r="O926">
        <v>2</v>
      </c>
      <c r="P926" t="s">
        <v>50</v>
      </c>
      <c r="Q926" t="s">
        <v>75</v>
      </c>
      <c r="R926" t="s">
        <v>41</v>
      </c>
      <c r="S926">
        <v>6782</v>
      </c>
      <c r="T926" t="str" cm="1">
        <f t="array" ref="T926">_xlfn.IFS(S926&gt;=10000,"High (&gt;10k)",S926&gt;=5000,"Medium (5k-10k)",S926&lt;5000,"Low (&lt;5k)")</f>
        <v>Medium (5k-10k)</v>
      </c>
      <c r="U926">
        <v>8770</v>
      </c>
      <c r="V926">
        <v>9</v>
      </c>
      <c r="W926" t="s">
        <v>43</v>
      </c>
      <c r="X926">
        <v>15</v>
      </c>
      <c r="Y926">
        <v>3</v>
      </c>
      <c r="Z926">
        <v>3</v>
      </c>
      <c r="AA926">
        <v>0</v>
      </c>
      <c r="AB926">
        <v>9</v>
      </c>
      <c r="AC926">
        <v>2</v>
      </c>
      <c r="AD926" t="s">
        <v>81</v>
      </c>
      <c r="AE926">
        <v>5</v>
      </c>
      <c r="AF926" t="str" cm="1">
        <f t="array" ref="AF926">_xlfn.IFS(AE926&gt;=10,"Veteran (10y+)",AE926&gt;=3,"Established (3-10y)",AE926&lt;3,"New Hire (&lt;3y)")</f>
        <v>Established (3-10y)</v>
      </c>
      <c r="AG926">
        <v>4</v>
      </c>
      <c r="AH926">
        <v>0</v>
      </c>
      <c r="AI926">
        <v>3</v>
      </c>
    </row>
    <row r="927" spans="1:35">
      <c r="A927">
        <v>39</v>
      </c>
      <c r="B927" t="str">
        <f t="shared" si="14"/>
        <v>Middle Aged</v>
      </c>
      <c r="C927">
        <v>0</v>
      </c>
      <c r="D927" t="s">
        <v>36</v>
      </c>
      <c r="E927">
        <v>412</v>
      </c>
      <c r="F927" t="s">
        <v>45</v>
      </c>
      <c r="G927">
        <v>13</v>
      </c>
      <c r="H927" t="str" cm="1">
        <f t="array" ref="H927">_xlfn.IFS(G927&gt;15,"Long Commute",G927&gt;5,"Moderate",G927&lt;=5,"Near Office")</f>
        <v>Moderate</v>
      </c>
      <c r="I927" t="s">
        <v>83</v>
      </c>
      <c r="J927" t="s">
        <v>51</v>
      </c>
      <c r="K927">
        <v>3</v>
      </c>
      <c r="L927" t="s">
        <v>39</v>
      </c>
      <c r="M927">
        <v>94</v>
      </c>
      <c r="N927">
        <v>2</v>
      </c>
      <c r="O927">
        <v>4</v>
      </c>
      <c r="P927" t="s">
        <v>56</v>
      </c>
      <c r="Q927" t="s">
        <v>75</v>
      </c>
      <c r="R927" t="s">
        <v>52</v>
      </c>
      <c r="S927">
        <v>17123</v>
      </c>
      <c r="T927" t="str" cm="1">
        <f t="array" ref="T927">_xlfn.IFS(S927&gt;=10000,"High (&gt;10k)",S927&gt;=5000,"Medium (5k-10k)",S927&lt;5000,"Low (&lt;5k)")</f>
        <v>High (&gt;10k)</v>
      </c>
      <c r="U927">
        <v>17334</v>
      </c>
      <c r="V927">
        <v>6</v>
      </c>
      <c r="W927" t="s">
        <v>35</v>
      </c>
      <c r="X927">
        <v>13</v>
      </c>
      <c r="Y927">
        <v>3</v>
      </c>
      <c r="Z927">
        <v>4</v>
      </c>
      <c r="AA927">
        <v>2</v>
      </c>
      <c r="AB927">
        <v>21</v>
      </c>
      <c r="AC927">
        <v>4</v>
      </c>
      <c r="AD927" t="s">
        <v>74</v>
      </c>
      <c r="AE927">
        <v>19</v>
      </c>
      <c r="AF927" t="str" cm="1">
        <f t="array" ref="AF927">_xlfn.IFS(AE927&gt;=10,"Veteran (10y+)",AE927&gt;=3,"Established (3-10y)",AE927&lt;3,"New Hire (&lt;3y)")</f>
        <v>Veteran (10y+)</v>
      </c>
      <c r="AG927">
        <v>9</v>
      </c>
      <c r="AH927">
        <v>15</v>
      </c>
      <c r="AI927">
        <v>2</v>
      </c>
    </row>
    <row r="928" spans="1:35">
      <c r="A928">
        <v>39</v>
      </c>
      <c r="B928" t="str">
        <f t="shared" si="14"/>
        <v>Middle Aged</v>
      </c>
      <c r="C928">
        <v>1</v>
      </c>
      <c r="D928" t="s">
        <v>36</v>
      </c>
      <c r="E928">
        <v>360</v>
      </c>
      <c r="F928" t="s">
        <v>45</v>
      </c>
      <c r="G928">
        <v>23</v>
      </c>
      <c r="H928" t="str" cm="1">
        <f t="array" ref="H928">_xlfn.IFS(G928&gt;15,"Long Commute",G928&gt;5,"Moderate",G928&lt;=5,"Near Office")</f>
        <v>Long Commute</v>
      </c>
      <c r="I928" t="s">
        <v>72</v>
      </c>
      <c r="J928" t="s">
        <v>51</v>
      </c>
      <c r="K928">
        <v>3</v>
      </c>
      <c r="L928" t="s">
        <v>46</v>
      </c>
      <c r="M928">
        <v>93</v>
      </c>
      <c r="N928">
        <v>3</v>
      </c>
      <c r="O928">
        <v>1</v>
      </c>
      <c r="P928" t="s">
        <v>47</v>
      </c>
      <c r="Q928" t="s">
        <v>82</v>
      </c>
      <c r="R928" t="s">
        <v>41</v>
      </c>
      <c r="S928">
        <v>3904</v>
      </c>
      <c r="T928" t="str" cm="1">
        <f t="array" ref="T928">_xlfn.IFS(S928&gt;=10000,"High (&gt;10k)",S928&gt;=5000,"Medium (5k-10k)",S928&lt;5000,"Low (&lt;5k)")</f>
        <v>Low (&lt;5k)</v>
      </c>
      <c r="U928">
        <v>22154</v>
      </c>
      <c r="V928">
        <v>0</v>
      </c>
      <c r="W928" t="s">
        <v>43</v>
      </c>
      <c r="X928">
        <v>13</v>
      </c>
      <c r="Y928">
        <v>3</v>
      </c>
      <c r="Z928">
        <v>1</v>
      </c>
      <c r="AA928">
        <v>0</v>
      </c>
      <c r="AB928">
        <v>6</v>
      </c>
      <c r="AC928">
        <v>2</v>
      </c>
      <c r="AD928" t="s">
        <v>74</v>
      </c>
      <c r="AE928">
        <v>5</v>
      </c>
      <c r="AF928" t="str" cm="1">
        <f t="array" ref="AF928">_xlfn.IFS(AE928&gt;=10,"Veteran (10y+)",AE928&gt;=3,"Established (3-10y)",AE928&lt;3,"New Hire (&lt;3y)")</f>
        <v>Established (3-10y)</v>
      </c>
      <c r="AG928">
        <v>2</v>
      </c>
      <c r="AH928">
        <v>0</v>
      </c>
      <c r="AI928">
        <v>3</v>
      </c>
    </row>
    <row r="929" spans="1:35">
      <c r="A929">
        <v>39</v>
      </c>
      <c r="B929" t="str">
        <f t="shared" si="14"/>
        <v>Middle Aged</v>
      </c>
      <c r="C929">
        <v>0</v>
      </c>
      <c r="D929" t="s">
        <v>36</v>
      </c>
      <c r="E929">
        <v>524</v>
      </c>
      <c r="F929" t="s">
        <v>45</v>
      </c>
      <c r="G929">
        <v>18</v>
      </c>
      <c r="H929" t="str" cm="1">
        <f t="array" ref="H929">_xlfn.IFS(G929&gt;15,"Long Commute",G929&gt;5,"Moderate",G929&lt;=5,"Near Office")</f>
        <v>Long Commute</v>
      </c>
      <c r="I929" t="s">
        <v>76</v>
      </c>
      <c r="J929" t="s">
        <v>38</v>
      </c>
      <c r="K929">
        <v>1</v>
      </c>
      <c r="L929" t="s">
        <v>46</v>
      </c>
      <c r="M929">
        <v>32</v>
      </c>
      <c r="N929">
        <v>3</v>
      </c>
      <c r="O929">
        <v>2</v>
      </c>
      <c r="P929" t="s">
        <v>53</v>
      </c>
      <c r="Q929" t="s">
        <v>73</v>
      </c>
      <c r="R929" t="s">
        <v>41</v>
      </c>
      <c r="S929">
        <v>4534</v>
      </c>
      <c r="T929" t="str" cm="1">
        <f t="array" ref="T929">_xlfn.IFS(S929&gt;=10000,"High (&gt;10k)",S929&gt;=5000,"Medium (5k-10k)",S929&lt;5000,"Low (&lt;5k)")</f>
        <v>Low (&lt;5k)</v>
      </c>
      <c r="U929">
        <v>13352</v>
      </c>
      <c r="V929">
        <v>0</v>
      </c>
      <c r="W929" t="s">
        <v>43</v>
      </c>
      <c r="X929">
        <v>11</v>
      </c>
      <c r="Y929">
        <v>3</v>
      </c>
      <c r="Z929">
        <v>1</v>
      </c>
      <c r="AA929">
        <v>0</v>
      </c>
      <c r="AB929">
        <v>9</v>
      </c>
      <c r="AC929">
        <v>6</v>
      </c>
      <c r="AD929" t="s">
        <v>74</v>
      </c>
      <c r="AE929">
        <v>8</v>
      </c>
      <c r="AF929" t="str" cm="1">
        <f t="array" ref="AF929">_xlfn.IFS(AE929&gt;=10,"Veteran (10y+)",AE929&gt;=3,"Established (3-10y)",AE929&lt;3,"New Hire (&lt;3y)")</f>
        <v>Established (3-10y)</v>
      </c>
      <c r="AG929">
        <v>7</v>
      </c>
      <c r="AH929">
        <v>1</v>
      </c>
      <c r="AI929">
        <v>7</v>
      </c>
    </row>
    <row r="930" spans="1:35">
      <c r="A930">
        <v>39</v>
      </c>
      <c r="B930" t="str">
        <f t="shared" si="14"/>
        <v>Middle Aged</v>
      </c>
      <c r="C930">
        <v>0</v>
      </c>
      <c r="D930" t="s">
        <v>36</v>
      </c>
      <c r="E930">
        <v>1498</v>
      </c>
      <c r="F930" t="s">
        <v>37</v>
      </c>
      <c r="G930">
        <v>21</v>
      </c>
      <c r="H930" t="str" cm="1">
        <f t="array" ref="H930">_xlfn.IFS(G930&gt;15,"Long Commute",G930&gt;5,"Moderate",G930&lt;=5,"Near Office")</f>
        <v>Long Commute</v>
      </c>
      <c r="I930" t="s">
        <v>83</v>
      </c>
      <c r="J930" t="s">
        <v>38</v>
      </c>
      <c r="K930">
        <v>1</v>
      </c>
      <c r="L930" t="s">
        <v>46</v>
      </c>
      <c r="M930">
        <v>44</v>
      </c>
      <c r="N930">
        <v>2</v>
      </c>
      <c r="O930">
        <v>2</v>
      </c>
      <c r="P930" t="s">
        <v>40</v>
      </c>
      <c r="Q930" t="s">
        <v>77</v>
      </c>
      <c r="R930" t="s">
        <v>48</v>
      </c>
      <c r="S930">
        <v>6120</v>
      </c>
      <c r="T930" t="str" cm="1">
        <f t="array" ref="T930">_xlfn.IFS(S930&gt;=10000,"High (&gt;10k)",S930&gt;=5000,"Medium (5k-10k)",S930&lt;5000,"Low (&lt;5k)")</f>
        <v>Medium (5k-10k)</v>
      </c>
      <c r="U930">
        <v>3567</v>
      </c>
      <c r="V930">
        <v>3</v>
      </c>
      <c r="W930" t="s">
        <v>35</v>
      </c>
      <c r="X930">
        <v>12</v>
      </c>
      <c r="Y930">
        <v>3</v>
      </c>
      <c r="Z930">
        <v>4</v>
      </c>
      <c r="AA930">
        <v>2</v>
      </c>
      <c r="AB930">
        <v>8</v>
      </c>
      <c r="AC930">
        <v>2</v>
      </c>
      <c r="AD930" t="s">
        <v>79</v>
      </c>
      <c r="AE930">
        <v>5</v>
      </c>
      <c r="AF930" t="str" cm="1">
        <f t="array" ref="AF930">_xlfn.IFS(AE930&gt;=10,"Veteran (10y+)",AE930&gt;=3,"Established (3-10y)",AE930&lt;3,"New Hire (&lt;3y)")</f>
        <v>Established (3-10y)</v>
      </c>
      <c r="AG930">
        <v>4</v>
      </c>
      <c r="AH930">
        <v>1</v>
      </c>
      <c r="AI930">
        <v>4</v>
      </c>
    </row>
    <row r="931" spans="1:35">
      <c r="A931">
        <v>39</v>
      </c>
      <c r="B931" t="str">
        <f t="shared" si="14"/>
        <v>Middle Aged</v>
      </c>
      <c r="C931">
        <v>0</v>
      </c>
      <c r="D931" t="s">
        <v>55</v>
      </c>
      <c r="E931">
        <v>1485</v>
      </c>
      <c r="F931" t="s">
        <v>45</v>
      </c>
      <c r="G931">
        <v>25</v>
      </c>
      <c r="H931" t="str" cm="1">
        <f t="array" ref="H931">_xlfn.IFS(G931&gt;15,"Long Commute",G931&gt;5,"Moderate",G931&lt;=5,"Near Office")</f>
        <v>Long Commute</v>
      </c>
      <c r="I931" t="s">
        <v>76</v>
      </c>
      <c r="J931" t="s">
        <v>38</v>
      </c>
      <c r="K931">
        <v>3</v>
      </c>
      <c r="L931" t="s">
        <v>46</v>
      </c>
      <c r="M931">
        <v>71</v>
      </c>
      <c r="N931">
        <v>3</v>
      </c>
      <c r="O931">
        <v>3</v>
      </c>
      <c r="P931" t="s">
        <v>54</v>
      </c>
      <c r="Q931" t="s">
        <v>73</v>
      </c>
      <c r="R931" t="s">
        <v>48</v>
      </c>
      <c r="S931">
        <v>10920</v>
      </c>
      <c r="T931" t="str" cm="1">
        <f t="array" ref="T931">_xlfn.IFS(S931&gt;=10000,"High (&gt;10k)",S931&gt;=5000,"Medium (5k-10k)",S931&lt;5000,"Low (&lt;5k)")</f>
        <v>High (&gt;10k)</v>
      </c>
      <c r="U931">
        <v>3449</v>
      </c>
      <c r="V931">
        <v>3</v>
      </c>
      <c r="W931" t="s">
        <v>43</v>
      </c>
      <c r="X931">
        <v>21</v>
      </c>
      <c r="Y931">
        <v>4</v>
      </c>
      <c r="Z931">
        <v>2</v>
      </c>
      <c r="AA931">
        <v>1</v>
      </c>
      <c r="AB931">
        <v>13</v>
      </c>
      <c r="AC931">
        <v>2</v>
      </c>
      <c r="AD931" t="s">
        <v>74</v>
      </c>
      <c r="AE931">
        <v>6</v>
      </c>
      <c r="AF931" t="str" cm="1">
        <f t="array" ref="AF931">_xlfn.IFS(AE931&gt;=10,"Veteran (10y+)",AE931&gt;=3,"Established (3-10y)",AE931&lt;3,"New Hire (&lt;3y)")</f>
        <v>Established (3-10y)</v>
      </c>
      <c r="AG931">
        <v>4</v>
      </c>
      <c r="AH931">
        <v>0</v>
      </c>
      <c r="AI931">
        <v>5</v>
      </c>
    </row>
    <row r="932" spans="1:35">
      <c r="A932">
        <v>39</v>
      </c>
      <c r="B932" t="str">
        <f t="shared" si="14"/>
        <v>Middle Aged</v>
      </c>
      <c r="C932">
        <v>1</v>
      </c>
      <c r="D932" t="s">
        <v>55</v>
      </c>
      <c r="E932">
        <v>592</v>
      </c>
      <c r="F932" t="s">
        <v>45</v>
      </c>
      <c r="G932">
        <v>2</v>
      </c>
      <c r="H932" t="str" cm="1">
        <f t="array" ref="H932">_xlfn.IFS(G932&gt;15,"Long Commute",G932&gt;5,"Moderate",G932&lt;=5,"Near Office")</f>
        <v>Near Office</v>
      </c>
      <c r="I932" t="s">
        <v>72</v>
      </c>
      <c r="J932" t="s">
        <v>38</v>
      </c>
      <c r="K932">
        <v>1</v>
      </c>
      <c r="L932" t="s">
        <v>39</v>
      </c>
      <c r="M932">
        <v>54</v>
      </c>
      <c r="N932">
        <v>2</v>
      </c>
      <c r="O932">
        <v>1</v>
      </c>
      <c r="P932" t="s">
        <v>50</v>
      </c>
      <c r="Q932" t="s">
        <v>82</v>
      </c>
      <c r="R932" t="s">
        <v>41</v>
      </c>
      <c r="S932">
        <v>3646</v>
      </c>
      <c r="T932" t="str" cm="1">
        <f t="array" ref="T932">_xlfn.IFS(S932&gt;=10000,"High (&gt;10k)",S932&gt;=5000,"Medium (5k-10k)",S932&lt;5000,"Low (&lt;5k)")</f>
        <v>Low (&lt;5k)</v>
      </c>
      <c r="U932">
        <v>17181</v>
      </c>
      <c r="V932">
        <v>2</v>
      </c>
      <c r="W932" t="s">
        <v>35</v>
      </c>
      <c r="X932">
        <v>23</v>
      </c>
      <c r="Y932">
        <v>4</v>
      </c>
      <c r="Z932">
        <v>2</v>
      </c>
      <c r="AA932">
        <v>0</v>
      </c>
      <c r="AB932">
        <v>11</v>
      </c>
      <c r="AC932">
        <v>2</v>
      </c>
      <c r="AD932" t="s">
        <v>79</v>
      </c>
      <c r="AE932">
        <v>1</v>
      </c>
      <c r="AF932" t="str" cm="1">
        <f t="array" ref="AF932">_xlfn.IFS(AE932&gt;=10,"Veteran (10y+)",AE932&gt;=3,"Established (3-10y)",AE932&lt;3,"New Hire (&lt;3y)")</f>
        <v>New Hire (&lt;3y)</v>
      </c>
      <c r="AG932">
        <v>0</v>
      </c>
      <c r="AH932">
        <v>0</v>
      </c>
      <c r="AI932">
        <v>0</v>
      </c>
    </row>
    <row r="933" spans="1:35">
      <c r="A933">
        <v>39</v>
      </c>
      <c r="B933" t="str">
        <f t="shared" si="14"/>
        <v>Middle Aged</v>
      </c>
      <c r="C933">
        <v>0</v>
      </c>
      <c r="D933" t="s">
        <v>36</v>
      </c>
      <c r="E933">
        <v>1089</v>
      </c>
      <c r="F933" t="s">
        <v>45</v>
      </c>
      <c r="G933">
        <v>6</v>
      </c>
      <c r="H933" t="str" cm="1">
        <f t="array" ref="H933">_xlfn.IFS(G933&gt;15,"Long Commute",G933&gt;5,"Moderate",G933&lt;=5,"Near Office")</f>
        <v>Moderate</v>
      </c>
      <c r="I933" t="s">
        <v>72</v>
      </c>
      <c r="J933" t="s">
        <v>38</v>
      </c>
      <c r="K933">
        <v>2</v>
      </c>
      <c r="L933" t="s">
        <v>39</v>
      </c>
      <c r="M933">
        <v>32</v>
      </c>
      <c r="N933">
        <v>3</v>
      </c>
      <c r="O933">
        <v>3</v>
      </c>
      <c r="P933" t="s">
        <v>53</v>
      </c>
      <c r="Q933" t="s">
        <v>75</v>
      </c>
      <c r="R933" t="s">
        <v>41</v>
      </c>
      <c r="S933">
        <v>8376</v>
      </c>
      <c r="T933" t="str" cm="1">
        <f t="array" ref="T933">_xlfn.IFS(S933&gt;=10000,"High (&gt;10k)",S933&gt;=5000,"Medium (5k-10k)",S933&lt;5000,"Low (&lt;5k)")</f>
        <v>Medium (5k-10k)</v>
      </c>
      <c r="U933">
        <v>9150</v>
      </c>
      <c r="V933">
        <v>4</v>
      </c>
      <c r="W933" t="s">
        <v>43</v>
      </c>
      <c r="X933">
        <v>18</v>
      </c>
      <c r="Y933">
        <v>3</v>
      </c>
      <c r="Z933">
        <v>4</v>
      </c>
      <c r="AA933">
        <v>0</v>
      </c>
      <c r="AB933">
        <v>9</v>
      </c>
      <c r="AC933">
        <v>3</v>
      </c>
      <c r="AD933" t="s">
        <v>74</v>
      </c>
      <c r="AE933">
        <v>2</v>
      </c>
      <c r="AF933" t="str" cm="1">
        <f t="array" ref="AF933">_xlfn.IFS(AE933&gt;=10,"Veteran (10y+)",AE933&gt;=3,"Established (3-10y)",AE933&lt;3,"New Hire (&lt;3y)")</f>
        <v>New Hire (&lt;3y)</v>
      </c>
      <c r="AG933">
        <v>0</v>
      </c>
      <c r="AH933">
        <v>2</v>
      </c>
      <c r="AI933">
        <v>2</v>
      </c>
    </row>
    <row r="934" spans="1:35">
      <c r="A934">
        <v>39</v>
      </c>
      <c r="B934" t="str">
        <f t="shared" si="14"/>
        <v>Middle Aged</v>
      </c>
      <c r="C934">
        <v>0</v>
      </c>
      <c r="D934" t="s">
        <v>36</v>
      </c>
      <c r="E934">
        <v>1462</v>
      </c>
      <c r="F934" t="s">
        <v>37</v>
      </c>
      <c r="G934">
        <v>6</v>
      </c>
      <c r="H934" t="str" cm="1">
        <f t="array" ref="H934">_xlfn.IFS(G934&gt;15,"Long Commute",G934&gt;5,"Moderate",G934&lt;=5,"Near Office")</f>
        <v>Moderate</v>
      </c>
      <c r="I934" t="s">
        <v>72</v>
      </c>
      <c r="J934" t="s">
        <v>51</v>
      </c>
      <c r="K934">
        <v>4</v>
      </c>
      <c r="L934" t="s">
        <v>46</v>
      </c>
      <c r="M934">
        <v>38</v>
      </c>
      <c r="N934">
        <v>4</v>
      </c>
      <c r="O934">
        <v>3</v>
      </c>
      <c r="P934" t="s">
        <v>40</v>
      </c>
      <c r="Q934" t="s">
        <v>73</v>
      </c>
      <c r="R934" t="s">
        <v>48</v>
      </c>
      <c r="S934">
        <v>8237</v>
      </c>
      <c r="T934" t="str" cm="1">
        <f t="array" ref="T934">_xlfn.IFS(S934&gt;=10000,"High (&gt;10k)",S934&gt;=5000,"Medium (5k-10k)",S934&lt;5000,"Low (&lt;5k)")</f>
        <v>Medium (5k-10k)</v>
      </c>
      <c r="U934">
        <v>4658</v>
      </c>
      <c r="V934">
        <v>2</v>
      </c>
      <c r="W934" t="s">
        <v>43</v>
      </c>
      <c r="X934">
        <v>11</v>
      </c>
      <c r="Y934">
        <v>3</v>
      </c>
      <c r="Z934">
        <v>1</v>
      </c>
      <c r="AA934">
        <v>1</v>
      </c>
      <c r="AB934">
        <v>11</v>
      </c>
      <c r="AC934">
        <v>3</v>
      </c>
      <c r="AD934" t="s">
        <v>74</v>
      </c>
      <c r="AE934">
        <v>7</v>
      </c>
      <c r="AF934" t="str" cm="1">
        <f t="array" ref="AF934">_xlfn.IFS(AE934&gt;=10,"Veteran (10y+)",AE934&gt;=3,"Established (3-10y)",AE934&lt;3,"New Hire (&lt;3y)")</f>
        <v>Established (3-10y)</v>
      </c>
      <c r="AG934">
        <v>6</v>
      </c>
      <c r="AH934">
        <v>7</v>
      </c>
      <c r="AI934">
        <v>6</v>
      </c>
    </row>
    <row r="935" spans="1:35">
      <c r="A935">
        <v>39</v>
      </c>
      <c r="B935" t="str">
        <f t="shared" si="14"/>
        <v>Middle Aged</v>
      </c>
      <c r="C935">
        <v>0</v>
      </c>
      <c r="D935" t="s">
        <v>36</v>
      </c>
      <c r="E935">
        <v>1387</v>
      </c>
      <c r="F935" t="s">
        <v>45</v>
      </c>
      <c r="G935">
        <v>10</v>
      </c>
      <c r="H935" t="str" cm="1">
        <f t="array" ref="H935">_xlfn.IFS(G935&gt;15,"Long Commute",G935&gt;5,"Moderate",G935&lt;=5,"Near Office")</f>
        <v>Moderate</v>
      </c>
      <c r="I935" t="s">
        <v>84</v>
      </c>
      <c r="J935" t="s">
        <v>51</v>
      </c>
      <c r="K935">
        <v>2</v>
      </c>
      <c r="L935" t="s">
        <v>46</v>
      </c>
      <c r="M935">
        <v>76</v>
      </c>
      <c r="N935">
        <v>3</v>
      </c>
      <c r="O935">
        <v>2</v>
      </c>
      <c r="P935" t="s">
        <v>53</v>
      </c>
      <c r="Q935" t="s">
        <v>82</v>
      </c>
      <c r="R935" t="s">
        <v>48</v>
      </c>
      <c r="S935">
        <v>5377</v>
      </c>
      <c r="T935" t="str" cm="1">
        <f t="array" ref="T935">_xlfn.IFS(S935&gt;=10000,"High (&gt;10k)",S935&gt;=5000,"Medium (5k-10k)",S935&lt;5000,"Low (&lt;5k)")</f>
        <v>Medium (5k-10k)</v>
      </c>
      <c r="U935">
        <v>3835</v>
      </c>
      <c r="V935">
        <v>2</v>
      </c>
      <c r="W935" t="s">
        <v>43</v>
      </c>
      <c r="X935">
        <v>13</v>
      </c>
      <c r="Y935">
        <v>3</v>
      </c>
      <c r="Z935">
        <v>4</v>
      </c>
      <c r="AA935">
        <v>3</v>
      </c>
      <c r="AB935">
        <v>10</v>
      </c>
      <c r="AC935">
        <v>3</v>
      </c>
      <c r="AD935" t="s">
        <v>74</v>
      </c>
      <c r="AE935">
        <v>7</v>
      </c>
      <c r="AF935" t="str" cm="1">
        <f t="array" ref="AF935">_xlfn.IFS(AE935&gt;=10,"Veteran (10y+)",AE935&gt;=3,"Established (3-10y)",AE935&lt;3,"New Hire (&lt;3y)")</f>
        <v>Established (3-10y)</v>
      </c>
      <c r="AG935">
        <v>7</v>
      </c>
      <c r="AH935">
        <v>7</v>
      </c>
      <c r="AI935">
        <v>7</v>
      </c>
    </row>
    <row r="936" spans="1:35">
      <c r="A936">
        <v>39</v>
      </c>
      <c r="B936" t="str">
        <f t="shared" si="14"/>
        <v>Middle Aged</v>
      </c>
      <c r="C936">
        <v>0</v>
      </c>
      <c r="D936" t="s">
        <v>36</v>
      </c>
      <c r="E936">
        <v>170</v>
      </c>
      <c r="F936" t="s">
        <v>45</v>
      </c>
      <c r="G936">
        <v>3</v>
      </c>
      <c r="H936" t="str" cm="1">
        <f t="array" ref="H936">_xlfn.IFS(G936&gt;15,"Long Commute",G936&gt;5,"Moderate",G936&lt;=5,"Near Office")</f>
        <v>Near Office</v>
      </c>
      <c r="I936" t="s">
        <v>76</v>
      </c>
      <c r="J936" t="s">
        <v>51</v>
      </c>
      <c r="K936">
        <v>3</v>
      </c>
      <c r="L936" t="s">
        <v>46</v>
      </c>
      <c r="M936">
        <v>76</v>
      </c>
      <c r="N936">
        <v>2</v>
      </c>
      <c r="O936">
        <v>2</v>
      </c>
      <c r="P936" t="s">
        <v>50</v>
      </c>
      <c r="Q936" t="s">
        <v>73</v>
      </c>
      <c r="R936" t="s">
        <v>52</v>
      </c>
      <c r="S936">
        <v>3069</v>
      </c>
      <c r="T936" t="str" cm="1">
        <f t="array" ref="T936">_xlfn.IFS(S936&gt;=10000,"High (&gt;10k)",S936&gt;=5000,"Medium (5k-10k)",S936&lt;5000,"Low (&lt;5k)")</f>
        <v>Low (&lt;5k)</v>
      </c>
      <c r="U936">
        <v>10302</v>
      </c>
      <c r="V936">
        <v>0</v>
      </c>
      <c r="W936" t="s">
        <v>43</v>
      </c>
      <c r="X936">
        <v>15</v>
      </c>
      <c r="Y936">
        <v>3</v>
      </c>
      <c r="Z936">
        <v>4</v>
      </c>
      <c r="AA936">
        <v>1</v>
      </c>
      <c r="AB936">
        <v>11</v>
      </c>
      <c r="AC936">
        <v>3</v>
      </c>
      <c r="AD936" t="s">
        <v>74</v>
      </c>
      <c r="AE936">
        <v>10</v>
      </c>
      <c r="AF936" t="str" cm="1">
        <f t="array" ref="AF936">_xlfn.IFS(AE936&gt;=10,"Veteran (10y+)",AE936&gt;=3,"Established (3-10y)",AE936&lt;3,"New Hire (&lt;3y)")</f>
        <v>Veteran (10y+)</v>
      </c>
      <c r="AG936">
        <v>8</v>
      </c>
      <c r="AH936">
        <v>0</v>
      </c>
      <c r="AI936">
        <v>7</v>
      </c>
    </row>
    <row r="937" spans="1:35">
      <c r="A937">
        <v>39</v>
      </c>
      <c r="B937" t="str">
        <f t="shared" si="14"/>
        <v>Middle Aged</v>
      </c>
      <c r="C937">
        <v>0</v>
      </c>
      <c r="D937" t="s">
        <v>44</v>
      </c>
      <c r="E937">
        <v>711</v>
      </c>
      <c r="F937" t="s">
        <v>45</v>
      </c>
      <c r="G937">
        <v>4</v>
      </c>
      <c r="H937" t="str" cm="1">
        <f t="array" ref="H937">_xlfn.IFS(G937&gt;15,"Long Commute",G937&gt;5,"Moderate",G937&lt;=5,"Near Office")</f>
        <v>Near Office</v>
      </c>
      <c r="I937" t="s">
        <v>72</v>
      </c>
      <c r="J937" t="s">
        <v>51</v>
      </c>
      <c r="K937">
        <v>1</v>
      </c>
      <c r="L937" t="s">
        <v>39</v>
      </c>
      <c r="M937">
        <v>81</v>
      </c>
      <c r="N937">
        <v>3</v>
      </c>
      <c r="O937">
        <v>2</v>
      </c>
      <c r="P937" t="s">
        <v>53</v>
      </c>
      <c r="Q937" t="s">
        <v>73</v>
      </c>
      <c r="R937" t="s">
        <v>41</v>
      </c>
      <c r="S937">
        <v>5042</v>
      </c>
      <c r="T937" t="str" cm="1">
        <f t="array" ref="T937">_xlfn.IFS(S937&gt;=10000,"High (&gt;10k)",S937&gt;=5000,"Medium (5k-10k)",S937&lt;5000,"Low (&lt;5k)")</f>
        <v>Medium (5k-10k)</v>
      </c>
      <c r="U937">
        <v>3140</v>
      </c>
      <c r="V937">
        <v>0</v>
      </c>
      <c r="W937" t="s">
        <v>43</v>
      </c>
      <c r="X937">
        <v>13</v>
      </c>
      <c r="Y937">
        <v>3</v>
      </c>
      <c r="Z937">
        <v>4</v>
      </c>
      <c r="AA937">
        <v>0</v>
      </c>
      <c r="AB937">
        <v>10</v>
      </c>
      <c r="AC937">
        <v>2</v>
      </c>
      <c r="AD937" t="s">
        <v>80</v>
      </c>
      <c r="AE937">
        <v>9</v>
      </c>
      <c r="AF937" t="str" cm="1">
        <f t="array" ref="AF937">_xlfn.IFS(AE937&gt;=10,"Veteran (10y+)",AE937&gt;=3,"Established (3-10y)",AE937&lt;3,"New Hire (&lt;3y)")</f>
        <v>Established (3-10y)</v>
      </c>
      <c r="AG937">
        <v>2</v>
      </c>
      <c r="AH937">
        <v>3</v>
      </c>
      <c r="AI937">
        <v>8</v>
      </c>
    </row>
    <row r="938" spans="1:35">
      <c r="A938">
        <v>39</v>
      </c>
      <c r="B938" t="str">
        <f t="shared" si="14"/>
        <v>Middle Aged</v>
      </c>
      <c r="C938">
        <v>0</v>
      </c>
      <c r="D938" t="s">
        <v>36</v>
      </c>
      <c r="E938">
        <v>492</v>
      </c>
      <c r="F938" t="s">
        <v>45</v>
      </c>
      <c r="G938">
        <v>12</v>
      </c>
      <c r="H938" t="str" cm="1">
        <f t="array" ref="H938">_xlfn.IFS(G938&gt;15,"Long Commute",G938&gt;5,"Moderate",G938&lt;=5,"Near Office")</f>
        <v>Moderate</v>
      </c>
      <c r="I938" t="s">
        <v>72</v>
      </c>
      <c r="J938" t="s">
        <v>51</v>
      </c>
      <c r="K938">
        <v>4</v>
      </c>
      <c r="L938" t="s">
        <v>46</v>
      </c>
      <c r="M938">
        <v>66</v>
      </c>
      <c r="N938">
        <v>3</v>
      </c>
      <c r="O938">
        <v>2</v>
      </c>
      <c r="P938" t="s">
        <v>53</v>
      </c>
      <c r="Q938" t="s">
        <v>75</v>
      </c>
      <c r="R938" t="s">
        <v>48</v>
      </c>
      <c r="S938">
        <v>5295</v>
      </c>
      <c r="T938" t="str" cm="1">
        <f t="array" ref="T938">_xlfn.IFS(S938&gt;=10000,"High (&gt;10k)",S938&gt;=5000,"Medium (5k-10k)",S938&lt;5000,"Low (&lt;5k)")</f>
        <v>Medium (5k-10k)</v>
      </c>
      <c r="U938">
        <v>7693</v>
      </c>
      <c r="V938">
        <v>4</v>
      </c>
      <c r="W938" t="s">
        <v>43</v>
      </c>
      <c r="X938">
        <v>21</v>
      </c>
      <c r="Y938">
        <v>4</v>
      </c>
      <c r="Z938">
        <v>3</v>
      </c>
      <c r="AA938">
        <v>0</v>
      </c>
      <c r="AB938">
        <v>7</v>
      </c>
      <c r="AC938">
        <v>3</v>
      </c>
      <c r="AD938" t="s">
        <v>74</v>
      </c>
      <c r="AE938">
        <v>5</v>
      </c>
      <c r="AF938" t="str" cm="1">
        <f t="array" ref="AF938">_xlfn.IFS(AE938&gt;=10,"Veteran (10y+)",AE938&gt;=3,"Established (3-10y)",AE938&lt;3,"New Hire (&lt;3y)")</f>
        <v>Established (3-10y)</v>
      </c>
      <c r="AG938">
        <v>4</v>
      </c>
      <c r="AH938">
        <v>1</v>
      </c>
      <c r="AI938">
        <v>0</v>
      </c>
    </row>
    <row r="939" spans="1:35">
      <c r="A939">
        <v>39</v>
      </c>
      <c r="B939" t="str">
        <f t="shared" si="14"/>
        <v>Middle Aged</v>
      </c>
      <c r="C939">
        <v>0</v>
      </c>
      <c r="D939" t="s">
        <v>55</v>
      </c>
      <c r="E939">
        <v>792</v>
      </c>
      <c r="F939" t="s">
        <v>45</v>
      </c>
      <c r="G939">
        <v>1</v>
      </c>
      <c r="H939" t="str" cm="1">
        <f t="array" ref="H939">_xlfn.IFS(G939&gt;15,"Long Commute",G939&gt;5,"Moderate",G939&lt;=5,"Near Office")</f>
        <v>Near Office</v>
      </c>
      <c r="I939" t="s">
        <v>72</v>
      </c>
      <c r="J939" t="s">
        <v>38</v>
      </c>
      <c r="K939">
        <v>4</v>
      </c>
      <c r="L939" t="s">
        <v>46</v>
      </c>
      <c r="M939">
        <v>77</v>
      </c>
      <c r="N939">
        <v>3</v>
      </c>
      <c r="O939">
        <v>2</v>
      </c>
      <c r="P939" t="s">
        <v>50</v>
      </c>
      <c r="Q939" t="s">
        <v>77</v>
      </c>
      <c r="R939" t="s">
        <v>48</v>
      </c>
      <c r="S939">
        <v>6472</v>
      </c>
      <c r="T939" t="str" cm="1">
        <f t="array" ref="T939">_xlfn.IFS(S939&gt;=10000,"High (&gt;10k)",S939&gt;=5000,"Medium (5k-10k)",S939&lt;5000,"Low (&lt;5k)")</f>
        <v>Medium (5k-10k)</v>
      </c>
      <c r="U939">
        <v>8989</v>
      </c>
      <c r="V939">
        <v>1</v>
      </c>
      <c r="W939" t="s">
        <v>35</v>
      </c>
      <c r="X939">
        <v>15</v>
      </c>
      <c r="Y939">
        <v>3</v>
      </c>
      <c r="Z939">
        <v>4</v>
      </c>
      <c r="AA939">
        <v>1</v>
      </c>
      <c r="AB939">
        <v>9</v>
      </c>
      <c r="AC939">
        <v>2</v>
      </c>
      <c r="AD939" t="s">
        <v>74</v>
      </c>
      <c r="AE939">
        <v>9</v>
      </c>
      <c r="AF939" t="str" cm="1">
        <f t="array" ref="AF939">_xlfn.IFS(AE939&gt;=10,"Veteran (10y+)",AE939&gt;=3,"Established (3-10y)",AE939&lt;3,"New Hire (&lt;3y)")</f>
        <v>Established (3-10y)</v>
      </c>
      <c r="AG939">
        <v>8</v>
      </c>
      <c r="AH939">
        <v>5</v>
      </c>
      <c r="AI939">
        <v>8</v>
      </c>
    </row>
    <row r="940" spans="1:35">
      <c r="A940">
        <v>39</v>
      </c>
      <c r="B940" t="str">
        <f t="shared" si="14"/>
        <v>Middle Aged</v>
      </c>
      <c r="C940">
        <v>0</v>
      </c>
      <c r="D940" t="s">
        <v>36</v>
      </c>
      <c r="E940">
        <v>1253</v>
      </c>
      <c r="F940" t="s">
        <v>45</v>
      </c>
      <c r="G940">
        <v>10</v>
      </c>
      <c r="H940" t="str" cm="1">
        <f t="array" ref="H940">_xlfn.IFS(G940&gt;15,"Long Commute",G940&gt;5,"Moderate",G940&lt;=5,"Near Office")</f>
        <v>Moderate</v>
      </c>
      <c r="I940" t="s">
        <v>78</v>
      </c>
      <c r="J940" t="s">
        <v>51</v>
      </c>
      <c r="K940">
        <v>3</v>
      </c>
      <c r="L940" t="s">
        <v>46</v>
      </c>
      <c r="M940">
        <v>65</v>
      </c>
      <c r="N940">
        <v>3</v>
      </c>
      <c r="O940">
        <v>3</v>
      </c>
      <c r="P940" t="s">
        <v>58</v>
      </c>
      <c r="Q940" t="s">
        <v>73</v>
      </c>
      <c r="R940" t="s">
        <v>41</v>
      </c>
      <c r="S940">
        <v>13464</v>
      </c>
      <c r="T940" t="str" cm="1">
        <f t="array" ref="T940">_xlfn.IFS(S940&gt;=10000,"High (&gt;10k)",S940&gt;=5000,"Medium (5k-10k)",S940&lt;5000,"Low (&lt;5k)")</f>
        <v>High (&gt;10k)</v>
      </c>
      <c r="U940">
        <v>7914</v>
      </c>
      <c r="V940">
        <v>7</v>
      </c>
      <c r="W940" t="s">
        <v>43</v>
      </c>
      <c r="X940">
        <v>21</v>
      </c>
      <c r="Y940">
        <v>4</v>
      </c>
      <c r="Z940">
        <v>3</v>
      </c>
      <c r="AA940">
        <v>0</v>
      </c>
      <c r="AB940">
        <v>9</v>
      </c>
      <c r="AC940">
        <v>3</v>
      </c>
      <c r="AD940" t="s">
        <v>74</v>
      </c>
      <c r="AE940">
        <v>4</v>
      </c>
      <c r="AF940" t="str" cm="1">
        <f t="array" ref="AF940">_xlfn.IFS(AE940&gt;=10,"Veteran (10y+)",AE940&gt;=3,"Established (3-10y)",AE940&lt;3,"New Hire (&lt;3y)")</f>
        <v>Established (3-10y)</v>
      </c>
      <c r="AG940">
        <v>3</v>
      </c>
      <c r="AH940">
        <v>2</v>
      </c>
      <c r="AI940">
        <v>2</v>
      </c>
    </row>
    <row r="941" spans="1:35">
      <c r="A941">
        <v>39</v>
      </c>
      <c r="B941" t="str">
        <f t="shared" si="14"/>
        <v>Middle Aged</v>
      </c>
      <c r="C941">
        <v>0</v>
      </c>
      <c r="D941" t="s">
        <v>44</v>
      </c>
      <c r="E941">
        <v>766</v>
      </c>
      <c r="F941" t="s">
        <v>37</v>
      </c>
      <c r="G941">
        <v>20</v>
      </c>
      <c r="H941" t="str" cm="1">
        <f t="array" ref="H941">_xlfn.IFS(G941&gt;15,"Long Commute",G941&gt;5,"Moderate",G941&lt;=5,"Near Office")</f>
        <v>Long Commute</v>
      </c>
      <c r="I941" t="s">
        <v>72</v>
      </c>
      <c r="J941" t="s">
        <v>38</v>
      </c>
      <c r="K941">
        <v>3</v>
      </c>
      <c r="L941" t="s">
        <v>46</v>
      </c>
      <c r="M941">
        <v>83</v>
      </c>
      <c r="N941">
        <v>3</v>
      </c>
      <c r="O941">
        <v>2</v>
      </c>
      <c r="P941" t="s">
        <v>40</v>
      </c>
      <c r="Q941" t="s">
        <v>77</v>
      </c>
      <c r="R941" t="s">
        <v>52</v>
      </c>
      <c r="S941">
        <v>4127</v>
      </c>
      <c r="T941" t="str" cm="1">
        <f t="array" ref="T941">_xlfn.IFS(S941&gt;=10000,"High (&gt;10k)",S941&gt;=5000,"Medium (5k-10k)",S941&lt;5000,"Low (&lt;5k)")</f>
        <v>Low (&lt;5k)</v>
      </c>
      <c r="U941">
        <v>19188</v>
      </c>
      <c r="V941">
        <v>2</v>
      </c>
      <c r="W941" t="s">
        <v>43</v>
      </c>
      <c r="X941">
        <v>18</v>
      </c>
      <c r="Y941">
        <v>3</v>
      </c>
      <c r="Z941">
        <v>4</v>
      </c>
      <c r="AA941">
        <v>1</v>
      </c>
      <c r="AB941">
        <v>7</v>
      </c>
      <c r="AC941">
        <v>6</v>
      </c>
      <c r="AD941" t="s">
        <v>74</v>
      </c>
      <c r="AE941">
        <v>2</v>
      </c>
      <c r="AF941" t="str" cm="1">
        <f t="array" ref="AF941">_xlfn.IFS(AE941&gt;=10,"Veteran (10y+)",AE941&gt;=3,"Established (3-10y)",AE941&lt;3,"New Hire (&lt;3y)")</f>
        <v>New Hire (&lt;3y)</v>
      </c>
      <c r="AG941">
        <v>1</v>
      </c>
      <c r="AH941">
        <v>2</v>
      </c>
      <c r="AI941">
        <v>2</v>
      </c>
    </row>
    <row r="942" spans="1:35">
      <c r="A942">
        <v>39</v>
      </c>
      <c r="B942" t="str">
        <f t="shared" si="14"/>
        <v>Middle Aged</v>
      </c>
      <c r="C942">
        <v>0</v>
      </c>
      <c r="D942" t="s">
        <v>36</v>
      </c>
      <c r="E942">
        <v>835</v>
      </c>
      <c r="F942" t="s">
        <v>45</v>
      </c>
      <c r="G942">
        <v>19</v>
      </c>
      <c r="H942" t="str" cm="1">
        <f t="array" ref="H942">_xlfn.IFS(G942&gt;15,"Long Commute",G942&gt;5,"Moderate",G942&lt;=5,"Near Office")</f>
        <v>Long Commute</v>
      </c>
      <c r="I942" t="s">
        <v>83</v>
      </c>
      <c r="J942" t="s">
        <v>49</v>
      </c>
      <c r="K942">
        <v>4</v>
      </c>
      <c r="L942" t="s">
        <v>46</v>
      </c>
      <c r="M942">
        <v>41</v>
      </c>
      <c r="N942">
        <v>3</v>
      </c>
      <c r="O942">
        <v>2</v>
      </c>
      <c r="P942" t="s">
        <v>47</v>
      </c>
      <c r="Q942" t="s">
        <v>77</v>
      </c>
      <c r="R942" t="s">
        <v>52</v>
      </c>
      <c r="S942">
        <v>3902</v>
      </c>
      <c r="T942" t="str" cm="1">
        <f t="array" ref="T942">_xlfn.IFS(S942&gt;=10000,"High (&gt;10k)",S942&gt;=5000,"Medium (5k-10k)",S942&lt;5000,"Low (&lt;5k)")</f>
        <v>Low (&lt;5k)</v>
      </c>
      <c r="U942">
        <v>5141</v>
      </c>
      <c r="V942">
        <v>8</v>
      </c>
      <c r="W942" t="s">
        <v>43</v>
      </c>
      <c r="X942">
        <v>14</v>
      </c>
      <c r="Y942">
        <v>3</v>
      </c>
      <c r="Z942">
        <v>2</v>
      </c>
      <c r="AA942">
        <v>3</v>
      </c>
      <c r="AB942">
        <v>7</v>
      </c>
      <c r="AC942">
        <v>2</v>
      </c>
      <c r="AD942" t="s">
        <v>74</v>
      </c>
      <c r="AE942">
        <v>2</v>
      </c>
      <c r="AF942" t="str" cm="1">
        <f t="array" ref="AF942">_xlfn.IFS(AE942&gt;=10,"Veteran (10y+)",AE942&gt;=3,"Established (3-10y)",AE942&lt;3,"New Hire (&lt;3y)")</f>
        <v>New Hire (&lt;3y)</v>
      </c>
      <c r="AG942">
        <v>2</v>
      </c>
      <c r="AH942">
        <v>2</v>
      </c>
      <c r="AI942">
        <v>2</v>
      </c>
    </row>
    <row r="943" spans="1:35">
      <c r="A943">
        <v>39</v>
      </c>
      <c r="B943" t="str">
        <f t="shared" si="14"/>
        <v>Middle Aged</v>
      </c>
      <c r="C943">
        <v>0</v>
      </c>
      <c r="D943" t="s">
        <v>55</v>
      </c>
      <c r="E943">
        <v>1251</v>
      </c>
      <c r="F943" t="s">
        <v>37</v>
      </c>
      <c r="G943">
        <v>21</v>
      </c>
      <c r="H943" t="str" cm="1">
        <f t="array" ref="H943">_xlfn.IFS(G943&gt;15,"Long Commute",G943&gt;5,"Moderate",G943&lt;=5,"Near Office")</f>
        <v>Long Commute</v>
      </c>
      <c r="I943" t="s">
        <v>83</v>
      </c>
      <c r="J943" t="s">
        <v>38</v>
      </c>
      <c r="K943">
        <v>1</v>
      </c>
      <c r="L943" t="s">
        <v>39</v>
      </c>
      <c r="M943">
        <v>32</v>
      </c>
      <c r="N943">
        <v>1</v>
      </c>
      <c r="O943">
        <v>2</v>
      </c>
      <c r="P943" t="s">
        <v>40</v>
      </c>
      <c r="Q943" t="s">
        <v>73</v>
      </c>
      <c r="R943" t="s">
        <v>48</v>
      </c>
      <c r="S943">
        <v>5736</v>
      </c>
      <c r="T943" t="str" cm="1">
        <f t="array" ref="T943">_xlfn.IFS(S943&gt;=10000,"High (&gt;10k)",S943&gt;=5000,"Medium (5k-10k)",S943&lt;5000,"Low (&lt;5k)")</f>
        <v>Medium (5k-10k)</v>
      </c>
      <c r="U943">
        <v>3987</v>
      </c>
      <c r="V943">
        <v>6</v>
      </c>
      <c r="W943" t="s">
        <v>43</v>
      </c>
      <c r="X943">
        <v>19</v>
      </c>
      <c r="Y943">
        <v>3</v>
      </c>
      <c r="Z943">
        <v>3</v>
      </c>
      <c r="AA943">
        <v>1</v>
      </c>
      <c r="AB943">
        <v>10</v>
      </c>
      <c r="AC943">
        <v>1</v>
      </c>
      <c r="AD943" t="s">
        <v>74</v>
      </c>
      <c r="AE943">
        <v>3</v>
      </c>
      <c r="AF943" t="str" cm="1">
        <f t="array" ref="AF943">_xlfn.IFS(AE943&gt;=10,"Veteran (10y+)",AE943&gt;=3,"Established (3-10y)",AE943&lt;3,"New Hire (&lt;3y)")</f>
        <v>Established (3-10y)</v>
      </c>
      <c r="AG943">
        <v>2</v>
      </c>
      <c r="AH943">
        <v>1</v>
      </c>
      <c r="AI943">
        <v>2</v>
      </c>
    </row>
    <row r="944" spans="1:35">
      <c r="A944">
        <v>39</v>
      </c>
      <c r="B944" t="str">
        <f t="shared" si="14"/>
        <v>Middle Aged</v>
      </c>
      <c r="C944">
        <v>0</v>
      </c>
      <c r="D944" t="s">
        <v>36</v>
      </c>
      <c r="E944">
        <v>867</v>
      </c>
      <c r="F944" t="s">
        <v>45</v>
      </c>
      <c r="G944">
        <v>9</v>
      </c>
      <c r="H944" t="str" cm="1">
        <f t="array" ref="H944">_xlfn.IFS(G944&gt;15,"Long Commute",G944&gt;5,"Moderate",G944&lt;=5,"Near Office")</f>
        <v>Moderate</v>
      </c>
      <c r="I944" t="s">
        <v>76</v>
      </c>
      <c r="J944" t="s">
        <v>51</v>
      </c>
      <c r="K944">
        <v>1</v>
      </c>
      <c r="L944" t="s">
        <v>46</v>
      </c>
      <c r="M944">
        <v>87</v>
      </c>
      <c r="N944">
        <v>3</v>
      </c>
      <c r="O944">
        <v>2</v>
      </c>
      <c r="P944" t="s">
        <v>53</v>
      </c>
      <c r="Q944" t="s">
        <v>82</v>
      </c>
      <c r="R944" t="s">
        <v>48</v>
      </c>
      <c r="S944">
        <v>5151</v>
      </c>
      <c r="T944" t="str" cm="1">
        <f t="array" ref="T944">_xlfn.IFS(S944&gt;=10000,"High (&gt;10k)",S944&gt;=5000,"Medium (5k-10k)",S944&lt;5000,"Low (&lt;5k)")</f>
        <v>Medium (5k-10k)</v>
      </c>
      <c r="U944">
        <v>12315</v>
      </c>
      <c r="V944">
        <v>1</v>
      </c>
      <c r="W944" t="s">
        <v>43</v>
      </c>
      <c r="X944">
        <v>25</v>
      </c>
      <c r="Y944">
        <v>4</v>
      </c>
      <c r="Z944">
        <v>4</v>
      </c>
      <c r="AA944">
        <v>1</v>
      </c>
      <c r="AB944">
        <v>10</v>
      </c>
      <c r="AC944">
        <v>3</v>
      </c>
      <c r="AD944" t="s">
        <v>74</v>
      </c>
      <c r="AE944">
        <v>10</v>
      </c>
      <c r="AF944" t="str" cm="1">
        <f t="array" ref="AF944">_xlfn.IFS(AE944&gt;=10,"Veteran (10y+)",AE944&gt;=3,"Established (3-10y)",AE944&lt;3,"New Hire (&lt;3y)")</f>
        <v>Veteran (10y+)</v>
      </c>
      <c r="AG944">
        <v>0</v>
      </c>
      <c r="AH944">
        <v>7</v>
      </c>
      <c r="AI944">
        <v>9</v>
      </c>
    </row>
    <row r="945" spans="1:35">
      <c r="A945">
        <v>39</v>
      </c>
      <c r="B945" t="str">
        <f t="shared" si="14"/>
        <v>Middle Aged</v>
      </c>
      <c r="C945">
        <v>0</v>
      </c>
      <c r="D945" t="s">
        <v>36</v>
      </c>
      <c r="E945">
        <v>119</v>
      </c>
      <c r="F945" t="s">
        <v>37</v>
      </c>
      <c r="G945">
        <v>15</v>
      </c>
      <c r="H945" t="str" cm="1">
        <f t="array" ref="H945">_xlfn.IFS(G945&gt;15,"Long Commute",G945&gt;5,"Moderate",G945&lt;=5,"Near Office")</f>
        <v>Moderate</v>
      </c>
      <c r="I945" t="s">
        <v>83</v>
      </c>
      <c r="J945" t="s">
        <v>59</v>
      </c>
      <c r="K945">
        <v>2</v>
      </c>
      <c r="L945" t="s">
        <v>46</v>
      </c>
      <c r="M945">
        <v>77</v>
      </c>
      <c r="N945">
        <v>3</v>
      </c>
      <c r="O945">
        <v>4</v>
      </c>
      <c r="P945" t="s">
        <v>40</v>
      </c>
      <c r="Q945" t="s">
        <v>82</v>
      </c>
      <c r="R945" t="s">
        <v>41</v>
      </c>
      <c r="S945">
        <v>13341</v>
      </c>
      <c r="T945" t="str" cm="1">
        <f t="array" ref="T945">_xlfn.IFS(S945&gt;=10000,"High (&gt;10k)",S945&gt;=5000,"Medium (5k-10k)",S945&lt;5000,"Low (&lt;5k)")</f>
        <v>High (&gt;10k)</v>
      </c>
      <c r="U945">
        <v>25098</v>
      </c>
      <c r="V945">
        <v>0</v>
      </c>
      <c r="W945" t="s">
        <v>43</v>
      </c>
      <c r="X945">
        <v>12</v>
      </c>
      <c r="Y945">
        <v>3</v>
      </c>
      <c r="Z945">
        <v>1</v>
      </c>
      <c r="AA945">
        <v>0</v>
      </c>
      <c r="AB945">
        <v>21</v>
      </c>
      <c r="AC945">
        <v>3</v>
      </c>
      <c r="AD945" t="s">
        <v>74</v>
      </c>
      <c r="AE945">
        <v>20</v>
      </c>
      <c r="AF945" t="str" cm="1">
        <f t="array" ref="AF945">_xlfn.IFS(AE945&gt;=10,"Veteran (10y+)",AE945&gt;=3,"Established (3-10y)",AE945&lt;3,"New Hire (&lt;3y)")</f>
        <v>Veteran (10y+)</v>
      </c>
      <c r="AG945">
        <v>8</v>
      </c>
      <c r="AH945">
        <v>11</v>
      </c>
      <c r="AI945">
        <v>10</v>
      </c>
    </row>
    <row r="946" spans="1:35">
      <c r="A946">
        <v>39</v>
      </c>
      <c r="B946" t="str">
        <f t="shared" si="14"/>
        <v>Middle Aged</v>
      </c>
      <c r="C946">
        <v>0</v>
      </c>
      <c r="D946" t="s">
        <v>36</v>
      </c>
      <c r="E946">
        <v>116</v>
      </c>
      <c r="F946" t="s">
        <v>45</v>
      </c>
      <c r="G946">
        <v>24</v>
      </c>
      <c r="H946" t="str" cm="1">
        <f t="array" ref="H946">_xlfn.IFS(G946&gt;15,"Long Commute",G946&gt;5,"Moderate",G946&lt;=5,"Near Office")</f>
        <v>Long Commute</v>
      </c>
      <c r="I946" t="s">
        <v>78</v>
      </c>
      <c r="J946" t="s">
        <v>38</v>
      </c>
      <c r="K946">
        <v>1</v>
      </c>
      <c r="L946" t="s">
        <v>46</v>
      </c>
      <c r="M946">
        <v>52</v>
      </c>
      <c r="N946">
        <v>3</v>
      </c>
      <c r="O946">
        <v>2</v>
      </c>
      <c r="P946" t="s">
        <v>47</v>
      </c>
      <c r="Q946" t="s">
        <v>77</v>
      </c>
      <c r="R946" t="s">
        <v>41</v>
      </c>
      <c r="S946">
        <v>4108</v>
      </c>
      <c r="T946" t="str" cm="1">
        <f t="array" ref="T946">_xlfn.IFS(S946&gt;=10000,"High (&gt;10k)",S946&gt;=5000,"Medium (5k-10k)",S946&lt;5000,"Low (&lt;5k)")</f>
        <v>Low (&lt;5k)</v>
      </c>
      <c r="U946">
        <v>5340</v>
      </c>
      <c r="V946">
        <v>7</v>
      </c>
      <c r="W946" t="s">
        <v>43</v>
      </c>
      <c r="X946">
        <v>13</v>
      </c>
      <c r="Y946">
        <v>3</v>
      </c>
      <c r="Z946">
        <v>1</v>
      </c>
      <c r="AA946">
        <v>0</v>
      </c>
      <c r="AB946">
        <v>18</v>
      </c>
      <c r="AC946">
        <v>2</v>
      </c>
      <c r="AD946" t="s">
        <v>74</v>
      </c>
      <c r="AE946">
        <v>7</v>
      </c>
      <c r="AF946" t="str" cm="1">
        <f t="array" ref="AF946">_xlfn.IFS(AE946&gt;=10,"Veteran (10y+)",AE946&gt;=3,"Established (3-10y)",AE946&lt;3,"New Hire (&lt;3y)")</f>
        <v>Established (3-10y)</v>
      </c>
      <c r="AG946">
        <v>7</v>
      </c>
      <c r="AH946">
        <v>1</v>
      </c>
      <c r="AI946">
        <v>7</v>
      </c>
    </row>
    <row r="947" spans="1:35">
      <c r="A947">
        <v>39</v>
      </c>
      <c r="B947" t="str">
        <f t="shared" si="14"/>
        <v>Middle Aged</v>
      </c>
      <c r="C947">
        <v>0</v>
      </c>
      <c r="D947" t="s">
        <v>55</v>
      </c>
      <c r="E947">
        <v>105</v>
      </c>
      <c r="F947" t="s">
        <v>45</v>
      </c>
      <c r="G947">
        <v>9</v>
      </c>
      <c r="H947" t="str" cm="1">
        <f t="array" ref="H947">_xlfn.IFS(G947&gt;15,"Long Commute",G947&gt;5,"Moderate",G947&lt;=5,"Near Office")</f>
        <v>Moderate</v>
      </c>
      <c r="I947" t="s">
        <v>72</v>
      </c>
      <c r="J947" t="s">
        <v>38</v>
      </c>
      <c r="K947">
        <v>4</v>
      </c>
      <c r="L947" t="s">
        <v>46</v>
      </c>
      <c r="M947">
        <v>87</v>
      </c>
      <c r="N947">
        <v>3</v>
      </c>
      <c r="O947">
        <v>5</v>
      </c>
      <c r="P947" t="s">
        <v>56</v>
      </c>
      <c r="Q947" t="s">
        <v>77</v>
      </c>
      <c r="R947" t="s">
        <v>41</v>
      </c>
      <c r="S947">
        <v>19431</v>
      </c>
      <c r="T947" t="str" cm="1">
        <f t="array" ref="T947">_xlfn.IFS(S947&gt;=10000,"High (&gt;10k)",S947&gt;=5000,"Medium (5k-10k)",S947&lt;5000,"Low (&lt;5k)")</f>
        <v>High (&gt;10k)</v>
      </c>
      <c r="U947">
        <v>15302</v>
      </c>
      <c r="V947">
        <v>2</v>
      </c>
      <c r="W947" t="s">
        <v>43</v>
      </c>
      <c r="X947">
        <v>13</v>
      </c>
      <c r="Y947">
        <v>3</v>
      </c>
      <c r="Z947">
        <v>3</v>
      </c>
      <c r="AA947">
        <v>0</v>
      </c>
      <c r="AB947">
        <v>21</v>
      </c>
      <c r="AC947">
        <v>3</v>
      </c>
      <c r="AD947" t="s">
        <v>81</v>
      </c>
      <c r="AE947">
        <v>6</v>
      </c>
      <c r="AF947" t="str" cm="1">
        <f t="array" ref="AF947">_xlfn.IFS(AE947&gt;=10,"Veteran (10y+)",AE947&gt;=3,"Established (3-10y)",AE947&lt;3,"New Hire (&lt;3y)")</f>
        <v>Established (3-10y)</v>
      </c>
      <c r="AG947">
        <v>0</v>
      </c>
      <c r="AH947">
        <v>1</v>
      </c>
      <c r="AI947">
        <v>3</v>
      </c>
    </row>
    <row r="948" spans="1:35">
      <c r="A948">
        <v>39</v>
      </c>
      <c r="B948" t="str">
        <f t="shared" si="14"/>
        <v>Middle Aged</v>
      </c>
      <c r="C948">
        <v>0</v>
      </c>
      <c r="D948" t="s">
        <v>36</v>
      </c>
      <c r="E948">
        <v>722</v>
      </c>
      <c r="F948" t="s">
        <v>37</v>
      </c>
      <c r="G948">
        <v>24</v>
      </c>
      <c r="H948" t="str" cm="1">
        <f t="array" ref="H948">_xlfn.IFS(G948&gt;15,"Long Commute",G948&gt;5,"Moderate",G948&lt;=5,"Near Office")</f>
        <v>Long Commute</v>
      </c>
      <c r="I948" t="s">
        <v>78</v>
      </c>
      <c r="J948" t="s">
        <v>59</v>
      </c>
      <c r="K948">
        <v>2</v>
      </c>
      <c r="L948" t="s">
        <v>39</v>
      </c>
      <c r="M948">
        <v>60</v>
      </c>
      <c r="N948">
        <v>2</v>
      </c>
      <c r="O948">
        <v>4</v>
      </c>
      <c r="P948" t="s">
        <v>40</v>
      </c>
      <c r="Q948" t="s">
        <v>77</v>
      </c>
      <c r="R948" t="s">
        <v>48</v>
      </c>
      <c r="S948">
        <v>12031</v>
      </c>
      <c r="T948" t="str" cm="1">
        <f t="array" ref="T948">_xlfn.IFS(S948&gt;=10000,"High (&gt;10k)",S948&gt;=5000,"Medium (5k-10k)",S948&lt;5000,"Low (&lt;5k)")</f>
        <v>High (&gt;10k)</v>
      </c>
      <c r="U948">
        <v>8828</v>
      </c>
      <c r="V948">
        <v>0</v>
      </c>
      <c r="W948" t="s">
        <v>43</v>
      </c>
      <c r="X948">
        <v>11</v>
      </c>
      <c r="Y948">
        <v>3</v>
      </c>
      <c r="Z948">
        <v>1</v>
      </c>
      <c r="AA948">
        <v>1</v>
      </c>
      <c r="AB948">
        <v>21</v>
      </c>
      <c r="AC948">
        <v>2</v>
      </c>
      <c r="AD948" t="s">
        <v>81</v>
      </c>
      <c r="AE948">
        <v>20</v>
      </c>
      <c r="AF948" t="str" cm="1">
        <f t="array" ref="AF948">_xlfn.IFS(AE948&gt;=10,"Veteran (10y+)",AE948&gt;=3,"Established (3-10y)",AE948&lt;3,"New Hire (&lt;3y)")</f>
        <v>Veteran (10y+)</v>
      </c>
      <c r="AG948">
        <v>9</v>
      </c>
      <c r="AH948">
        <v>9</v>
      </c>
      <c r="AI948">
        <v>6</v>
      </c>
    </row>
    <row r="949" spans="1:35">
      <c r="A949">
        <v>39</v>
      </c>
      <c r="B949" t="str">
        <f t="shared" si="14"/>
        <v>Middle Aged</v>
      </c>
      <c r="C949">
        <v>0</v>
      </c>
      <c r="D949" t="s">
        <v>36</v>
      </c>
      <c r="E949">
        <v>613</v>
      </c>
      <c r="F949" t="s">
        <v>45</v>
      </c>
      <c r="G949">
        <v>6</v>
      </c>
      <c r="H949" t="str" cm="1">
        <f t="array" ref="H949">_xlfn.IFS(G949&gt;15,"Long Commute",G949&gt;5,"Moderate",G949&lt;=5,"Near Office")</f>
        <v>Moderate</v>
      </c>
      <c r="I949" t="s">
        <v>78</v>
      </c>
      <c r="J949" t="s">
        <v>51</v>
      </c>
      <c r="K949">
        <v>4</v>
      </c>
      <c r="L949" t="s">
        <v>46</v>
      </c>
      <c r="M949">
        <v>42</v>
      </c>
      <c r="N949">
        <v>2</v>
      </c>
      <c r="O949">
        <v>3</v>
      </c>
      <c r="P949" t="s">
        <v>54</v>
      </c>
      <c r="Q949" t="s">
        <v>82</v>
      </c>
      <c r="R949" t="s">
        <v>48</v>
      </c>
      <c r="S949">
        <v>9991</v>
      </c>
      <c r="T949" t="str" cm="1">
        <f t="array" ref="T949">_xlfn.IFS(S949&gt;=10000,"High (&gt;10k)",S949&gt;=5000,"Medium (5k-10k)",S949&lt;5000,"Low (&lt;5k)")</f>
        <v>Medium (5k-10k)</v>
      </c>
      <c r="U949">
        <v>21457</v>
      </c>
      <c r="V949">
        <v>4</v>
      </c>
      <c r="W949" t="s">
        <v>43</v>
      </c>
      <c r="X949">
        <v>15</v>
      </c>
      <c r="Y949">
        <v>3</v>
      </c>
      <c r="Z949">
        <v>1</v>
      </c>
      <c r="AA949">
        <v>1</v>
      </c>
      <c r="AB949">
        <v>9</v>
      </c>
      <c r="AC949">
        <v>5</v>
      </c>
      <c r="AD949" t="s">
        <v>74</v>
      </c>
      <c r="AE949">
        <v>7</v>
      </c>
      <c r="AF949" t="str" cm="1">
        <f t="array" ref="AF949">_xlfn.IFS(AE949&gt;=10,"Veteran (10y+)",AE949&gt;=3,"Established (3-10y)",AE949&lt;3,"New Hire (&lt;3y)")</f>
        <v>Established (3-10y)</v>
      </c>
      <c r="AG949">
        <v>7</v>
      </c>
      <c r="AH949">
        <v>1</v>
      </c>
      <c r="AI949">
        <v>7</v>
      </c>
    </row>
    <row r="950" spans="1:35">
      <c r="A950">
        <v>40</v>
      </c>
      <c r="B950" t="str">
        <f t="shared" si="14"/>
        <v>Middle Aged</v>
      </c>
      <c r="C950">
        <v>0</v>
      </c>
      <c r="D950" t="s">
        <v>44</v>
      </c>
      <c r="E950">
        <v>530</v>
      </c>
      <c r="F950" t="s">
        <v>45</v>
      </c>
      <c r="G950">
        <v>1</v>
      </c>
      <c r="H950" t="str" cm="1">
        <f t="array" ref="H950">_xlfn.IFS(G950&gt;15,"Long Commute",G950&gt;5,"Moderate",G950&lt;=5,"Near Office")</f>
        <v>Near Office</v>
      </c>
      <c r="I950" t="s">
        <v>83</v>
      </c>
      <c r="J950" t="s">
        <v>38</v>
      </c>
      <c r="K950">
        <v>3</v>
      </c>
      <c r="L950" t="s">
        <v>46</v>
      </c>
      <c r="M950">
        <v>78</v>
      </c>
      <c r="N950">
        <v>2</v>
      </c>
      <c r="O950">
        <v>4</v>
      </c>
      <c r="P950" t="s">
        <v>54</v>
      </c>
      <c r="Q950" t="s">
        <v>75</v>
      </c>
      <c r="R950" t="s">
        <v>48</v>
      </c>
      <c r="S950">
        <v>13503</v>
      </c>
      <c r="T950" t="str" cm="1">
        <f t="array" ref="T950">_xlfn.IFS(S950&gt;=10000,"High (&gt;10k)",S950&gt;=5000,"Medium (5k-10k)",S950&lt;5000,"Low (&lt;5k)")</f>
        <v>High (&gt;10k)</v>
      </c>
      <c r="U950">
        <v>14115</v>
      </c>
      <c r="V950">
        <v>1</v>
      </c>
      <c r="W950" t="s">
        <v>43</v>
      </c>
      <c r="X950">
        <v>22</v>
      </c>
      <c r="Y950">
        <v>4</v>
      </c>
      <c r="Z950">
        <v>4</v>
      </c>
      <c r="AA950">
        <v>1</v>
      </c>
      <c r="AB950">
        <v>22</v>
      </c>
      <c r="AC950">
        <v>3</v>
      </c>
      <c r="AD950" t="s">
        <v>81</v>
      </c>
      <c r="AE950">
        <v>22</v>
      </c>
      <c r="AF950" t="str" cm="1">
        <f t="array" ref="AF950">_xlfn.IFS(AE950&gt;=10,"Veteran (10y+)",AE950&gt;=3,"Established (3-10y)",AE950&lt;3,"New Hire (&lt;3y)")</f>
        <v>Veteran (10y+)</v>
      </c>
      <c r="AG950">
        <v>3</v>
      </c>
      <c r="AH950">
        <v>11</v>
      </c>
      <c r="AI950">
        <v>11</v>
      </c>
    </row>
    <row r="951" spans="1:35">
      <c r="A951">
        <v>40</v>
      </c>
      <c r="B951" t="str">
        <f t="shared" si="14"/>
        <v>Middle Aged</v>
      </c>
      <c r="C951">
        <v>0</v>
      </c>
      <c r="D951" t="s">
        <v>44</v>
      </c>
      <c r="E951">
        <v>1395</v>
      </c>
      <c r="F951" t="s">
        <v>45</v>
      </c>
      <c r="G951">
        <v>26</v>
      </c>
      <c r="H951" t="str" cm="1">
        <f t="array" ref="H951">_xlfn.IFS(G951&gt;15,"Long Commute",G951&gt;5,"Moderate",G951&lt;=5,"Near Office")</f>
        <v>Long Commute</v>
      </c>
      <c r="I951" t="s">
        <v>72</v>
      </c>
      <c r="J951" t="s">
        <v>51</v>
      </c>
      <c r="K951">
        <v>2</v>
      </c>
      <c r="L951" t="s">
        <v>39</v>
      </c>
      <c r="M951">
        <v>54</v>
      </c>
      <c r="N951">
        <v>3</v>
      </c>
      <c r="O951">
        <v>2</v>
      </c>
      <c r="P951" t="s">
        <v>47</v>
      </c>
      <c r="Q951" t="s">
        <v>75</v>
      </c>
      <c r="R951" t="s">
        <v>52</v>
      </c>
      <c r="S951">
        <v>5605</v>
      </c>
      <c r="T951" t="str" cm="1">
        <f t="array" ref="T951">_xlfn.IFS(S951&gt;=10000,"High (&gt;10k)",S951&gt;=5000,"Medium (5k-10k)",S951&lt;5000,"Low (&lt;5k)")</f>
        <v>Medium (5k-10k)</v>
      </c>
      <c r="U951">
        <v>8504</v>
      </c>
      <c r="V951">
        <v>1</v>
      </c>
      <c r="W951" t="s">
        <v>43</v>
      </c>
      <c r="X951">
        <v>11</v>
      </c>
      <c r="Y951">
        <v>3</v>
      </c>
      <c r="Z951">
        <v>1</v>
      </c>
      <c r="AA951">
        <v>1</v>
      </c>
      <c r="AB951">
        <v>20</v>
      </c>
      <c r="AC951">
        <v>2</v>
      </c>
      <c r="AD951" t="s">
        <v>74</v>
      </c>
      <c r="AE951">
        <v>20</v>
      </c>
      <c r="AF951" t="str" cm="1">
        <f t="array" ref="AF951">_xlfn.IFS(AE951&gt;=10,"Veteran (10y+)",AE951&gt;=3,"Established (3-10y)",AE951&lt;3,"New Hire (&lt;3y)")</f>
        <v>Veteran (10y+)</v>
      </c>
      <c r="AG951">
        <v>7</v>
      </c>
      <c r="AH951">
        <v>2</v>
      </c>
      <c r="AI951">
        <v>13</v>
      </c>
    </row>
    <row r="952" spans="1:35">
      <c r="A952">
        <v>40</v>
      </c>
      <c r="B952" t="str">
        <f t="shared" si="14"/>
        <v>Middle Aged</v>
      </c>
      <c r="C952">
        <v>0</v>
      </c>
      <c r="D952" t="s">
        <v>36</v>
      </c>
      <c r="E952">
        <v>630</v>
      </c>
      <c r="F952" t="s">
        <v>37</v>
      </c>
      <c r="G952">
        <v>4</v>
      </c>
      <c r="H952" t="str" cm="1">
        <f t="array" ref="H952">_xlfn.IFS(G952&gt;15,"Long Commute",G952&gt;5,"Moderate",G952&lt;=5,"Near Office")</f>
        <v>Near Office</v>
      </c>
      <c r="I952" t="s">
        <v>83</v>
      </c>
      <c r="J952" t="s">
        <v>59</v>
      </c>
      <c r="K952">
        <v>3</v>
      </c>
      <c r="L952" t="s">
        <v>46</v>
      </c>
      <c r="M952">
        <v>67</v>
      </c>
      <c r="N952">
        <v>2</v>
      </c>
      <c r="O952">
        <v>3</v>
      </c>
      <c r="P952" t="s">
        <v>40</v>
      </c>
      <c r="Q952" t="s">
        <v>77</v>
      </c>
      <c r="R952" t="s">
        <v>48</v>
      </c>
      <c r="S952">
        <v>10855</v>
      </c>
      <c r="T952" t="str" cm="1">
        <f t="array" ref="T952">_xlfn.IFS(S952&gt;=10000,"High (&gt;10k)",S952&gt;=5000,"Medium (5k-10k)",S952&lt;5000,"Low (&lt;5k)")</f>
        <v>High (&gt;10k)</v>
      </c>
      <c r="U952">
        <v>8552</v>
      </c>
      <c r="V952">
        <v>7</v>
      </c>
      <c r="W952" t="s">
        <v>43</v>
      </c>
      <c r="X952">
        <v>11</v>
      </c>
      <c r="Y952">
        <v>3</v>
      </c>
      <c r="Z952">
        <v>1</v>
      </c>
      <c r="AA952">
        <v>1</v>
      </c>
      <c r="AB952">
        <v>15</v>
      </c>
      <c r="AC952">
        <v>2</v>
      </c>
      <c r="AD952" t="s">
        <v>81</v>
      </c>
      <c r="AE952">
        <v>12</v>
      </c>
      <c r="AF952" t="str" cm="1">
        <f t="array" ref="AF952">_xlfn.IFS(AE952&gt;=10,"Veteran (10y+)",AE952&gt;=3,"Established (3-10y)",AE952&lt;3,"New Hire (&lt;3y)")</f>
        <v>Veteran (10y+)</v>
      </c>
      <c r="AG952">
        <v>11</v>
      </c>
      <c r="AH952">
        <v>2</v>
      </c>
      <c r="AI952">
        <v>11</v>
      </c>
    </row>
    <row r="953" spans="1:35">
      <c r="A953">
        <v>40</v>
      </c>
      <c r="B953" t="str">
        <f t="shared" si="14"/>
        <v>Middle Aged</v>
      </c>
      <c r="C953">
        <v>0</v>
      </c>
      <c r="D953" t="s">
        <v>36</v>
      </c>
      <c r="E953">
        <v>989</v>
      </c>
      <c r="F953" t="s">
        <v>45</v>
      </c>
      <c r="G953">
        <v>4</v>
      </c>
      <c r="H953" t="str" cm="1">
        <f t="array" ref="H953">_xlfn.IFS(G953&gt;15,"Long Commute",G953&gt;5,"Moderate",G953&lt;=5,"Near Office")</f>
        <v>Near Office</v>
      </c>
      <c r="I953" t="s">
        <v>78</v>
      </c>
      <c r="J953" t="s">
        <v>51</v>
      </c>
      <c r="K953">
        <v>4</v>
      </c>
      <c r="L953" t="s">
        <v>39</v>
      </c>
      <c r="M953">
        <v>46</v>
      </c>
      <c r="N953">
        <v>3</v>
      </c>
      <c r="O953">
        <v>5</v>
      </c>
      <c r="P953" t="s">
        <v>56</v>
      </c>
      <c r="Q953" t="s">
        <v>73</v>
      </c>
      <c r="R953" t="s">
        <v>48</v>
      </c>
      <c r="S953">
        <v>19033</v>
      </c>
      <c r="T953" t="str" cm="1">
        <f t="array" ref="T953">_xlfn.IFS(S953&gt;=10000,"High (&gt;10k)",S953&gt;=5000,"Medium (5k-10k)",S953&lt;5000,"Low (&lt;5k)")</f>
        <v>High (&gt;10k)</v>
      </c>
      <c r="U953">
        <v>6499</v>
      </c>
      <c r="V953">
        <v>1</v>
      </c>
      <c r="W953" t="s">
        <v>43</v>
      </c>
      <c r="X953">
        <v>14</v>
      </c>
      <c r="Y953">
        <v>3</v>
      </c>
      <c r="Z953">
        <v>2</v>
      </c>
      <c r="AA953">
        <v>1</v>
      </c>
      <c r="AB953">
        <v>21</v>
      </c>
      <c r="AC953">
        <v>2</v>
      </c>
      <c r="AD953" t="s">
        <v>74</v>
      </c>
      <c r="AE953">
        <v>20</v>
      </c>
      <c r="AF953" t="str" cm="1">
        <f t="array" ref="AF953">_xlfn.IFS(AE953&gt;=10,"Veteran (10y+)",AE953&gt;=3,"Established (3-10y)",AE953&lt;3,"New Hire (&lt;3y)")</f>
        <v>Veteran (10y+)</v>
      </c>
      <c r="AG953">
        <v>8</v>
      </c>
      <c r="AH953">
        <v>9</v>
      </c>
      <c r="AI953">
        <v>9</v>
      </c>
    </row>
    <row r="954" spans="1:35">
      <c r="A954">
        <v>40</v>
      </c>
      <c r="B954" t="str">
        <f t="shared" si="14"/>
        <v>Middle Aged</v>
      </c>
      <c r="C954">
        <v>0</v>
      </c>
      <c r="D954" t="s">
        <v>36</v>
      </c>
      <c r="E954">
        <v>905</v>
      </c>
      <c r="F954" t="s">
        <v>45</v>
      </c>
      <c r="G954">
        <v>19</v>
      </c>
      <c r="H954" t="str" cm="1">
        <f t="array" ref="H954">_xlfn.IFS(G954&gt;15,"Long Commute",G954&gt;5,"Moderate",G954&lt;=5,"Near Office")</f>
        <v>Long Commute</v>
      </c>
      <c r="I954" t="s">
        <v>76</v>
      </c>
      <c r="J954" t="s">
        <v>51</v>
      </c>
      <c r="K954">
        <v>3</v>
      </c>
      <c r="L954" t="s">
        <v>46</v>
      </c>
      <c r="M954">
        <v>99</v>
      </c>
      <c r="N954">
        <v>3</v>
      </c>
      <c r="O954">
        <v>2</v>
      </c>
      <c r="P954" t="s">
        <v>50</v>
      </c>
      <c r="Q954" t="s">
        <v>77</v>
      </c>
      <c r="R954" t="s">
        <v>48</v>
      </c>
      <c r="S954">
        <v>2741</v>
      </c>
      <c r="T954" t="str" cm="1">
        <f t="array" ref="T954">_xlfn.IFS(S954&gt;=10000,"High (&gt;10k)",S954&gt;=5000,"Medium (5k-10k)",S954&lt;5000,"Low (&lt;5k)")</f>
        <v>Low (&lt;5k)</v>
      </c>
      <c r="U954">
        <v>16523</v>
      </c>
      <c r="V954">
        <v>8</v>
      </c>
      <c r="W954" t="s">
        <v>35</v>
      </c>
      <c r="X954">
        <v>15</v>
      </c>
      <c r="Y954">
        <v>3</v>
      </c>
      <c r="Z954">
        <v>3</v>
      </c>
      <c r="AA954">
        <v>1</v>
      </c>
      <c r="AB954">
        <v>15</v>
      </c>
      <c r="AC954">
        <v>2</v>
      </c>
      <c r="AD954" t="s">
        <v>79</v>
      </c>
      <c r="AE954">
        <v>7</v>
      </c>
      <c r="AF954" t="str" cm="1">
        <f t="array" ref="AF954">_xlfn.IFS(AE954&gt;=10,"Veteran (10y+)",AE954&gt;=3,"Established (3-10y)",AE954&lt;3,"New Hire (&lt;3y)")</f>
        <v>Established (3-10y)</v>
      </c>
      <c r="AG954">
        <v>2</v>
      </c>
      <c r="AH954">
        <v>3</v>
      </c>
      <c r="AI954">
        <v>7</v>
      </c>
    </row>
    <row r="955" spans="1:35">
      <c r="A955">
        <v>40</v>
      </c>
      <c r="B955" t="str">
        <f t="shared" si="14"/>
        <v>Middle Aged</v>
      </c>
      <c r="C955">
        <v>0</v>
      </c>
      <c r="D955" t="s">
        <v>55</v>
      </c>
      <c r="E955">
        <v>1151</v>
      </c>
      <c r="F955" t="s">
        <v>45</v>
      </c>
      <c r="G955">
        <v>9</v>
      </c>
      <c r="H955" t="str" cm="1">
        <f t="array" ref="H955">_xlfn.IFS(G955&gt;15,"Long Commute",G955&gt;5,"Moderate",G955&lt;=5,"Near Office")</f>
        <v>Moderate</v>
      </c>
      <c r="I955" t="s">
        <v>84</v>
      </c>
      <c r="J955" t="s">
        <v>38</v>
      </c>
      <c r="K955">
        <v>4</v>
      </c>
      <c r="L955" t="s">
        <v>46</v>
      </c>
      <c r="M955">
        <v>63</v>
      </c>
      <c r="N955">
        <v>2</v>
      </c>
      <c r="O955">
        <v>2</v>
      </c>
      <c r="P955" t="s">
        <v>54</v>
      </c>
      <c r="Q955" t="s">
        <v>77</v>
      </c>
      <c r="R955" t="s">
        <v>48</v>
      </c>
      <c r="S955">
        <v>4876</v>
      </c>
      <c r="T955" t="str" cm="1">
        <f t="array" ref="T955">_xlfn.IFS(S955&gt;=10000,"High (&gt;10k)",S955&gt;=5000,"Medium (5k-10k)",S955&lt;5000,"Low (&lt;5k)")</f>
        <v>Low (&lt;5k)</v>
      </c>
      <c r="U955">
        <v>14242</v>
      </c>
      <c r="V955">
        <v>9</v>
      </c>
      <c r="W955" t="s">
        <v>43</v>
      </c>
      <c r="X955">
        <v>14</v>
      </c>
      <c r="Y955">
        <v>3</v>
      </c>
      <c r="Z955">
        <v>4</v>
      </c>
      <c r="AA955">
        <v>1</v>
      </c>
      <c r="AB955">
        <v>5</v>
      </c>
      <c r="AC955">
        <v>5</v>
      </c>
      <c r="AD955" t="s">
        <v>80</v>
      </c>
      <c r="AE955">
        <v>3</v>
      </c>
      <c r="AF955" t="str" cm="1">
        <f t="array" ref="AF955">_xlfn.IFS(AE955&gt;=10,"Veteran (10y+)",AE955&gt;=3,"Established (3-10y)",AE955&lt;3,"New Hire (&lt;3y)")</f>
        <v>Established (3-10y)</v>
      </c>
      <c r="AG955">
        <v>2</v>
      </c>
      <c r="AH955">
        <v>0</v>
      </c>
      <c r="AI955">
        <v>2</v>
      </c>
    </row>
    <row r="956" spans="1:35">
      <c r="A956">
        <v>40</v>
      </c>
      <c r="B956" t="str">
        <f t="shared" si="14"/>
        <v>Middle Aged</v>
      </c>
      <c r="C956">
        <v>0</v>
      </c>
      <c r="D956" t="s">
        <v>36</v>
      </c>
      <c r="E956">
        <v>1300</v>
      </c>
      <c r="F956" t="s">
        <v>45</v>
      </c>
      <c r="G956">
        <v>24</v>
      </c>
      <c r="H956" t="str" cm="1">
        <f t="array" ref="H956">_xlfn.IFS(G956&gt;15,"Long Commute",G956&gt;5,"Moderate",G956&lt;=5,"Near Office")</f>
        <v>Long Commute</v>
      </c>
      <c r="I956" t="s">
        <v>76</v>
      </c>
      <c r="J956" t="s">
        <v>60</v>
      </c>
      <c r="K956">
        <v>1</v>
      </c>
      <c r="L956" t="s">
        <v>46</v>
      </c>
      <c r="M956">
        <v>62</v>
      </c>
      <c r="N956">
        <v>3</v>
      </c>
      <c r="O956">
        <v>2</v>
      </c>
      <c r="P956" t="s">
        <v>47</v>
      </c>
      <c r="Q956" t="s">
        <v>77</v>
      </c>
      <c r="R956" t="s">
        <v>52</v>
      </c>
      <c r="S956">
        <v>3319</v>
      </c>
      <c r="T956" t="str" cm="1">
        <f t="array" ref="T956">_xlfn.IFS(S956&gt;=10000,"High (&gt;10k)",S956&gt;=5000,"Medium (5k-10k)",S956&lt;5000,"Low (&lt;5k)")</f>
        <v>Low (&lt;5k)</v>
      </c>
      <c r="U956">
        <v>24447</v>
      </c>
      <c r="V956">
        <v>1</v>
      </c>
      <c r="W956" t="s">
        <v>43</v>
      </c>
      <c r="X956">
        <v>17</v>
      </c>
      <c r="Y956">
        <v>3</v>
      </c>
      <c r="Z956">
        <v>1</v>
      </c>
      <c r="AA956">
        <v>2</v>
      </c>
      <c r="AB956">
        <v>9</v>
      </c>
      <c r="AC956">
        <v>3</v>
      </c>
      <c r="AD956" t="s">
        <v>74</v>
      </c>
      <c r="AE956">
        <v>9</v>
      </c>
      <c r="AF956" t="str" cm="1">
        <f t="array" ref="AF956">_xlfn.IFS(AE956&gt;=10,"Veteran (10y+)",AE956&gt;=3,"Established (3-10y)",AE956&lt;3,"New Hire (&lt;3y)")</f>
        <v>Established (3-10y)</v>
      </c>
      <c r="AG956">
        <v>8</v>
      </c>
      <c r="AH956">
        <v>4</v>
      </c>
      <c r="AI956">
        <v>7</v>
      </c>
    </row>
    <row r="957" spans="1:35">
      <c r="A957">
        <v>40</v>
      </c>
      <c r="B957" t="str">
        <f t="shared" si="14"/>
        <v>Middle Aged</v>
      </c>
      <c r="C957">
        <v>0</v>
      </c>
      <c r="D957" t="s">
        <v>36</v>
      </c>
      <c r="E957">
        <v>1416</v>
      </c>
      <c r="F957" t="s">
        <v>45</v>
      </c>
      <c r="G957">
        <v>2</v>
      </c>
      <c r="H957" t="str" cm="1">
        <f t="array" ref="H957">_xlfn.IFS(G957&gt;15,"Long Commute",G957&gt;5,"Moderate",G957&lt;=5,"Near Office")</f>
        <v>Near Office</v>
      </c>
      <c r="I957" t="s">
        <v>76</v>
      </c>
      <c r="J957" t="s">
        <v>51</v>
      </c>
      <c r="K957">
        <v>1</v>
      </c>
      <c r="L957" t="s">
        <v>46</v>
      </c>
      <c r="M957">
        <v>49</v>
      </c>
      <c r="N957">
        <v>3</v>
      </c>
      <c r="O957">
        <v>5</v>
      </c>
      <c r="P957" t="s">
        <v>58</v>
      </c>
      <c r="Q957" t="s">
        <v>73</v>
      </c>
      <c r="R957" t="s">
        <v>52</v>
      </c>
      <c r="S957">
        <v>19436</v>
      </c>
      <c r="T957" t="str" cm="1">
        <f t="array" ref="T957">_xlfn.IFS(S957&gt;=10000,"High (&gt;10k)",S957&gt;=5000,"Medium (5k-10k)",S957&lt;5000,"Low (&lt;5k)")</f>
        <v>High (&gt;10k)</v>
      </c>
      <c r="U957">
        <v>5949</v>
      </c>
      <c r="V957">
        <v>0</v>
      </c>
      <c r="W957" t="s">
        <v>43</v>
      </c>
      <c r="X957">
        <v>19</v>
      </c>
      <c r="Y957">
        <v>3</v>
      </c>
      <c r="Z957">
        <v>4</v>
      </c>
      <c r="AA957">
        <v>1</v>
      </c>
      <c r="AB957">
        <v>22</v>
      </c>
      <c r="AC957">
        <v>5</v>
      </c>
      <c r="AD957" t="s">
        <v>74</v>
      </c>
      <c r="AE957">
        <v>21</v>
      </c>
      <c r="AF957" t="str" cm="1">
        <f t="array" ref="AF957">_xlfn.IFS(AE957&gt;=10,"Veteran (10y+)",AE957&gt;=3,"Established (3-10y)",AE957&lt;3,"New Hire (&lt;3y)")</f>
        <v>Veteran (10y+)</v>
      </c>
      <c r="AG957">
        <v>7</v>
      </c>
      <c r="AH957">
        <v>3</v>
      </c>
      <c r="AI957">
        <v>9</v>
      </c>
    </row>
    <row r="958" spans="1:35">
      <c r="A958">
        <v>40</v>
      </c>
      <c r="B958" t="str">
        <f t="shared" si="14"/>
        <v>Middle Aged</v>
      </c>
      <c r="C958">
        <v>0</v>
      </c>
      <c r="D958" t="s">
        <v>36</v>
      </c>
      <c r="E958">
        <v>1124</v>
      </c>
      <c r="F958" t="s">
        <v>37</v>
      </c>
      <c r="G958">
        <v>1</v>
      </c>
      <c r="H958" t="str" cm="1">
        <f t="array" ref="H958">_xlfn.IFS(G958&gt;15,"Long Commute",G958&gt;5,"Moderate",G958&lt;=5,"Near Office")</f>
        <v>Near Office</v>
      </c>
      <c r="I958" t="s">
        <v>76</v>
      </c>
      <c r="J958" t="s">
        <v>51</v>
      </c>
      <c r="K958">
        <v>2</v>
      </c>
      <c r="L958" t="s">
        <v>46</v>
      </c>
      <c r="M958">
        <v>57</v>
      </c>
      <c r="N958">
        <v>1</v>
      </c>
      <c r="O958">
        <v>2</v>
      </c>
      <c r="P958" t="s">
        <v>40</v>
      </c>
      <c r="Q958" t="s">
        <v>77</v>
      </c>
      <c r="R958" t="s">
        <v>48</v>
      </c>
      <c r="S958">
        <v>7457</v>
      </c>
      <c r="T958" t="str" cm="1">
        <f t="array" ref="T958">_xlfn.IFS(S958&gt;=10000,"High (&gt;10k)",S958&gt;=5000,"Medium (5k-10k)",S958&lt;5000,"Low (&lt;5k)")</f>
        <v>Medium (5k-10k)</v>
      </c>
      <c r="U958">
        <v>13273</v>
      </c>
      <c r="V958">
        <v>2</v>
      </c>
      <c r="W958" t="s">
        <v>35</v>
      </c>
      <c r="X958">
        <v>22</v>
      </c>
      <c r="Y958">
        <v>4</v>
      </c>
      <c r="Z958">
        <v>3</v>
      </c>
      <c r="AA958">
        <v>3</v>
      </c>
      <c r="AB958">
        <v>6</v>
      </c>
      <c r="AC958">
        <v>2</v>
      </c>
      <c r="AD958" t="s">
        <v>81</v>
      </c>
      <c r="AE958">
        <v>4</v>
      </c>
      <c r="AF958" t="str" cm="1">
        <f t="array" ref="AF958">_xlfn.IFS(AE958&gt;=10,"Veteran (10y+)",AE958&gt;=3,"Established (3-10y)",AE958&lt;3,"New Hire (&lt;3y)")</f>
        <v>Established (3-10y)</v>
      </c>
      <c r="AG958">
        <v>3</v>
      </c>
      <c r="AH958">
        <v>0</v>
      </c>
      <c r="AI958">
        <v>2</v>
      </c>
    </row>
    <row r="959" spans="1:35">
      <c r="A959">
        <v>40</v>
      </c>
      <c r="B959" t="str">
        <f t="shared" si="14"/>
        <v>Middle Aged</v>
      </c>
      <c r="C959">
        <v>0</v>
      </c>
      <c r="D959" t="s">
        <v>36</v>
      </c>
      <c r="E959">
        <v>1171</v>
      </c>
      <c r="F959" t="s">
        <v>45</v>
      </c>
      <c r="G959">
        <v>10</v>
      </c>
      <c r="H959" t="str" cm="1">
        <f t="array" ref="H959">_xlfn.IFS(G959&gt;15,"Long Commute",G959&gt;5,"Moderate",G959&lt;=5,"Near Office")</f>
        <v>Moderate</v>
      </c>
      <c r="I959" t="s">
        <v>83</v>
      </c>
      <c r="J959" t="s">
        <v>38</v>
      </c>
      <c r="K959">
        <v>4</v>
      </c>
      <c r="L959" t="s">
        <v>39</v>
      </c>
      <c r="M959">
        <v>46</v>
      </c>
      <c r="N959">
        <v>4</v>
      </c>
      <c r="O959">
        <v>1</v>
      </c>
      <c r="P959" t="s">
        <v>50</v>
      </c>
      <c r="Q959" t="s">
        <v>73</v>
      </c>
      <c r="R959" t="s">
        <v>48</v>
      </c>
      <c r="S959">
        <v>2213</v>
      </c>
      <c r="T959" t="str" cm="1">
        <f t="array" ref="T959">_xlfn.IFS(S959&gt;=10000,"High (&gt;10k)",S959&gt;=5000,"Medium (5k-10k)",S959&lt;5000,"Low (&lt;5k)")</f>
        <v>Low (&lt;5k)</v>
      </c>
      <c r="U959">
        <v>22495</v>
      </c>
      <c r="V959">
        <v>3</v>
      </c>
      <c r="W959" t="s">
        <v>35</v>
      </c>
      <c r="X959">
        <v>13</v>
      </c>
      <c r="Y959">
        <v>3</v>
      </c>
      <c r="Z959">
        <v>3</v>
      </c>
      <c r="AA959">
        <v>1</v>
      </c>
      <c r="AB959">
        <v>10</v>
      </c>
      <c r="AC959">
        <v>3</v>
      </c>
      <c r="AD959" t="s">
        <v>74</v>
      </c>
      <c r="AE959">
        <v>7</v>
      </c>
      <c r="AF959" t="str" cm="1">
        <f t="array" ref="AF959">_xlfn.IFS(AE959&gt;=10,"Veteran (10y+)",AE959&gt;=3,"Established (3-10y)",AE959&lt;3,"New Hire (&lt;3y)")</f>
        <v>Established (3-10y)</v>
      </c>
      <c r="AG959">
        <v>7</v>
      </c>
      <c r="AH959">
        <v>1</v>
      </c>
      <c r="AI959">
        <v>7</v>
      </c>
    </row>
    <row r="960" spans="1:35">
      <c r="A960">
        <v>40</v>
      </c>
      <c r="B960" t="str">
        <f t="shared" si="14"/>
        <v>Middle Aged</v>
      </c>
      <c r="C960">
        <v>1</v>
      </c>
      <c r="D960" t="s">
        <v>36</v>
      </c>
      <c r="E960">
        <v>575</v>
      </c>
      <c r="F960" t="s">
        <v>37</v>
      </c>
      <c r="G960">
        <v>22</v>
      </c>
      <c r="H960" t="str" cm="1">
        <f t="array" ref="H960">_xlfn.IFS(G960&gt;15,"Long Commute",G960&gt;5,"Moderate",G960&lt;=5,"Near Office")</f>
        <v>Long Commute</v>
      </c>
      <c r="I960" t="s">
        <v>76</v>
      </c>
      <c r="J960" t="s">
        <v>59</v>
      </c>
      <c r="K960">
        <v>3</v>
      </c>
      <c r="L960" t="s">
        <v>46</v>
      </c>
      <c r="M960">
        <v>68</v>
      </c>
      <c r="N960">
        <v>2</v>
      </c>
      <c r="O960">
        <v>2</v>
      </c>
      <c r="P960" t="s">
        <v>40</v>
      </c>
      <c r="Q960" t="s">
        <v>73</v>
      </c>
      <c r="R960" t="s">
        <v>48</v>
      </c>
      <c r="S960">
        <v>6380</v>
      </c>
      <c r="T960" t="str" cm="1">
        <f t="array" ref="T960">_xlfn.IFS(S960&gt;=10000,"High (&gt;10k)",S960&gt;=5000,"Medium (5k-10k)",S960&lt;5000,"Low (&lt;5k)")</f>
        <v>Medium (5k-10k)</v>
      </c>
      <c r="U960">
        <v>6110</v>
      </c>
      <c r="V960">
        <v>2</v>
      </c>
      <c r="W960" t="s">
        <v>35</v>
      </c>
      <c r="X960">
        <v>12</v>
      </c>
      <c r="Y960">
        <v>3</v>
      </c>
      <c r="Z960">
        <v>1</v>
      </c>
      <c r="AA960">
        <v>2</v>
      </c>
      <c r="AB960">
        <v>8</v>
      </c>
      <c r="AC960">
        <v>6</v>
      </c>
      <c r="AD960" t="s">
        <v>74</v>
      </c>
      <c r="AE960">
        <v>6</v>
      </c>
      <c r="AF960" t="str" cm="1">
        <f t="array" ref="AF960">_xlfn.IFS(AE960&gt;=10,"Veteran (10y+)",AE960&gt;=3,"Established (3-10y)",AE960&lt;3,"New Hire (&lt;3y)")</f>
        <v>Established (3-10y)</v>
      </c>
      <c r="AG960">
        <v>4</v>
      </c>
      <c r="AH960">
        <v>1</v>
      </c>
      <c r="AI960">
        <v>0</v>
      </c>
    </row>
    <row r="961" spans="1:35">
      <c r="A961">
        <v>40</v>
      </c>
      <c r="B961" t="str">
        <f t="shared" si="14"/>
        <v>Middle Aged</v>
      </c>
      <c r="C961">
        <v>0</v>
      </c>
      <c r="D961" t="s">
        <v>36</v>
      </c>
      <c r="E961">
        <v>759</v>
      </c>
      <c r="F961" t="s">
        <v>37</v>
      </c>
      <c r="G961">
        <v>2</v>
      </c>
      <c r="H961" t="str" cm="1">
        <f t="array" ref="H961">_xlfn.IFS(G961&gt;15,"Long Commute",G961&gt;5,"Moderate",G961&lt;=5,"Near Office")</f>
        <v>Near Office</v>
      </c>
      <c r="I961" t="s">
        <v>76</v>
      </c>
      <c r="J961" t="s">
        <v>59</v>
      </c>
      <c r="K961">
        <v>4</v>
      </c>
      <c r="L961" t="s">
        <v>39</v>
      </c>
      <c r="M961">
        <v>46</v>
      </c>
      <c r="N961">
        <v>3</v>
      </c>
      <c r="O961">
        <v>2</v>
      </c>
      <c r="P961" t="s">
        <v>40</v>
      </c>
      <c r="Q961" t="s">
        <v>75</v>
      </c>
      <c r="R961" t="s">
        <v>52</v>
      </c>
      <c r="S961">
        <v>5715</v>
      </c>
      <c r="T961" t="str" cm="1">
        <f t="array" ref="T961">_xlfn.IFS(S961&gt;=10000,"High (&gt;10k)",S961&gt;=5000,"Medium (5k-10k)",S961&lt;5000,"Low (&lt;5k)")</f>
        <v>Medium (5k-10k)</v>
      </c>
      <c r="U961">
        <v>22553</v>
      </c>
      <c r="V961">
        <v>7</v>
      </c>
      <c r="W961" t="s">
        <v>43</v>
      </c>
      <c r="X961">
        <v>12</v>
      </c>
      <c r="Y961">
        <v>3</v>
      </c>
      <c r="Z961">
        <v>3</v>
      </c>
      <c r="AA961">
        <v>2</v>
      </c>
      <c r="AB961">
        <v>8</v>
      </c>
      <c r="AC961">
        <v>5</v>
      </c>
      <c r="AD961" t="s">
        <v>74</v>
      </c>
      <c r="AE961">
        <v>5</v>
      </c>
      <c r="AF961" t="str" cm="1">
        <f t="array" ref="AF961">_xlfn.IFS(AE961&gt;=10,"Veteran (10y+)",AE961&gt;=3,"Established (3-10y)",AE961&lt;3,"New Hire (&lt;3y)")</f>
        <v>Established (3-10y)</v>
      </c>
      <c r="AG961">
        <v>4</v>
      </c>
      <c r="AH961">
        <v>1</v>
      </c>
      <c r="AI961">
        <v>3</v>
      </c>
    </row>
    <row r="962" spans="1:35">
      <c r="A962">
        <v>40</v>
      </c>
      <c r="B962" t="str">
        <f t="shared" si="14"/>
        <v>Middle Aged</v>
      </c>
      <c r="C962">
        <v>0</v>
      </c>
      <c r="D962" t="s">
        <v>36</v>
      </c>
      <c r="E962">
        <v>555</v>
      </c>
      <c r="F962" t="s">
        <v>45</v>
      </c>
      <c r="G962">
        <v>2</v>
      </c>
      <c r="H962" t="str" cm="1">
        <f t="array" ref="H962">_xlfn.IFS(G962&gt;15,"Long Commute",G962&gt;5,"Moderate",G962&lt;=5,"Near Office")</f>
        <v>Near Office</v>
      </c>
      <c r="I962" t="s">
        <v>72</v>
      </c>
      <c r="J962" t="s">
        <v>51</v>
      </c>
      <c r="K962">
        <v>2</v>
      </c>
      <c r="L962" t="s">
        <v>39</v>
      </c>
      <c r="M962">
        <v>78</v>
      </c>
      <c r="N962">
        <v>2</v>
      </c>
      <c r="O962">
        <v>2</v>
      </c>
      <c r="P962" t="s">
        <v>50</v>
      </c>
      <c r="Q962" t="s">
        <v>73</v>
      </c>
      <c r="R962" t="s">
        <v>48</v>
      </c>
      <c r="S962">
        <v>3448</v>
      </c>
      <c r="T962" t="str" cm="1">
        <f t="array" ref="T962">_xlfn.IFS(S962&gt;=10000,"High (&gt;10k)",S962&gt;=5000,"Medium (5k-10k)",S962&lt;5000,"Low (&lt;5k)")</f>
        <v>Low (&lt;5k)</v>
      </c>
      <c r="U962">
        <v>13436</v>
      </c>
      <c r="V962">
        <v>6</v>
      </c>
      <c r="W962" t="s">
        <v>43</v>
      </c>
      <c r="X962">
        <v>22</v>
      </c>
      <c r="Y962">
        <v>4</v>
      </c>
      <c r="Z962">
        <v>2</v>
      </c>
      <c r="AA962">
        <v>1</v>
      </c>
      <c r="AB962">
        <v>20</v>
      </c>
      <c r="AC962">
        <v>3</v>
      </c>
      <c r="AD962" t="s">
        <v>74</v>
      </c>
      <c r="AE962">
        <v>1</v>
      </c>
      <c r="AF962" t="str" cm="1">
        <f t="array" ref="AF962">_xlfn.IFS(AE962&gt;=10,"Veteran (10y+)",AE962&gt;=3,"Established (3-10y)",AE962&lt;3,"New Hire (&lt;3y)")</f>
        <v>New Hire (&lt;3y)</v>
      </c>
      <c r="AG962">
        <v>0</v>
      </c>
      <c r="AH962">
        <v>0</v>
      </c>
      <c r="AI962">
        <v>0</v>
      </c>
    </row>
    <row r="963" spans="1:35">
      <c r="A963">
        <v>40</v>
      </c>
      <c r="B963" t="str">
        <f t="shared" ref="B963:B1026" si="15">IF(A963&gt;=46,"Senior",IF(A963&gt;=30,"Middle Aged","Young Adults"))</f>
        <v>Middle Aged</v>
      </c>
      <c r="C963">
        <v>0</v>
      </c>
      <c r="D963" t="s">
        <v>36</v>
      </c>
      <c r="E963">
        <v>1398</v>
      </c>
      <c r="F963" t="s">
        <v>37</v>
      </c>
      <c r="G963">
        <v>2</v>
      </c>
      <c r="H963" t="str" cm="1">
        <f t="array" ref="H963">_xlfn.IFS(G963&gt;15,"Long Commute",G963&gt;5,"Moderate",G963&lt;=5,"Near Office")</f>
        <v>Near Office</v>
      </c>
      <c r="I963" t="s">
        <v>83</v>
      </c>
      <c r="J963" t="s">
        <v>38</v>
      </c>
      <c r="K963">
        <v>3</v>
      </c>
      <c r="L963" t="s">
        <v>39</v>
      </c>
      <c r="M963">
        <v>79</v>
      </c>
      <c r="N963">
        <v>3</v>
      </c>
      <c r="O963">
        <v>5</v>
      </c>
      <c r="P963" t="s">
        <v>56</v>
      </c>
      <c r="Q963" t="s">
        <v>73</v>
      </c>
      <c r="R963" t="s">
        <v>48</v>
      </c>
      <c r="S963">
        <v>18041</v>
      </c>
      <c r="T963" t="str" cm="1">
        <f t="array" ref="T963">_xlfn.IFS(S963&gt;=10000,"High (&gt;10k)",S963&gt;=5000,"Medium (5k-10k)",S963&lt;5000,"Low (&lt;5k)")</f>
        <v>High (&gt;10k)</v>
      </c>
      <c r="U963">
        <v>13022</v>
      </c>
      <c r="V963">
        <v>0</v>
      </c>
      <c r="W963" t="s">
        <v>43</v>
      </c>
      <c r="X963">
        <v>14</v>
      </c>
      <c r="Y963">
        <v>3</v>
      </c>
      <c r="Z963">
        <v>4</v>
      </c>
      <c r="AA963">
        <v>0</v>
      </c>
      <c r="AB963">
        <v>21</v>
      </c>
      <c r="AC963">
        <v>2</v>
      </c>
      <c r="AD963" t="s">
        <v>74</v>
      </c>
      <c r="AE963">
        <v>20</v>
      </c>
      <c r="AF963" t="str" cm="1">
        <f t="array" ref="AF963">_xlfn.IFS(AE963&gt;=10,"Veteran (10y+)",AE963&gt;=3,"Established (3-10y)",AE963&lt;3,"New Hire (&lt;3y)")</f>
        <v>Veteran (10y+)</v>
      </c>
      <c r="AG963">
        <v>15</v>
      </c>
      <c r="AH963">
        <v>1</v>
      </c>
      <c r="AI963">
        <v>12</v>
      </c>
    </row>
    <row r="964" spans="1:35">
      <c r="A964">
        <v>40</v>
      </c>
      <c r="B964" t="str">
        <f t="shared" si="15"/>
        <v>Middle Aged</v>
      </c>
      <c r="C964">
        <v>0</v>
      </c>
      <c r="D964" t="s">
        <v>36</v>
      </c>
      <c r="E964">
        <v>302</v>
      </c>
      <c r="F964" t="s">
        <v>45</v>
      </c>
      <c r="G964">
        <v>6</v>
      </c>
      <c r="H964" t="str" cm="1">
        <f t="array" ref="H964">_xlfn.IFS(G964&gt;15,"Long Commute",G964&gt;5,"Moderate",G964&lt;=5,"Near Office")</f>
        <v>Moderate</v>
      </c>
      <c r="I964" t="s">
        <v>72</v>
      </c>
      <c r="J964" t="s">
        <v>38</v>
      </c>
      <c r="K964">
        <v>2</v>
      </c>
      <c r="L964" t="s">
        <v>39</v>
      </c>
      <c r="M964">
        <v>75</v>
      </c>
      <c r="N964">
        <v>3</v>
      </c>
      <c r="O964">
        <v>4</v>
      </c>
      <c r="P964" t="s">
        <v>53</v>
      </c>
      <c r="Q964" t="s">
        <v>73</v>
      </c>
      <c r="R964" t="s">
        <v>41</v>
      </c>
      <c r="S964">
        <v>13237</v>
      </c>
      <c r="T964" t="str" cm="1">
        <f t="array" ref="T964">_xlfn.IFS(S964&gt;=10000,"High (&gt;10k)",S964&gt;=5000,"Medium (5k-10k)",S964&lt;5000,"Low (&lt;5k)")</f>
        <v>High (&gt;10k)</v>
      </c>
      <c r="U964">
        <v>20364</v>
      </c>
      <c r="V964">
        <v>7</v>
      </c>
      <c r="W964" t="s">
        <v>43</v>
      </c>
      <c r="X964">
        <v>15</v>
      </c>
      <c r="Y964">
        <v>3</v>
      </c>
      <c r="Z964">
        <v>3</v>
      </c>
      <c r="AA964">
        <v>0</v>
      </c>
      <c r="AB964">
        <v>22</v>
      </c>
      <c r="AC964">
        <v>3</v>
      </c>
      <c r="AD964" t="s">
        <v>74</v>
      </c>
      <c r="AE964">
        <v>20</v>
      </c>
      <c r="AF964" t="str" cm="1">
        <f t="array" ref="AF964">_xlfn.IFS(AE964&gt;=10,"Veteran (10y+)",AE964&gt;=3,"Established (3-10y)",AE964&lt;3,"New Hire (&lt;3y)")</f>
        <v>Veteran (10y+)</v>
      </c>
      <c r="AG964">
        <v>6</v>
      </c>
      <c r="AH964">
        <v>5</v>
      </c>
      <c r="AI964">
        <v>13</v>
      </c>
    </row>
    <row r="965" spans="1:35">
      <c r="A965">
        <v>40</v>
      </c>
      <c r="B965" t="str">
        <f t="shared" si="15"/>
        <v>Middle Aged</v>
      </c>
      <c r="C965">
        <v>0</v>
      </c>
      <c r="D965" t="s">
        <v>55</v>
      </c>
      <c r="E965">
        <v>1094</v>
      </c>
      <c r="F965" t="s">
        <v>37</v>
      </c>
      <c r="G965">
        <v>28</v>
      </c>
      <c r="H965" t="str" cm="1">
        <f t="array" ref="H965">_xlfn.IFS(G965&gt;15,"Long Commute",G965&gt;5,"Moderate",G965&lt;=5,"Near Office")</f>
        <v>Long Commute</v>
      </c>
      <c r="I965" t="s">
        <v>72</v>
      </c>
      <c r="J965" t="s">
        <v>49</v>
      </c>
      <c r="K965">
        <v>3</v>
      </c>
      <c r="L965" t="s">
        <v>46</v>
      </c>
      <c r="M965">
        <v>58</v>
      </c>
      <c r="N965">
        <v>1</v>
      </c>
      <c r="O965">
        <v>3</v>
      </c>
      <c r="P965" t="s">
        <v>40</v>
      </c>
      <c r="Q965" t="s">
        <v>82</v>
      </c>
      <c r="R965" t="s">
        <v>52</v>
      </c>
      <c r="S965">
        <v>10932</v>
      </c>
      <c r="T965" t="str" cm="1">
        <f t="array" ref="T965">_xlfn.IFS(S965&gt;=10000,"High (&gt;10k)",S965&gt;=5000,"Medium (5k-10k)",S965&lt;5000,"Low (&lt;5k)")</f>
        <v>High (&gt;10k)</v>
      </c>
      <c r="U965">
        <v>11373</v>
      </c>
      <c r="V965">
        <v>3</v>
      </c>
      <c r="W965" t="s">
        <v>43</v>
      </c>
      <c r="X965">
        <v>15</v>
      </c>
      <c r="Y965">
        <v>3</v>
      </c>
      <c r="Z965">
        <v>3</v>
      </c>
      <c r="AA965">
        <v>1</v>
      </c>
      <c r="AB965">
        <v>20</v>
      </c>
      <c r="AC965">
        <v>2</v>
      </c>
      <c r="AD965" t="s">
        <v>74</v>
      </c>
      <c r="AE965">
        <v>1</v>
      </c>
      <c r="AF965" t="str" cm="1">
        <f t="array" ref="AF965">_xlfn.IFS(AE965&gt;=10,"Veteran (10y+)",AE965&gt;=3,"Established (3-10y)",AE965&lt;3,"New Hire (&lt;3y)")</f>
        <v>New Hire (&lt;3y)</v>
      </c>
      <c r="AG965">
        <v>0</v>
      </c>
      <c r="AH965">
        <v>0</v>
      </c>
      <c r="AI965">
        <v>1</v>
      </c>
    </row>
    <row r="966" spans="1:35">
      <c r="A966">
        <v>40</v>
      </c>
      <c r="B966" t="str">
        <f t="shared" si="15"/>
        <v>Middle Aged</v>
      </c>
      <c r="C966">
        <v>0</v>
      </c>
      <c r="D966" t="s">
        <v>44</v>
      </c>
      <c r="E966">
        <v>580</v>
      </c>
      <c r="F966" t="s">
        <v>37</v>
      </c>
      <c r="G966">
        <v>5</v>
      </c>
      <c r="H966" t="str" cm="1">
        <f t="array" ref="H966">_xlfn.IFS(G966&gt;15,"Long Commute",G966&gt;5,"Moderate",G966&lt;=5,"Near Office")</f>
        <v>Near Office</v>
      </c>
      <c r="I966" t="s">
        <v>83</v>
      </c>
      <c r="J966" t="s">
        <v>38</v>
      </c>
      <c r="K966">
        <v>4</v>
      </c>
      <c r="L966" t="s">
        <v>46</v>
      </c>
      <c r="M966">
        <v>48</v>
      </c>
      <c r="N966">
        <v>2</v>
      </c>
      <c r="O966">
        <v>3</v>
      </c>
      <c r="P966" t="s">
        <v>40</v>
      </c>
      <c r="Q966" t="s">
        <v>82</v>
      </c>
      <c r="R966" t="s">
        <v>48</v>
      </c>
      <c r="S966">
        <v>10475</v>
      </c>
      <c r="T966" t="str" cm="1">
        <f t="array" ref="T966">_xlfn.IFS(S966&gt;=10000,"High (&gt;10k)",S966&gt;=5000,"Medium (5k-10k)",S966&lt;5000,"Low (&lt;5k)")</f>
        <v>High (&gt;10k)</v>
      </c>
      <c r="U966">
        <v>23772</v>
      </c>
      <c r="V966">
        <v>5</v>
      </c>
      <c r="W966" t="s">
        <v>35</v>
      </c>
      <c r="X966">
        <v>21</v>
      </c>
      <c r="Y966">
        <v>4</v>
      </c>
      <c r="Z966">
        <v>3</v>
      </c>
      <c r="AA966">
        <v>1</v>
      </c>
      <c r="AB966">
        <v>20</v>
      </c>
      <c r="AC966">
        <v>2</v>
      </c>
      <c r="AD966" t="s">
        <v>74</v>
      </c>
      <c r="AE966">
        <v>18</v>
      </c>
      <c r="AF966" t="str" cm="1">
        <f t="array" ref="AF966">_xlfn.IFS(AE966&gt;=10,"Veteran (10y+)",AE966&gt;=3,"Established (3-10y)",AE966&lt;3,"New Hire (&lt;3y)")</f>
        <v>Veteran (10y+)</v>
      </c>
      <c r="AG966">
        <v>13</v>
      </c>
      <c r="AH966">
        <v>1</v>
      </c>
      <c r="AI966">
        <v>12</v>
      </c>
    </row>
    <row r="967" spans="1:35">
      <c r="A967">
        <v>40</v>
      </c>
      <c r="B967" t="str">
        <f t="shared" si="15"/>
        <v>Middle Aged</v>
      </c>
      <c r="C967">
        <v>0</v>
      </c>
      <c r="D967" t="s">
        <v>36</v>
      </c>
      <c r="E967">
        <v>804</v>
      </c>
      <c r="F967" t="s">
        <v>45</v>
      </c>
      <c r="G967">
        <v>2</v>
      </c>
      <c r="H967" t="str" cm="1">
        <f t="array" ref="H967">_xlfn.IFS(G967&gt;15,"Long Commute",G967&gt;5,"Moderate",G967&lt;=5,"Near Office")</f>
        <v>Near Office</v>
      </c>
      <c r="I967" t="s">
        <v>78</v>
      </c>
      <c r="J967" t="s">
        <v>51</v>
      </c>
      <c r="K967">
        <v>4</v>
      </c>
      <c r="L967" t="s">
        <v>39</v>
      </c>
      <c r="M967">
        <v>86</v>
      </c>
      <c r="N967">
        <v>2</v>
      </c>
      <c r="O967">
        <v>1</v>
      </c>
      <c r="P967" t="s">
        <v>47</v>
      </c>
      <c r="Q967" t="s">
        <v>77</v>
      </c>
      <c r="R967" t="s">
        <v>41</v>
      </c>
      <c r="S967">
        <v>2342</v>
      </c>
      <c r="T967" t="str" cm="1">
        <f t="array" ref="T967">_xlfn.IFS(S967&gt;=10000,"High (&gt;10k)",S967&gt;=5000,"Medium (5k-10k)",S967&lt;5000,"Low (&lt;5k)")</f>
        <v>Low (&lt;5k)</v>
      </c>
      <c r="U967">
        <v>22929</v>
      </c>
      <c r="V967">
        <v>0</v>
      </c>
      <c r="W967" t="s">
        <v>35</v>
      </c>
      <c r="X967">
        <v>20</v>
      </c>
      <c r="Y967">
        <v>4</v>
      </c>
      <c r="Z967">
        <v>4</v>
      </c>
      <c r="AA967">
        <v>0</v>
      </c>
      <c r="AB967">
        <v>5</v>
      </c>
      <c r="AC967">
        <v>2</v>
      </c>
      <c r="AD967" t="s">
        <v>81</v>
      </c>
      <c r="AE967">
        <v>4</v>
      </c>
      <c r="AF967" t="str" cm="1">
        <f t="array" ref="AF967">_xlfn.IFS(AE967&gt;=10,"Veteran (10y+)",AE967&gt;=3,"Established (3-10y)",AE967&lt;3,"New Hire (&lt;3y)")</f>
        <v>Established (3-10y)</v>
      </c>
      <c r="AG967">
        <v>2</v>
      </c>
      <c r="AH967">
        <v>2</v>
      </c>
      <c r="AI967">
        <v>3</v>
      </c>
    </row>
    <row r="968" spans="1:35">
      <c r="A968">
        <v>40</v>
      </c>
      <c r="B968" t="str">
        <f t="shared" si="15"/>
        <v>Middle Aged</v>
      </c>
      <c r="C968">
        <v>0</v>
      </c>
      <c r="D968" t="s">
        <v>44</v>
      </c>
      <c r="E968">
        <v>791</v>
      </c>
      <c r="F968" t="s">
        <v>45</v>
      </c>
      <c r="G968">
        <v>2</v>
      </c>
      <c r="H968" t="str" cm="1">
        <f t="array" ref="H968">_xlfn.IFS(G968&gt;15,"Long Commute",G968&gt;5,"Moderate",G968&lt;=5,"Near Office")</f>
        <v>Near Office</v>
      </c>
      <c r="I968" t="s">
        <v>76</v>
      </c>
      <c r="J968" t="s">
        <v>51</v>
      </c>
      <c r="K968">
        <v>3</v>
      </c>
      <c r="L968" t="s">
        <v>39</v>
      </c>
      <c r="M968">
        <v>38</v>
      </c>
      <c r="N968">
        <v>4</v>
      </c>
      <c r="O968">
        <v>2</v>
      </c>
      <c r="P968" t="s">
        <v>54</v>
      </c>
      <c r="Q968" t="s">
        <v>75</v>
      </c>
      <c r="R968" t="s">
        <v>48</v>
      </c>
      <c r="S968">
        <v>4244</v>
      </c>
      <c r="T968" t="str" cm="1">
        <f t="array" ref="T968">_xlfn.IFS(S968&gt;=10000,"High (&gt;10k)",S968&gt;=5000,"Medium (5k-10k)",S968&lt;5000,"Low (&lt;5k)")</f>
        <v>Low (&lt;5k)</v>
      </c>
      <c r="U968">
        <v>9931</v>
      </c>
      <c r="V968">
        <v>1</v>
      </c>
      <c r="W968" t="s">
        <v>43</v>
      </c>
      <c r="X968">
        <v>24</v>
      </c>
      <c r="Y968">
        <v>4</v>
      </c>
      <c r="Z968">
        <v>4</v>
      </c>
      <c r="AA968">
        <v>1</v>
      </c>
      <c r="AB968">
        <v>8</v>
      </c>
      <c r="AC968">
        <v>2</v>
      </c>
      <c r="AD968" t="s">
        <v>74</v>
      </c>
      <c r="AE968">
        <v>8</v>
      </c>
      <c r="AF968" t="str" cm="1">
        <f t="array" ref="AF968">_xlfn.IFS(AE968&gt;=10,"Veteran (10y+)",AE968&gt;=3,"Established (3-10y)",AE968&lt;3,"New Hire (&lt;3y)")</f>
        <v>Established (3-10y)</v>
      </c>
      <c r="AG968">
        <v>7</v>
      </c>
      <c r="AH968">
        <v>3</v>
      </c>
      <c r="AI968">
        <v>7</v>
      </c>
    </row>
    <row r="969" spans="1:35">
      <c r="A969">
        <v>40</v>
      </c>
      <c r="B969" t="str">
        <f t="shared" si="15"/>
        <v>Middle Aged</v>
      </c>
      <c r="C969">
        <v>0</v>
      </c>
      <c r="D969" t="s">
        <v>44</v>
      </c>
      <c r="E969">
        <v>720</v>
      </c>
      <c r="F969" t="s">
        <v>45</v>
      </c>
      <c r="G969">
        <v>16</v>
      </c>
      <c r="H969" t="str" cm="1">
        <f t="array" ref="H969">_xlfn.IFS(G969&gt;15,"Long Commute",G969&gt;5,"Moderate",G969&lt;=5,"Near Office")</f>
        <v>Long Commute</v>
      </c>
      <c r="I969" t="s">
        <v>83</v>
      </c>
      <c r="J969" t="s">
        <v>51</v>
      </c>
      <c r="K969">
        <v>1</v>
      </c>
      <c r="L969" t="s">
        <v>46</v>
      </c>
      <c r="M969">
        <v>51</v>
      </c>
      <c r="N969">
        <v>2</v>
      </c>
      <c r="O969">
        <v>2</v>
      </c>
      <c r="P969" t="s">
        <v>50</v>
      </c>
      <c r="Q969" t="s">
        <v>73</v>
      </c>
      <c r="R969" t="s">
        <v>41</v>
      </c>
      <c r="S969">
        <v>5094</v>
      </c>
      <c r="T969" t="str" cm="1">
        <f t="array" ref="T969">_xlfn.IFS(S969&gt;=10000,"High (&gt;10k)",S969&gt;=5000,"Medium (5k-10k)",S969&lt;5000,"Low (&lt;5k)")</f>
        <v>Medium (5k-10k)</v>
      </c>
      <c r="U969">
        <v>11983</v>
      </c>
      <c r="V969">
        <v>6</v>
      </c>
      <c r="W969" t="s">
        <v>43</v>
      </c>
      <c r="X969">
        <v>14</v>
      </c>
      <c r="Y969">
        <v>3</v>
      </c>
      <c r="Z969">
        <v>4</v>
      </c>
      <c r="AA969">
        <v>0</v>
      </c>
      <c r="AB969">
        <v>10</v>
      </c>
      <c r="AC969">
        <v>6</v>
      </c>
      <c r="AD969" t="s">
        <v>74</v>
      </c>
      <c r="AE969">
        <v>1</v>
      </c>
      <c r="AF969" t="str" cm="1">
        <f t="array" ref="AF969">_xlfn.IFS(AE969&gt;=10,"Veteran (10y+)",AE969&gt;=3,"Established (3-10y)",AE969&lt;3,"New Hire (&lt;3y)")</f>
        <v>New Hire (&lt;3y)</v>
      </c>
      <c r="AG969">
        <v>0</v>
      </c>
      <c r="AH969">
        <v>0</v>
      </c>
      <c r="AI969">
        <v>0</v>
      </c>
    </row>
    <row r="970" spans="1:35">
      <c r="A970">
        <v>40</v>
      </c>
      <c r="B970" t="str">
        <f t="shared" si="15"/>
        <v>Middle Aged</v>
      </c>
      <c r="C970">
        <v>0</v>
      </c>
      <c r="D970" t="s">
        <v>36</v>
      </c>
      <c r="E970">
        <v>658</v>
      </c>
      <c r="F970" t="s">
        <v>37</v>
      </c>
      <c r="G970">
        <v>10</v>
      </c>
      <c r="H970" t="str" cm="1">
        <f t="array" ref="H970">_xlfn.IFS(G970&gt;15,"Long Commute",G970&gt;5,"Moderate",G970&lt;=5,"Near Office")</f>
        <v>Moderate</v>
      </c>
      <c r="I970" t="s">
        <v>83</v>
      </c>
      <c r="J970" t="s">
        <v>59</v>
      </c>
      <c r="K970">
        <v>1</v>
      </c>
      <c r="L970" t="s">
        <v>46</v>
      </c>
      <c r="M970">
        <v>67</v>
      </c>
      <c r="N970">
        <v>2</v>
      </c>
      <c r="O970">
        <v>3</v>
      </c>
      <c r="P970" t="s">
        <v>40</v>
      </c>
      <c r="Q970" t="s">
        <v>75</v>
      </c>
      <c r="R970" t="s">
        <v>52</v>
      </c>
      <c r="S970">
        <v>9705</v>
      </c>
      <c r="T970" t="str" cm="1">
        <f t="array" ref="T970">_xlfn.IFS(S970&gt;=10000,"High (&gt;10k)",S970&gt;=5000,"Medium (5k-10k)",S970&lt;5000,"Low (&lt;5k)")</f>
        <v>Medium (5k-10k)</v>
      </c>
      <c r="U970">
        <v>20652</v>
      </c>
      <c r="V970">
        <v>2</v>
      </c>
      <c r="W970" t="s">
        <v>43</v>
      </c>
      <c r="X970">
        <v>12</v>
      </c>
      <c r="Y970">
        <v>3</v>
      </c>
      <c r="Z970">
        <v>2</v>
      </c>
      <c r="AA970">
        <v>1</v>
      </c>
      <c r="AB970">
        <v>11</v>
      </c>
      <c r="AC970">
        <v>2</v>
      </c>
      <c r="AD970" t="s">
        <v>81</v>
      </c>
      <c r="AE970">
        <v>1</v>
      </c>
      <c r="AF970" t="str" cm="1">
        <f t="array" ref="AF970">_xlfn.IFS(AE970&gt;=10,"Veteran (10y+)",AE970&gt;=3,"Established (3-10y)",AE970&lt;3,"New Hire (&lt;3y)")</f>
        <v>New Hire (&lt;3y)</v>
      </c>
      <c r="AG970">
        <v>0</v>
      </c>
      <c r="AH970">
        <v>0</v>
      </c>
      <c r="AI970">
        <v>0</v>
      </c>
    </row>
    <row r="971" spans="1:35">
      <c r="A971">
        <v>40</v>
      </c>
      <c r="B971" t="str">
        <f t="shared" si="15"/>
        <v>Middle Aged</v>
      </c>
      <c r="C971">
        <v>0</v>
      </c>
      <c r="D971" t="s">
        <v>44</v>
      </c>
      <c r="E971">
        <v>1469</v>
      </c>
      <c r="F971" t="s">
        <v>45</v>
      </c>
      <c r="G971">
        <v>9</v>
      </c>
      <c r="H971" t="str" cm="1">
        <f t="array" ref="H971">_xlfn.IFS(G971&gt;15,"Long Commute",G971&gt;5,"Moderate",G971&lt;=5,"Near Office")</f>
        <v>Moderate</v>
      </c>
      <c r="I971" t="s">
        <v>83</v>
      </c>
      <c r="J971" t="s">
        <v>51</v>
      </c>
      <c r="K971">
        <v>4</v>
      </c>
      <c r="L971" t="s">
        <v>46</v>
      </c>
      <c r="M971">
        <v>35</v>
      </c>
      <c r="N971">
        <v>3</v>
      </c>
      <c r="O971">
        <v>1</v>
      </c>
      <c r="P971" t="s">
        <v>47</v>
      </c>
      <c r="Q971" t="s">
        <v>75</v>
      </c>
      <c r="R971" t="s">
        <v>52</v>
      </c>
      <c r="S971">
        <v>3617</v>
      </c>
      <c r="T971" t="str" cm="1">
        <f t="array" ref="T971">_xlfn.IFS(S971&gt;=10000,"High (&gt;10k)",S971&gt;=5000,"Medium (5k-10k)",S971&lt;5000,"Low (&lt;5k)")</f>
        <v>Low (&lt;5k)</v>
      </c>
      <c r="U971">
        <v>25063</v>
      </c>
      <c r="V971">
        <v>8</v>
      </c>
      <c r="W971" t="s">
        <v>35</v>
      </c>
      <c r="X971">
        <v>14</v>
      </c>
      <c r="Y971">
        <v>3</v>
      </c>
      <c r="Z971">
        <v>4</v>
      </c>
      <c r="AA971">
        <v>1</v>
      </c>
      <c r="AB971">
        <v>3</v>
      </c>
      <c r="AC971">
        <v>2</v>
      </c>
      <c r="AD971" t="s">
        <v>74</v>
      </c>
      <c r="AE971">
        <v>1</v>
      </c>
      <c r="AF971" t="str" cm="1">
        <f t="array" ref="AF971">_xlfn.IFS(AE971&gt;=10,"Veteran (10y+)",AE971&gt;=3,"Established (3-10y)",AE971&lt;3,"New Hire (&lt;3y)")</f>
        <v>New Hire (&lt;3y)</v>
      </c>
      <c r="AG971">
        <v>1</v>
      </c>
      <c r="AH971">
        <v>0</v>
      </c>
      <c r="AI971">
        <v>0</v>
      </c>
    </row>
    <row r="972" spans="1:35">
      <c r="A972">
        <v>40</v>
      </c>
      <c r="B972" t="str">
        <f t="shared" si="15"/>
        <v>Middle Aged</v>
      </c>
      <c r="C972">
        <v>1</v>
      </c>
      <c r="D972" t="s">
        <v>55</v>
      </c>
      <c r="E972">
        <v>1479</v>
      </c>
      <c r="F972" t="s">
        <v>37</v>
      </c>
      <c r="G972">
        <v>24</v>
      </c>
      <c r="H972" t="str" cm="1">
        <f t="array" ref="H972">_xlfn.IFS(G972&gt;15,"Long Commute",G972&gt;5,"Moderate",G972&lt;=5,"Near Office")</f>
        <v>Long Commute</v>
      </c>
      <c r="I972" t="s">
        <v>72</v>
      </c>
      <c r="J972" t="s">
        <v>38</v>
      </c>
      <c r="K972">
        <v>2</v>
      </c>
      <c r="L972" t="s">
        <v>39</v>
      </c>
      <c r="M972">
        <v>100</v>
      </c>
      <c r="N972">
        <v>4</v>
      </c>
      <c r="O972">
        <v>4</v>
      </c>
      <c r="P972" t="s">
        <v>40</v>
      </c>
      <c r="Q972" t="s">
        <v>75</v>
      </c>
      <c r="R972" t="s">
        <v>41</v>
      </c>
      <c r="S972">
        <v>13194</v>
      </c>
      <c r="T972" t="str" cm="1">
        <f t="array" ref="T972">_xlfn.IFS(S972&gt;=10000,"High (&gt;10k)",S972&gt;=5000,"Medium (5k-10k)",S972&lt;5000,"Low (&lt;5k)")</f>
        <v>High (&gt;10k)</v>
      </c>
      <c r="U972">
        <v>17071</v>
      </c>
      <c r="V972">
        <v>4</v>
      </c>
      <c r="W972" t="s">
        <v>35</v>
      </c>
      <c r="X972">
        <v>16</v>
      </c>
      <c r="Y972">
        <v>3</v>
      </c>
      <c r="Z972">
        <v>4</v>
      </c>
      <c r="AA972">
        <v>0</v>
      </c>
      <c r="AB972">
        <v>22</v>
      </c>
      <c r="AC972">
        <v>2</v>
      </c>
      <c r="AD972" t="s">
        <v>81</v>
      </c>
      <c r="AE972">
        <v>1</v>
      </c>
      <c r="AF972" t="str" cm="1">
        <f t="array" ref="AF972">_xlfn.IFS(AE972&gt;=10,"Veteran (10y+)",AE972&gt;=3,"Established (3-10y)",AE972&lt;3,"New Hire (&lt;3y)")</f>
        <v>New Hire (&lt;3y)</v>
      </c>
      <c r="AG972">
        <v>0</v>
      </c>
      <c r="AH972">
        <v>0</v>
      </c>
      <c r="AI972">
        <v>0</v>
      </c>
    </row>
    <row r="973" spans="1:35">
      <c r="A973">
        <v>40</v>
      </c>
      <c r="B973" t="str">
        <f t="shared" si="15"/>
        <v>Middle Aged</v>
      </c>
      <c r="C973">
        <v>0</v>
      </c>
      <c r="D973" t="s">
        <v>36</v>
      </c>
      <c r="E973">
        <v>300</v>
      </c>
      <c r="F973" t="s">
        <v>37</v>
      </c>
      <c r="G973">
        <v>26</v>
      </c>
      <c r="H973" t="str" cm="1">
        <f t="array" ref="H973">_xlfn.IFS(G973&gt;15,"Long Commute",G973&gt;5,"Moderate",G973&lt;=5,"Near Office")</f>
        <v>Long Commute</v>
      </c>
      <c r="I973" t="s">
        <v>72</v>
      </c>
      <c r="J973" t="s">
        <v>59</v>
      </c>
      <c r="K973">
        <v>3</v>
      </c>
      <c r="L973" t="s">
        <v>46</v>
      </c>
      <c r="M973">
        <v>74</v>
      </c>
      <c r="N973">
        <v>3</v>
      </c>
      <c r="O973">
        <v>2</v>
      </c>
      <c r="P973" t="s">
        <v>40</v>
      </c>
      <c r="Q973" t="s">
        <v>82</v>
      </c>
      <c r="R973" t="s">
        <v>48</v>
      </c>
      <c r="S973">
        <v>8396</v>
      </c>
      <c r="T973" t="str" cm="1">
        <f t="array" ref="T973">_xlfn.IFS(S973&gt;=10000,"High (&gt;10k)",S973&gt;=5000,"Medium (5k-10k)",S973&lt;5000,"Low (&lt;5k)")</f>
        <v>Medium (5k-10k)</v>
      </c>
      <c r="U973">
        <v>22217</v>
      </c>
      <c r="V973">
        <v>1</v>
      </c>
      <c r="W973" t="s">
        <v>43</v>
      </c>
      <c r="X973">
        <v>14</v>
      </c>
      <c r="Y973">
        <v>3</v>
      </c>
      <c r="Z973">
        <v>2</v>
      </c>
      <c r="AA973">
        <v>1</v>
      </c>
      <c r="AB973">
        <v>8</v>
      </c>
      <c r="AC973">
        <v>3</v>
      </c>
      <c r="AD973" t="s">
        <v>81</v>
      </c>
      <c r="AE973">
        <v>7</v>
      </c>
      <c r="AF973" t="str" cm="1">
        <f t="array" ref="AF973">_xlfn.IFS(AE973&gt;=10,"Veteran (10y+)",AE973&gt;=3,"Established (3-10y)",AE973&lt;3,"New Hire (&lt;3y)")</f>
        <v>Established (3-10y)</v>
      </c>
      <c r="AG973">
        <v>7</v>
      </c>
      <c r="AH973">
        <v>7</v>
      </c>
      <c r="AI973">
        <v>5</v>
      </c>
    </row>
    <row r="974" spans="1:35">
      <c r="A974">
        <v>40</v>
      </c>
      <c r="B974" t="str">
        <f t="shared" si="15"/>
        <v>Middle Aged</v>
      </c>
      <c r="C974">
        <v>0</v>
      </c>
      <c r="D974" t="s">
        <v>36</v>
      </c>
      <c r="E974">
        <v>1492</v>
      </c>
      <c r="F974" t="s">
        <v>45</v>
      </c>
      <c r="G974">
        <v>20</v>
      </c>
      <c r="H974" t="str" cm="1">
        <f t="array" ref="H974">_xlfn.IFS(G974&gt;15,"Long Commute",G974&gt;5,"Moderate",G974&lt;=5,"Near Office")</f>
        <v>Long Commute</v>
      </c>
      <c r="I974" t="s">
        <v>83</v>
      </c>
      <c r="J974" t="s">
        <v>60</v>
      </c>
      <c r="K974">
        <v>1</v>
      </c>
      <c r="L974" t="s">
        <v>46</v>
      </c>
      <c r="M974">
        <v>61</v>
      </c>
      <c r="N974">
        <v>3</v>
      </c>
      <c r="O974">
        <v>3</v>
      </c>
      <c r="P974" t="s">
        <v>54</v>
      </c>
      <c r="Q974" t="s">
        <v>77</v>
      </c>
      <c r="R974" t="s">
        <v>48</v>
      </c>
      <c r="S974">
        <v>10322</v>
      </c>
      <c r="T974" t="str" cm="1">
        <f t="array" ref="T974">_xlfn.IFS(S974&gt;=10000,"High (&gt;10k)",S974&gt;=5000,"Medium (5k-10k)",S974&lt;5000,"Low (&lt;5k)")</f>
        <v>High (&gt;10k)</v>
      </c>
      <c r="U974">
        <v>26542</v>
      </c>
      <c r="V974">
        <v>4</v>
      </c>
      <c r="W974" t="s">
        <v>43</v>
      </c>
      <c r="X974">
        <v>20</v>
      </c>
      <c r="Y974">
        <v>4</v>
      </c>
      <c r="Z974">
        <v>4</v>
      </c>
      <c r="AA974">
        <v>1</v>
      </c>
      <c r="AB974">
        <v>14</v>
      </c>
      <c r="AC974">
        <v>6</v>
      </c>
      <c r="AD974" t="s">
        <v>74</v>
      </c>
      <c r="AE974">
        <v>11</v>
      </c>
      <c r="AF974" t="str" cm="1">
        <f t="array" ref="AF974">_xlfn.IFS(AE974&gt;=10,"Veteran (10y+)",AE974&gt;=3,"Established (3-10y)",AE974&lt;3,"New Hire (&lt;3y)")</f>
        <v>Veteran (10y+)</v>
      </c>
      <c r="AG974">
        <v>10</v>
      </c>
      <c r="AH974">
        <v>11</v>
      </c>
      <c r="AI974">
        <v>1</v>
      </c>
    </row>
    <row r="975" spans="1:35">
      <c r="A975">
        <v>40</v>
      </c>
      <c r="B975" t="str">
        <f t="shared" si="15"/>
        <v>Middle Aged</v>
      </c>
      <c r="C975">
        <v>0</v>
      </c>
      <c r="D975" t="s">
        <v>36</v>
      </c>
      <c r="E975">
        <v>1308</v>
      </c>
      <c r="F975" t="s">
        <v>45</v>
      </c>
      <c r="G975">
        <v>14</v>
      </c>
      <c r="H975" t="str" cm="1">
        <f t="array" ref="H975">_xlfn.IFS(G975&gt;15,"Long Commute",G975&gt;5,"Moderate",G975&lt;=5,"Near Office")</f>
        <v>Moderate</v>
      </c>
      <c r="I975" t="s">
        <v>72</v>
      </c>
      <c r="J975" t="s">
        <v>51</v>
      </c>
      <c r="K975">
        <v>3</v>
      </c>
      <c r="L975" t="s">
        <v>46</v>
      </c>
      <c r="M975">
        <v>44</v>
      </c>
      <c r="N975">
        <v>2</v>
      </c>
      <c r="O975">
        <v>5</v>
      </c>
      <c r="P975" t="s">
        <v>58</v>
      </c>
      <c r="Q975" t="s">
        <v>73</v>
      </c>
      <c r="R975" t="s">
        <v>41</v>
      </c>
      <c r="S975">
        <v>19626</v>
      </c>
      <c r="T975" t="str" cm="1">
        <f t="array" ref="T975">_xlfn.IFS(S975&gt;=10000,"High (&gt;10k)",S975&gt;=5000,"Medium (5k-10k)",S975&lt;5000,"Low (&lt;5k)")</f>
        <v>High (&gt;10k)</v>
      </c>
      <c r="U975">
        <v>17544</v>
      </c>
      <c r="V975">
        <v>1</v>
      </c>
      <c r="W975" t="s">
        <v>43</v>
      </c>
      <c r="X975">
        <v>14</v>
      </c>
      <c r="Y975">
        <v>3</v>
      </c>
      <c r="Z975">
        <v>1</v>
      </c>
      <c r="AA975">
        <v>0</v>
      </c>
      <c r="AB975">
        <v>21</v>
      </c>
      <c r="AC975">
        <v>2</v>
      </c>
      <c r="AD975" t="s">
        <v>79</v>
      </c>
      <c r="AE975">
        <v>20</v>
      </c>
      <c r="AF975" t="str" cm="1">
        <f t="array" ref="AF975">_xlfn.IFS(AE975&gt;=10,"Veteran (10y+)",AE975&gt;=3,"Established (3-10y)",AE975&lt;3,"New Hire (&lt;3y)")</f>
        <v>Veteran (10y+)</v>
      </c>
      <c r="AG975">
        <v>7</v>
      </c>
      <c r="AH975">
        <v>4</v>
      </c>
      <c r="AI975">
        <v>9</v>
      </c>
    </row>
    <row r="976" spans="1:35">
      <c r="A976">
        <v>40</v>
      </c>
      <c r="B976" t="str">
        <f t="shared" si="15"/>
        <v>Middle Aged</v>
      </c>
      <c r="C976">
        <v>0</v>
      </c>
      <c r="D976" t="s">
        <v>44</v>
      </c>
      <c r="E976">
        <v>593</v>
      </c>
      <c r="F976" t="s">
        <v>45</v>
      </c>
      <c r="G976">
        <v>9</v>
      </c>
      <c r="H976" t="str" cm="1">
        <f t="array" ref="H976">_xlfn.IFS(G976&gt;15,"Long Commute",G976&gt;5,"Moderate",G976&lt;=5,"Near Office")</f>
        <v>Moderate</v>
      </c>
      <c r="I976" t="s">
        <v>83</v>
      </c>
      <c r="J976" t="s">
        <v>51</v>
      </c>
      <c r="K976">
        <v>2</v>
      </c>
      <c r="L976" t="s">
        <v>39</v>
      </c>
      <c r="M976">
        <v>88</v>
      </c>
      <c r="N976">
        <v>3</v>
      </c>
      <c r="O976">
        <v>3</v>
      </c>
      <c r="P976" t="s">
        <v>58</v>
      </c>
      <c r="Q976" t="s">
        <v>73</v>
      </c>
      <c r="R976" t="s">
        <v>41</v>
      </c>
      <c r="S976">
        <v>13499</v>
      </c>
      <c r="T976" t="str" cm="1">
        <f t="array" ref="T976">_xlfn.IFS(S976&gt;=10000,"High (&gt;10k)",S976&gt;=5000,"Medium (5k-10k)",S976&lt;5000,"Low (&lt;5k)")</f>
        <v>High (&gt;10k)</v>
      </c>
      <c r="U976">
        <v>13782</v>
      </c>
      <c r="V976">
        <v>9</v>
      </c>
      <c r="W976" t="s">
        <v>43</v>
      </c>
      <c r="X976">
        <v>17</v>
      </c>
      <c r="Y976">
        <v>3</v>
      </c>
      <c r="Z976">
        <v>3</v>
      </c>
      <c r="AA976">
        <v>0</v>
      </c>
      <c r="AB976">
        <v>20</v>
      </c>
      <c r="AC976">
        <v>3</v>
      </c>
      <c r="AD976" t="s">
        <v>81</v>
      </c>
      <c r="AE976">
        <v>18</v>
      </c>
      <c r="AF976" t="str" cm="1">
        <f t="array" ref="AF976">_xlfn.IFS(AE976&gt;=10,"Veteran (10y+)",AE976&gt;=3,"Established (3-10y)",AE976&lt;3,"New Hire (&lt;3y)")</f>
        <v>Veteran (10y+)</v>
      </c>
      <c r="AG976">
        <v>7</v>
      </c>
      <c r="AH976">
        <v>2</v>
      </c>
      <c r="AI976">
        <v>13</v>
      </c>
    </row>
    <row r="977" spans="1:35">
      <c r="A977">
        <v>40</v>
      </c>
      <c r="B977" t="str">
        <f t="shared" si="15"/>
        <v>Middle Aged</v>
      </c>
      <c r="C977">
        <v>0</v>
      </c>
      <c r="D977" t="s">
        <v>44</v>
      </c>
      <c r="E977">
        <v>902</v>
      </c>
      <c r="F977" t="s">
        <v>45</v>
      </c>
      <c r="G977">
        <v>26</v>
      </c>
      <c r="H977" t="str" cm="1">
        <f t="array" ref="H977">_xlfn.IFS(G977&gt;15,"Long Commute",G977&gt;5,"Moderate",G977&lt;=5,"Near Office")</f>
        <v>Long Commute</v>
      </c>
      <c r="I977" t="s">
        <v>76</v>
      </c>
      <c r="J977" t="s">
        <v>51</v>
      </c>
      <c r="K977">
        <v>3</v>
      </c>
      <c r="L977" t="s">
        <v>39</v>
      </c>
      <c r="M977">
        <v>92</v>
      </c>
      <c r="N977">
        <v>2</v>
      </c>
      <c r="O977">
        <v>2</v>
      </c>
      <c r="P977" t="s">
        <v>47</v>
      </c>
      <c r="Q977" t="s">
        <v>77</v>
      </c>
      <c r="R977" t="s">
        <v>48</v>
      </c>
      <c r="S977">
        <v>4422</v>
      </c>
      <c r="T977" t="str" cm="1">
        <f t="array" ref="T977">_xlfn.IFS(S977&gt;=10000,"High (&gt;10k)",S977&gt;=5000,"Medium (5k-10k)",S977&lt;5000,"Low (&lt;5k)")</f>
        <v>Low (&lt;5k)</v>
      </c>
      <c r="U977">
        <v>21203</v>
      </c>
      <c r="V977">
        <v>3</v>
      </c>
      <c r="W977" t="s">
        <v>35</v>
      </c>
      <c r="X977">
        <v>13</v>
      </c>
      <c r="Y977">
        <v>3</v>
      </c>
      <c r="Z977">
        <v>4</v>
      </c>
      <c r="AA977">
        <v>1</v>
      </c>
      <c r="AB977">
        <v>16</v>
      </c>
      <c r="AC977">
        <v>3</v>
      </c>
      <c r="AD977" t="s">
        <v>80</v>
      </c>
      <c r="AE977">
        <v>1</v>
      </c>
      <c r="AF977" t="str" cm="1">
        <f t="array" ref="AF977">_xlfn.IFS(AE977&gt;=10,"Veteran (10y+)",AE977&gt;=3,"Established (3-10y)",AE977&lt;3,"New Hire (&lt;3y)")</f>
        <v>New Hire (&lt;3y)</v>
      </c>
      <c r="AG977">
        <v>1</v>
      </c>
      <c r="AH977">
        <v>0</v>
      </c>
      <c r="AI977">
        <v>0</v>
      </c>
    </row>
    <row r="978" spans="1:35">
      <c r="A978">
        <v>40</v>
      </c>
      <c r="B978" t="str">
        <f t="shared" si="15"/>
        <v>Middle Aged</v>
      </c>
      <c r="C978">
        <v>0</v>
      </c>
      <c r="D978" t="s">
        <v>44</v>
      </c>
      <c r="E978">
        <v>1184</v>
      </c>
      <c r="F978" t="s">
        <v>37</v>
      </c>
      <c r="G978">
        <v>2</v>
      </c>
      <c r="H978" t="str" cm="1">
        <f t="array" ref="H978">_xlfn.IFS(G978&gt;15,"Long Commute",G978&gt;5,"Moderate",G978&lt;=5,"Near Office")</f>
        <v>Near Office</v>
      </c>
      <c r="I978" t="s">
        <v>83</v>
      </c>
      <c r="J978" t="s">
        <v>51</v>
      </c>
      <c r="K978">
        <v>2</v>
      </c>
      <c r="L978" t="s">
        <v>46</v>
      </c>
      <c r="M978">
        <v>62</v>
      </c>
      <c r="N978">
        <v>3</v>
      </c>
      <c r="O978">
        <v>2</v>
      </c>
      <c r="P978" t="s">
        <v>40</v>
      </c>
      <c r="Q978" t="s">
        <v>75</v>
      </c>
      <c r="R978" t="s">
        <v>48</v>
      </c>
      <c r="S978">
        <v>4327</v>
      </c>
      <c r="T978" t="str" cm="1">
        <f t="array" ref="T978">_xlfn.IFS(S978&gt;=10000,"High (&gt;10k)",S978&gt;=5000,"Medium (5k-10k)",S978&lt;5000,"Low (&lt;5k)")</f>
        <v>Low (&lt;5k)</v>
      </c>
      <c r="U978">
        <v>25440</v>
      </c>
      <c r="V978">
        <v>5</v>
      </c>
      <c r="W978" t="s">
        <v>43</v>
      </c>
      <c r="X978">
        <v>12</v>
      </c>
      <c r="Y978">
        <v>3</v>
      </c>
      <c r="Z978">
        <v>4</v>
      </c>
      <c r="AA978">
        <v>3</v>
      </c>
      <c r="AB978">
        <v>5</v>
      </c>
      <c r="AC978">
        <v>2</v>
      </c>
      <c r="AD978" t="s">
        <v>74</v>
      </c>
      <c r="AE978">
        <v>0</v>
      </c>
      <c r="AF978" t="str" cm="1">
        <f t="array" ref="AF978">_xlfn.IFS(AE978&gt;=10,"Veteran (10y+)",AE978&gt;=3,"Established (3-10y)",AE978&lt;3,"New Hire (&lt;3y)")</f>
        <v>New Hire (&lt;3y)</v>
      </c>
      <c r="AG978">
        <v>0</v>
      </c>
      <c r="AH978">
        <v>0</v>
      </c>
      <c r="AI978">
        <v>0</v>
      </c>
    </row>
    <row r="979" spans="1:35">
      <c r="A979">
        <v>40</v>
      </c>
      <c r="B979" t="str">
        <f t="shared" si="15"/>
        <v>Middle Aged</v>
      </c>
      <c r="C979">
        <v>0</v>
      </c>
      <c r="D979" t="s">
        <v>36</v>
      </c>
      <c r="E979">
        <v>107</v>
      </c>
      <c r="F979" t="s">
        <v>37</v>
      </c>
      <c r="G979">
        <v>10</v>
      </c>
      <c r="H979" t="str" cm="1">
        <f t="array" ref="H979">_xlfn.IFS(G979&gt;15,"Long Commute",G979&gt;5,"Moderate",G979&lt;=5,"Near Office")</f>
        <v>Moderate</v>
      </c>
      <c r="I979" t="s">
        <v>72</v>
      </c>
      <c r="J979" t="s">
        <v>60</v>
      </c>
      <c r="K979">
        <v>2</v>
      </c>
      <c r="L979" t="s">
        <v>39</v>
      </c>
      <c r="M979">
        <v>84</v>
      </c>
      <c r="N979">
        <v>2</v>
      </c>
      <c r="O979">
        <v>2</v>
      </c>
      <c r="P979" t="s">
        <v>40</v>
      </c>
      <c r="Q979" t="s">
        <v>75</v>
      </c>
      <c r="R979" t="s">
        <v>52</v>
      </c>
      <c r="S979">
        <v>6852</v>
      </c>
      <c r="T979" t="str" cm="1">
        <f t="array" ref="T979">_xlfn.IFS(S979&gt;=10000,"High (&gt;10k)",S979&gt;=5000,"Medium (5k-10k)",S979&lt;5000,"Low (&lt;5k)")</f>
        <v>Medium (5k-10k)</v>
      </c>
      <c r="U979">
        <v>11591</v>
      </c>
      <c r="V979">
        <v>7</v>
      </c>
      <c r="W979" t="s">
        <v>43</v>
      </c>
      <c r="X979">
        <v>12</v>
      </c>
      <c r="Y979">
        <v>3</v>
      </c>
      <c r="Z979">
        <v>2</v>
      </c>
      <c r="AA979">
        <v>1</v>
      </c>
      <c r="AB979">
        <v>7</v>
      </c>
      <c r="AC979">
        <v>2</v>
      </c>
      <c r="AD979" t="s">
        <v>79</v>
      </c>
      <c r="AE979">
        <v>5</v>
      </c>
      <c r="AF979" t="str" cm="1">
        <f t="array" ref="AF979">_xlfn.IFS(AE979&gt;=10,"Veteran (10y+)",AE979&gt;=3,"Established (3-10y)",AE979&lt;3,"New Hire (&lt;3y)")</f>
        <v>Established (3-10y)</v>
      </c>
      <c r="AG979">
        <v>1</v>
      </c>
      <c r="AH979">
        <v>1</v>
      </c>
      <c r="AI979">
        <v>3</v>
      </c>
    </row>
    <row r="980" spans="1:35">
      <c r="A980">
        <v>40</v>
      </c>
      <c r="B980" t="str">
        <f t="shared" si="15"/>
        <v>Middle Aged</v>
      </c>
      <c r="C980">
        <v>1</v>
      </c>
      <c r="D980" t="s">
        <v>36</v>
      </c>
      <c r="E980">
        <v>299</v>
      </c>
      <c r="F980" t="s">
        <v>37</v>
      </c>
      <c r="G980">
        <v>25</v>
      </c>
      <c r="H980" t="str" cm="1">
        <f t="array" ref="H980">_xlfn.IFS(G980&gt;15,"Long Commute",G980&gt;5,"Moderate",G980&lt;=5,"Near Office")</f>
        <v>Long Commute</v>
      </c>
      <c r="I980" t="s">
        <v>83</v>
      </c>
      <c r="J980" t="s">
        <v>59</v>
      </c>
      <c r="K980">
        <v>4</v>
      </c>
      <c r="L980" t="s">
        <v>46</v>
      </c>
      <c r="M980">
        <v>57</v>
      </c>
      <c r="N980">
        <v>2</v>
      </c>
      <c r="O980">
        <v>3</v>
      </c>
      <c r="P980" t="s">
        <v>40</v>
      </c>
      <c r="Q980" t="s">
        <v>75</v>
      </c>
      <c r="R980" t="s">
        <v>41</v>
      </c>
      <c r="S980">
        <v>9094</v>
      </c>
      <c r="T980" t="str" cm="1">
        <f t="array" ref="T980">_xlfn.IFS(S980&gt;=10000,"High (&gt;10k)",S980&gt;=5000,"Medium (5k-10k)",S980&lt;5000,"Low (&lt;5k)")</f>
        <v>Medium (5k-10k)</v>
      </c>
      <c r="U980">
        <v>17235</v>
      </c>
      <c r="V980">
        <v>2</v>
      </c>
      <c r="W980" t="s">
        <v>35</v>
      </c>
      <c r="X980">
        <v>12</v>
      </c>
      <c r="Y980">
        <v>3</v>
      </c>
      <c r="Z980">
        <v>3</v>
      </c>
      <c r="AA980">
        <v>0</v>
      </c>
      <c r="AB980">
        <v>9</v>
      </c>
      <c r="AC980">
        <v>2</v>
      </c>
      <c r="AD980" t="s">
        <v>74</v>
      </c>
      <c r="AE980">
        <v>5</v>
      </c>
      <c r="AF980" t="str" cm="1">
        <f t="array" ref="AF980">_xlfn.IFS(AE980&gt;=10,"Veteran (10y+)",AE980&gt;=3,"Established (3-10y)",AE980&lt;3,"New Hire (&lt;3y)")</f>
        <v>Established (3-10y)</v>
      </c>
      <c r="AG980">
        <v>4</v>
      </c>
      <c r="AH980">
        <v>1</v>
      </c>
      <c r="AI980">
        <v>0</v>
      </c>
    </row>
    <row r="981" spans="1:35">
      <c r="A981">
        <v>40</v>
      </c>
      <c r="B981" t="str">
        <f t="shared" si="15"/>
        <v>Middle Aged</v>
      </c>
      <c r="C981">
        <v>0</v>
      </c>
      <c r="D981" t="s">
        <v>55</v>
      </c>
      <c r="E981">
        <v>458</v>
      </c>
      <c r="F981" t="s">
        <v>45</v>
      </c>
      <c r="G981">
        <v>16</v>
      </c>
      <c r="H981" t="str" cm="1">
        <f t="array" ref="H981">_xlfn.IFS(G981&gt;15,"Long Commute",G981&gt;5,"Moderate",G981&lt;=5,"Near Office")</f>
        <v>Long Commute</v>
      </c>
      <c r="I981" t="s">
        <v>76</v>
      </c>
      <c r="J981" t="s">
        <v>38</v>
      </c>
      <c r="K981">
        <v>3</v>
      </c>
      <c r="L981" t="s">
        <v>46</v>
      </c>
      <c r="M981">
        <v>74</v>
      </c>
      <c r="N981">
        <v>3</v>
      </c>
      <c r="O981">
        <v>1</v>
      </c>
      <c r="P981" t="s">
        <v>47</v>
      </c>
      <c r="Q981" t="s">
        <v>73</v>
      </c>
      <c r="R981" t="s">
        <v>52</v>
      </c>
      <c r="S981">
        <v>3544</v>
      </c>
      <c r="T981" t="str" cm="1">
        <f t="array" ref="T981">_xlfn.IFS(S981&gt;=10000,"High (&gt;10k)",S981&gt;=5000,"Medium (5k-10k)",S981&lt;5000,"Low (&lt;5k)")</f>
        <v>Low (&lt;5k)</v>
      </c>
      <c r="U981">
        <v>8532</v>
      </c>
      <c r="V981">
        <v>9</v>
      </c>
      <c r="W981" t="s">
        <v>43</v>
      </c>
      <c r="X981">
        <v>16</v>
      </c>
      <c r="Y981">
        <v>3</v>
      </c>
      <c r="Z981">
        <v>2</v>
      </c>
      <c r="AA981">
        <v>1</v>
      </c>
      <c r="AB981">
        <v>6</v>
      </c>
      <c r="AC981">
        <v>0</v>
      </c>
      <c r="AD981" t="s">
        <v>74</v>
      </c>
      <c r="AE981">
        <v>4</v>
      </c>
      <c r="AF981" t="str" cm="1">
        <f t="array" ref="AF981">_xlfn.IFS(AE981&gt;=10,"Veteran (10y+)",AE981&gt;=3,"Established (3-10y)",AE981&lt;3,"New Hire (&lt;3y)")</f>
        <v>Established (3-10y)</v>
      </c>
      <c r="AG981">
        <v>2</v>
      </c>
      <c r="AH981">
        <v>0</v>
      </c>
      <c r="AI981">
        <v>0</v>
      </c>
    </row>
    <row r="982" spans="1:35">
      <c r="A982">
        <v>40</v>
      </c>
      <c r="B982" t="str">
        <f t="shared" si="15"/>
        <v>Middle Aged</v>
      </c>
      <c r="C982">
        <v>0</v>
      </c>
      <c r="D982" t="s">
        <v>36</v>
      </c>
      <c r="E982">
        <v>523</v>
      </c>
      <c r="F982" t="s">
        <v>45</v>
      </c>
      <c r="G982">
        <v>2</v>
      </c>
      <c r="H982" t="str" cm="1">
        <f t="array" ref="H982">_xlfn.IFS(G982&gt;15,"Long Commute",G982&gt;5,"Moderate",G982&lt;=5,"Near Office")</f>
        <v>Near Office</v>
      </c>
      <c r="I982" t="s">
        <v>72</v>
      </c>
      <c r="J982" t="s">
        <v>38</v>
      </c>
      <c r="K982">
        <v>3</v>
      </c>
      <c r="L982" t="s">
        <v>46</v>
      </c>
      <c r="M982">
        <v>98</v>
      </c>
      <c r="N982">
        <v>3</v>
      </c>
      <c r="O982">
        <v>2</v>
      </c>
      <c r="P982" t="s">
        <v>47</v>
      </c>
      <c r="Q982" t="s">
        <v>77</v>
      </c>
      <c r="R982" t="s">
        <v>41</v>
      </c>
      <c r="S982">
        <v>4661</v>
      </c>
      <c r="T982" t="str" cm="1">
        <f t="array" ref="T982">_xlfn.IFS(S982&gt;=10000,"High (&gt;10k)",S982&gt;=5000,"Medium (5k-10k)",S982&lt;5000,"Low (&lt;5k)")</f>
        <v>Low (&lt;5k)</v>
      </c>
      <c r="U982">
        <v>22455</v>
      </c>
      <c r="V982">
        <v>1</v>
      </c>
      <c r="W982" t="s">
        <v>43</v>
      </c>
      <c r="X982">
        <v>13</v>
      </c>
      <c r="Y982">
        <v>3</v>
      </c>
      <c r="Z982">
        <v>3</v>
      </c>
      <c r="AA982">
        <v>0</v>
      </c>
      <c r="AB982">
        <v>9</v>
      </c>
      <c r="AC982">
        <v>4</v>
      </c>
      <c r="AD982" t="s">
        <v>74</v>
      </c>
      <c r="AE982">
        <v>9</v>
      </c>
      <c r="AF982" t="str" cm="1">
        <f t="array" ref="AF982">_xlfn.IFS(AE982&gt;=10,"Veteran (10y+)",AE982&gt;=3,"Established (3-10y)",AE982&lt;3,"New Hire (&lt;3y)")</f>
        <v>Established (3-10y)</v>
      </c>
      <c r="AG982">
        <v>8</v>
      </c>
      <c r="AH982">
        <v>8</v>
      </c>
      <c r="AI982">
        <v>8</v>
      </c>
    </row>
    <row r="983" spans="1:35">
      <c r="A983">
        <v>40</v>
      </c>
      <c r="B983" t="str">
        <f t="shared" si="15"/>
        <v>Middle Aged</v>
      </c>
      <c r="C983">
        <v>0</v>
      </c>
      <c r="D983" t="s">
        <v>36</v>
      </c>
      <c r="E983">
        <v>329</v>
      </c>
      <c r="F983" t="s">
        <v>45</v>
      </c>
      <c r="G983">
        <v>1</v>
      </c>
      <c r="H983" t="str" cm="1">
        <f t="array" ref="H983">_xlfn.IFS(G983&gt;15,"Long Commute",G983&gt;5,"Moderate",G983&lt;=5,"Near Office")</f>
        <v>Near Office</v>
      </c>
      <c r="I983" t="s">
        <v>83</v>
      </c>
      <c r="J983" t="s">
        <v>38</v>
      </c>
      <c r="K983">
        <v>2</v>
      </c>
      <c r="L983" t="s">
        <v>46</v>
      </c>
      <c r="M983">
        <v>88</v>
      </c>
      <c r="N983">
        <v>3</v>
      </c>
      <c r="O983">
        <v>1</v>
      </c>
      <c r="P983" t="s">
        <v>50</v>
      </c>
      <c r="Q983" t="s">
        <v>75</v>
      </c>
      <c r="R983" t="s">
        <v>48</v>
      </c>
      <c r="S983">
        <v>2387</v>
      </c>
      <c r="T983" t="str" cm="1">
        <f t="array" ref="T983">_xlfn.IFS(S983&gt;=10000,"High (&gt;10k)",S983&gt;=5000,"Medium (5k-10k)",S983&lt;5000,"Low (&lt;5k)")</f>
        <v>Low (&lt;5k)</v>
      </c>
      <c r="U983">
        <v>6762</v>
      </c>
      <c r="V983">
        <v>3</v>
      </c>
      <c r="W983" t="s">
        <v>43</v>
      </c>
      <c r="X983">
        <v>22</v>
      </c>
      <c r="Y983">
        <v>4</v>
      </c>
      <c r="Z983">
        <v>3</v>
      </c>
      <c r="AA983">
        <v>1</v>
      </c>
      <c r="AB983">
        <v>7</v>
      </c>
      <c r="AC983">
        <v>3</v>
      </c>
      <c r="AD983" t="s">
        <v>74</v>
      </c>
      <c r="AE983">
        <v>4</v>
      </c>
      <c r="AF983" t="str" cm="1">
        <f t="array" ref="AF983">_xlfn.IFS(AE983&gt;=10,"Veteran (10y+)",AE983&gt;=3,"Established (3-10y)",AE983&lt;3,"New Hire (&lt;3y)")</f>
        <v>Established (3-10y)</v>
      </c>
      <c r="AG983">
        <v>2</v>
      </c>
      <c r="AH983">
        <v>0</v>
      </c>
      <c r="AI983">
        <v>3</v>
      </c>
    </row>
    <row r="984" spans="1:35">
      <c r="A984">
        <v>40</v>
      </c>
      <c r="B984" t="str">
        <f t="shared" si="15"/>
        <v>Middle Aged</v>
      </c>
      <c r="C984">
        <v>0</v>
      </c>
      <c r="D984" t="s">
        <v>36</v>
      </c>
      <c r="E984">
        <v>1202</v>
      </c>
      <c r="F984" t="s">
        <v>45</v>
      </c>
      <c r="G984">
        <v>2</v>
      </c>
      <c r="H984" t="str" cm="1">
        <f t="array" ref="H984">_xlfn.IFS(G984&gt;15,"Long Commute",G984&gt;5,"Moderate",G984&lt;=5,"Near Office")</f>
        <v>Near Office</v>
      </c>
      <c r="I984" t="s">
        <v>78</v>
      </c>
      <c r="J984" t="s">
        <v>51</v>
      </c>
      <c r="K984">
        <v>2</v>
      </c>
      <c r="L984" t="s">
        <v>39</v>
      </c>
      <c r="M984">
        <v>89</v>
      </c>
      <c r="N984">
        <v>4</v>
      </c>
      <c r="O984">
        <v>2</v>
      </c>
      <c r="P984" t="s">
        <v>54</v>
      </c>
      <c r="Q984" t="s">
        <v>73</v>
      </c>
      <c r="R984" t="s">
        <v>52</v>
      </c>
      <c r="S984">
        <v>6377</v>
      </c>
      <c r="T984" t="str" cm="1">
        <f t="array" ref="T984">_xlfn.IFS(S984&gt;=10000,"High (&gt;10k)",S984&gt;=5000,"Medium (5k-10k)",S984&lt;5000,"Low (&lt;5k)")</f>
        <v>Medium (5k-10k)</v>
      </c>
      <c r="U984">
        <v>13888</v>
      </c>
      <c r="V984">
        <v>5</v>
      </c>
      <c r="W984" t="s">
        <v>43</v>
      </c>
      <c r="X984">
        <v>20</v>
      </c>
      <c r="Y984">
        <v>4</v>
      </c>
      <c r="Z984">
        <v>2</v>
      </c>
      <c r="AA984">
        <v>3</v>
      </c>
      <c r="AB984">
        <v>15</v>
      </c>
      <c r="AC984">
        <v>0</v>
      </c>
      <c r="AD984" t="s">
        <v>74</v>
      </c>
      <c r="AE984">
        <v>12</v>
      </c>
      <c r="AF984" t="str" cm="1">
        <f t="array" ref="AF984">_xlfn.IFS(AE984&gt;=10,"Veteran (10y+)",AE984&gt;=3,"Established (3-10y)",AE984&lt;3,"New Hire (&lt;3y)")</f>
        <v>Veteran (10y+)</v>
      </c>
      <c r="AG984">
        <v>11</v>
      </c>
      <c r="AH984">
        <v>11</v>
      </c>
      <c r="AI984">
        <v>8</v>
      </c>
    </row>
    <row r="985" spans="1:35">
      <c r="A985">
        <v>40</v>
      </c>
      <c r="B985" t="str">
        <f t="shared" si="15"/>
        <v>Middle Aged</v>
      </c>
      <c r="C985">
        <v>0</v>
      </c>
      <c r="D985" t="s">
        <v>55</v>
      </c>
      <c r="E985">
        <v>663</v>
      </c>
      <c r="F985" t="s">
        <v>45</v>
      </c>
      <c r="G985">
        <v>9</v>
      </c>
      <c r="H985" t="str" cm="1">
        <f t="array" ref="H985">_xlfn.IFS(G985&gt;15,"Long Commute",G985&gt;5,"Moderate",G985&lt;=5,"Near Office")</f>
        <v>Moderate</v>
      </c>
      <c r="I985" t="s">
        <v>83</v>
      </c>
      <c r="J985" t="s">
        <v>49</v>
      </c>
      <c r="K985">
        <v>3</v>
      </c>
      <c r="L985" t="s">
        <v>46</v>
      </c>
      <c r="M985">
        <v>81</v>
      </c>
      <c r="N985">
        <v>3</v>
      </c>
      <c r="O985">
        <v>2</v>
      </c>
      <c r="P985" t="s">
        <v>50</v>
      </c>
      <c r="Q985" t="s">
        <v>73</v>
      </c>
      <c r="R985" t="s">
        <v>52</v>
      </c>
      <c r="S985">
        <v>3975</v>
      </c>
      <c r="T985" t="str" cm="1">
        <f t="array" ref="T985">_xlfn.IFS(S985&gt;=10000,"High (&gt;10k)",S985&gt;=5000,"Medium (5k-10k)",S985&lt;5000,"Low (&lt;5k)")</f>
        <v>Low (&lt;5k)</v>
      </c>
      <c r="U985">
        <v>23099</v>
      </c>
      <c r="V985">
        <v>3</v>
      </c>
      <c r="W985" t="s">
        <v>43</v>
      </c>
      <c r="X985">
        <v>11</v>
      </c>
      <c r="Y985">
        <v>3</v>
      </c>
      <c r="Z985">
        <v>3</v>
      </c>
      <c r="AA985">
        <v>2</v>
      </c>
      <c r="AB985">
        <v>11</v>
      </c>
      <c r="AC985">
        <v>2</v>
      </c>
      <c r="AD985" t="s">
        <v>79</v>
      </c>
      <c r="AE985">
        <v>8</v>
      </c>
      <c r="AF985" t="str" cm="1">
        <f t="array" ref="AF985">_xlfn.IFS(AE985&gt;=10,"Veteran (10y+)",AE985&gt;=3,"Established (3-10y)",AE985&lt;3,"New Hire (&lt;3y)")</f>
        <v>Established (3-10y)</v>
      </c>
      <c r="AG985">
        <v>7</v>
      </c>
      <c r="AH985">
        <v>0</v>
      </c>
      <c r="AI985">
        <v>7</v>
      </c>
    </row>
    <row r="986" spans="1:35">
      <c r="A986">
        <v>40</v>
      </c>
      <c r="B986" t="str">
        <f t="shared" si="15"/>
        <v>Middle Aged</v>
      </c>
      <c r="C986">
        <v>0</v>
      </c>
      <c r="D986" t="s">
        <v>55</v>
      </c>
      <c r="E986">
        <v>218</v>
      </c>
      <c r="F986" t="s">
        <v>45</v>
      </c>
      <c r="G986">
        <v>8</v>
      </c>
      <c r="H986" t="str" cm="1">
        <f t="array" ref="H986">_xlfn.IFS(G986&gt;15,"Long Commute",G986&gt;5,"Moderate",G986&lt;=5,"Near Office")</f>
        <v>Moderate</v>
      </c>
      <c r="I986" t="s">
        <v>78</v>
      </c>
      <c r="J986" t="s">
        <v>51</v>
      </c>
      <c r="K986">
        <v>4</v>
      </c>
      <c r="L986" t="s">
        <v>46</v>
      </c>
      <c r="M986">
        <v>55</v>
      </c>
      <c r="N986">
        <v>2</v>
      </c>
      <c r="O986">
        <v>3</v>
      </c>
      <c r="P986" t="s">
        <v>58</v>
      </c>
      <c r="Q986" t="s">
        <v>75</v>
      </c>
      <c r="R986" t="s">
        <v>52</v>
      </c>
      <c r="S986">
        <v>13757</v>
      </c>
      <c r="T986" t="str" cm="1">
        <f t="array" ref="T986">_xlfn.IFS(S986&gt;=10000,"High (&gt;10k)",S986&gt;=5000,"Medium (5k-10k)",S986&lt;5000,"Low (&lt;5k)")</f>
        <v>High (&gt;10k)</v>
      </c>
      <c r="U986">
        <v>25178</v>
      </c>
      <c r="V986">
        <v>2</v>
      </c>
      <c r="W986" t="s">
        <v>43</v>
      </c>
      <c r="X986">
        <v>11</v>
      </c>
      <c r="Y986">
        <v>3</v>
      </c>
      <c r="Z986">
        <v>3</v>
      </c>
      <c r="AA986">
        <v>1</v>
      </c>
      <c r="AB986">
        <v>16</v>
      </c>
      <c r="AC986">
        <v>5</v>
      </c>
      <c r="AD986" t="s">
        <v>74</v>
      </c>
      <c r="AE986">
        <v>9</v>
      </c>
      <c r="AF986" t="str" cm="1">
        <f t="array" ref="AF986">_xlfn.IFS(AE986&gt;=10,"Veteran (10y+)",AE986&gt;=3,"Established (3-10y)",AE986&lt;3,"New Hire (&lt;3y)")</f>
        <v>Established (3-10y)</v>
      </c>
      <c r="AG986">
        <v>8</v>
      </c>
      <c r="AH986">
        <v>4</v>
      </c>
      <c r="AI986">
        <v>8</v>
      </c>
    </row>
    <row r="987" spans="1:35">
      <c r="A987">
        <v>40</v>
      </c>
      <c r="B987" t="str">
        <f t="shared" si="15"/>
        <v>Middle Aged</v>
      </c>
      <c r="C987">
        <v>0</v>
      </c>
      <c r="D987" t="s">
        <v>36</v>
      </c>
      <c r="E987">
        <v>896</v>
      </c>
      <c r="F987" t="s">
        <v>45</v>
      </c>
      <c r="G987">
        <v>2</v>
      </c>
      <c r="H987" t="str" cm="1">
        <f t="array" ref="H987">_xlfn.IFS(G987&gt;15,"Long Commute",G987&gt;5,"Moderate",G987&lt;=5,"Near Office")</f>
        <v>Near Office</v>
      </c>
      <c r="I987" t="s">
        <v>72</v>
      </c>
      <c r="J987" t="s">
        <v>51</v>
      </c>
      <c r="K987">
        <v>3</v>
      </c>
      <c r="L987" t="s">
        <v>46</v>
      </c>
      <c r="M987">
        <v>68</v>
      </c>
      <c r="N987">
        <v>3</v>
      </c>
      <c r="O987">
        <v>1</v>
      </c>
      <c r="P987" t="s">
        <v>47</v>
      </c>
      <c r="Q987" t="s">
        <v>73</v>
      </c>
      <c r="R987" t="s">
        <v>52</v>
      </c>
      <c r="S987">
        <v>2345</v>
      </c>
      <c r="T987" t="str" cm="1">
        <f t="array" ref="T987">_xlfn.IFS(S987&gt;=10000,"High (&gt;10k)",S987&gt;=5000,"Medium (5k-10k)",S987&lt;5000,"Low (&lt;5k)")</f>
        <v>Low (&lt;5k)</v>
      </c>
      <c r="U987">
        <v>8045</v>
      </c>
      <c r="V987">
        <v>2</v>
      </c>
      <c r="W987" t="s">
        <v>43</v>
      </c>
      <c r="X987">
        <v>14</v>
      </c>
      <c r="Y987">
        <v>3</v>
      </c>
      <c r="Z987">
        <v>3</v>
      </c>
      <c r="AA987">
        <v>1</v>
      </c>
      <c r="AB987">
        <v>8</v>
      </c>
      <c r="AC987">
        <v>3</v>
      </c>
      <c r="AD987" t="s">
        <v>79</v>
      </c>
      <c r="AE987">
        <v>3</v>
      </c>
      <c r="AF987" t="str" cm="1">
        <f t="array" ref="AF987">_xlfn.IFS(AE987&gt;=10,"Veteran (10y+)",AE987&gt;=3,"Established (3-10y)",AE987&lt;3,"New Hire (&lt;3y)")</f>
        <v>Established (3-10y)</v>
      </c>
      <c r="AG987">
        <v>1</v>
      </c>
      <c r="AH987">
        <v>1</v>
      </c>
      <c r="AI987">
        <v>2</v>
      </c>
    </row>
    <row r="988" spans="1:35">
      <c r="A988">
        <v>40</v>
      </c>
      <c r="B988" t="str">
        <f t="shared" si="15"/>
        <v>Middle Aged</v>
      </c>
      <c r="C988">
        <v>1</v>
      </c>
      <c r="D988" t="s">
        <v>36</v>
      </c>
      <c r="E988">
        <v>676</v>
      </c>
      <c r="F988" t="s">
        <v>45</v>
      </c>
      <c r="G988">
        <v>9</v>
      </c>
      <c r="H988" t="str" cm="1">
        <f t="array" ref="H988">_xlfn.IFS(G988&gt;15,"Long Commute",G988&gt;5,"Moderate",G988&lt;=5,"Near Office")</f>
        <v>Moderate</v>
      </c>
      <c r="I988" t="s">
        <v>83</v>
      </c>
      <c r="J988" t="s">
        <v>38</v>
      </c>
      <c r="K988">
        <v>4</v>
      </c>
      <c r="L988" t="s">
        <v>46</v>
      </c>
      <c r="M988">
        <v>86</v>
      </c>
      <c r="N988">
        <v>3</v>
      </c>
      <c r="O988">
        <v>1</v>
      </c>
      <c r="P988" t="s">
        <v>50</v>
      </c>
      <c r="Q988" t="s">
        <v>82</v>
      </c>
      <c r="R988" t="s">
        <v>41</v>
      </c>
      <c r="S988">
        <v>2018</v>
      </c>
      <c r="T988" t="str" cm="1">
        <f t="array" ref="T988">_xlfn.IFS(S988&gt;=10000,"High (&gt;10k)",S988&gt;=5000,"Medium (5k-10k)",S988&lt;5000,"Low (&lt;5k)")</f>
        <v>Low (&lt;5k)</v>
      </c>
      <c r="U988">
        <v>21831</v>
      </c>
      <c r="V988">
        <v>3</v>
      </c>
      <c r="W988" t="s">
        <v>43</v>
      </c>
      <c r="X988">
        <v>14</v>
      </c>
      <c r="Y988">
        <v>3</v>
      </c>
      <c r="Z988">
        <v>2</v>
      </c>
      <c r="AA988">
        <v>0</v>
      </c>
      <c r="AB988">
        <v>15</v>
      </c>
      <c r="AC988">
        <v>3</v>
      </c>
      <c r="AD988" t="s">
        <v>80</v>
      </c>
      <c r="AE988">
        <v>5</v>
      </c>
      <c r="AF988" t="str" cm="1">
        <f t="array" ref="AF988">_xlfn.IFS(AE988&gt;=10,"Veteran (10y+)",AE988&gt;=3,"Established (3-10y)",AE988&lt;3,"New Hire (&lt;3y)")</f>
        <v>Established (3-10y)</v>
      </c>
      <c r="AG988">
        <v>4</v>
      </c>
      <c r="AH988">
        <v>1</v>
      </c>
      <c r="AI988">
        <v>0</v>
      </c>
    </row>
    <row r="989" spans="1:35">
      <c r="A989">
        <v>40</v>
      </c>
      <c r="B989" t="str">
        <f t="shared" si="15"/>
        <v>Middle Aged</v>
      </c>
      <c r="C989">
        <v>0</v>
      </c>
      <c r="D989" t="s">
        <v>36</v>
      </c>
      <c r="E989">
        <v>1342</v>
      </c>
      <c r="F989" t="s">
        <v>37</v>
      </c>
      <c r="G989">
        <v>9</v>
      </c>
      <c r="H989" t="str" cm="1">
        <f t="array" ref="H989">_xlfn.IFS(G989&gt;15,"Long Commute",G989&gt;5,"Moderate",G989&lt;=5,"Near Office")</f>
        <v>Moderate</v>
      </c>
      <c r="I989" t="s">
        <v>76</v>
      </c>
      <c r="J989" t="s">
        <v>51</v>
      </c>
      <c r="K989">
        <v>1</v>
      </c>
      <c r="L989" t="s">
        <v>46</v>
      </c>
      <c r="M989">
        <v>47</v>
      </c>
      <c r="N989">
        <v>3</v>
      </c>
      <c r="O989">
        <v>2</v>
      </c>
      <c r="P989" t="s">
        <v>40</v>
      </c>
      <c r="Q989" t="s">
        <v>82</v>
      </c>
      <c r="R989" t="s">
        <v>48</v>
      </c>
      <c r="S989">
        <v>5473</v>
      </c>
      <c r="T989" t="str" cm="1">
        <f t="array" ref="T989">_xlfn.IFS(S989&gt;=10000,"High (&gt;10k)",S989&gt;=5000,"Medium (5k-10k)",S989&lt;5000,"Low (&lt;5k)")</f>
        <v>Medium (5k-10k)</v>
      </c>
      <c r="U989">
        <v>19345</v>
      </c>
      <c r="V989">
        <v>0</v>
      </c>
      <c r="W989" t="s">
        <v>43</v>
      </c>
      <c r="X989">
        <v>12</v>
      </c>
      <c r="Y989">
        <v>3</v>
      </c>
      <c r="Z989">
        <v>4</v>
      </c>
      <c r="AA989">
        <v>0</v>
      </c>
      <c r="AB989">
        <v>9</v>
      </c>
      <c r="AC989">
        <v>5</v>
      </c>
      <c r="AD989" t="s">
        <v>79</v>
      </c>
      <c r="AE989">
        <v>8</v>
      </c>
      <c r="AF989" t="str" cm="1">
        <f t="array" ref="AF989">_xlfn.IFS(AE989&gt;=10,"Veteran (10y+)",AE989&gt;=3,"Established (3-10y)",AE989&lt;3,"New Hire (&lt;3y)")</f>
        <v>Established (3-10y)</v>
      </c>
      <c r="AG989">
        <v>4</v>
      </c>
      <c r="AH989">
        <v>7</v>
      </c>
      <c r="AI989">
        <v>1</v>
      </c>
    </row>
    <row r="990" spans="1:35">
      <c r="A990">
        <v>40</v>
      </c>
      <c r="B990" t="str">
        <f t="shared" si="15"/>
        <v>Middle Aged</v>
      </c>
      <c r="C990">
        <v>0</v>
      </c>
      <c r="D990" t="s">
        <v>36</v>
      </c>
      <c r="E990">
        <v>898</v>
      </c>
      <c r="F990" t="s">
        <v>61</v>
      </c>
      <c r="G990">
        <v>6</v>
      </c>
      <c r="H990" t="str" cm="1">
        <f t="array" ref="H990">_xlfn.IFS(G990&gt;15,"Long Commute",G990&gt;5,"Moderate",G990&lt;=5,"Near Office")</f>
        <v>Moderate</v>
      </c>
      <c r="I990" t="s">
        <v>76</v>
      </c>
      <c r="J990" t="s">
        <v>51</v>
      </c>
      <c r="K990">
        <v>3</v>
      </c>
      <c r="L990" t="s">
        <v>46</v>
      </c>
      <c r="M990">
        <v>38</v>
      </c>
      <c r="N990">
        <v>3</v>
      </c>
      <c r="O990">
        <v>4</v>
      </c>
      <c r="P990" t="s">
        <v>56</v>
      </c>
      <c r="Q990" t="s">
        <v>77</v>
      </c>
      <c r="R990" t="s">
        <v>41</v>
      </c>
      <c r="S990">
        <v>16437</v>
      </c>
      <c r="T990" t="str" cm="1">
        <f t="array" ref="T990">_xlfn.IFS(S990&gt;=10000,"High (&gt;10k)",S990&gt;=5000,"Medium (5k-10k)",S990&lt;5000,"Low (&lt;5k)")</f>
        <v>High (&gt;10k)</v>
      </c>
      <c r="U990">
        <v>17381</v>
      </c>
      <c r="V990">
        <v>1</v>
      </c>
      <c r="W990" t="s">
        <v>35</v>
      </c>
      <c r="X990">
        <v>21</v>
      </c>
      <c r="Y990">
        <v>4</v>
      </c>
      <c r="Z990">
        <v>4</v>
      </c>
      <c r="AA990">
        <v>0</v>
      </c>
      <c r="AB990">
        <v>21</v>
      </c>
      <c r="AC990">
        <v>2</v>
      </c>
      <c r="AD990" t="s">
        <v>74</v>
      </c>
      <c r="AE990">
        <v>21</v>
      </c>
      <c r="AF990" t="str" cm="1">
        <f t="array" ref="AF990">_xlfn.IFS(AE990&gt;=10,"Veteran (10y+)",AE990&gt;=3,"Established (3-10y)",AE990&lt;3,"New Hire (&lt;3y)")</f>
        <v>Veteran (10y+)</v>
      </c>
      <c r="AG990">
        <v>7</v>
      </c>
      <c r="AH990">
        <v>7</v>
      </c>
      <c r="AI990">
        <v>7</v>
      </c>
    </row>
    <row r="991" spans="1:35">
      <c r="A991">
        <v>40</v>
      </c>
      <c r="B991" t="str">
        <f t="shared" si="15"/>
        <v>Middle Aged</v>
      </c>
      <c r="C991">
        <v>0</v>
      </c>
      <c r="D991" t="s">
        <v>55</v>
      </c>
      <c r="E991">
        <v>1142</v>
      </c>
      <c r="F991" t="s">
        <v>45</v>
      </c>
      <c r="G991">
        <v>8</v>
      </c>
      <c r="H991" t="str" cm="1">
        <f t="array" ref="H991">_xlfn.IFS(G991&gt;15,"Long Commute",G991&gt;5,"Moderate",G991&lt;=5,"Near Office")</f>
        <v>Moderate</v>
      </c>
      <c r="I991" t="s">
        <v>76</v>
      </c>
      <c r="J991" t="s">
        <v>38</v>
      </c>
      <c r="K991">
        <v>4</v>
      </c>
      <c r="L991" t="s">
        <v>46</v>
      </c>
      <c r="M991">
        <v>72</v>
      </c>
      <c r="N991">
        <v>3</v>
      </c>
      <c r="O991">
        <v>2</v>
      </c>
      <c r="P991" t="s">
        <v>54</v>
      </c>
      <c r="Q991" t="s">
        <v>77</v>
      </c>
      <c r="R991" t="s">
        <v>52</v>
      </c>
      <c r="S991">
        <v>4069</v>
      </c>
      <c r="T991" t="str" cm="1">
        <f t="array" ref="T991">_xlfn.IFS(S991&gt;=10000,"High (&gt;10k)",S991&gt;=5000,"Medium (5k-10k)",S991&lt;5000,"Low (&lt;5k)")</f>
        <v>Low (&lt;5k)</v>
      </c>
      <c r="U991">
        <v>8841</v>
      </c>
      <c r="V991">
        <v>3</v>
      </c>
      <c r="W991" t="s">
        <v>35</v>
      </c>
      <c r="X991">
        <v>18</v>
      </c>
      <c r="Y991">
        <v>3</v>
      </c>
      <c r="Z991">
        <v>3</v>
      </c>
      <c r="AA991">
        <v>0</v>
      </c>
      <c r="AB991">
        <v>8</v>
      </c>
      <c r="AC991">
        <v>2</v>
      </c>
      <c r="AD991" t="s">
        <v>74</v>
      </c>
      <c r="AE991">
        <v>2</v>
      </c>
      <c r="AF991" t="str" cm="1">
        <f t="array" ref="AF991">_xlfn.IFS(AE991&gt;=10,"Veteran (10y+)",AE991&gt;=3,"Established (3-10y)",AE991&lt;3,"New Hire (&lt;3y)")</f>
        <v>New Hire (&lt;3y)</v>
      </c>
      <c r="AG991">
        <v>2</v>
      </c>
      <c r="AH991">
        <v>2</v>
      </c>
      <c r="AI991">
        <v>2</v>
      </c>
    </row>
    <row r="992" spans="1:35">
      <c r="A992">
        <v>40</v>
      </c>
      <c r="B992" t="str">
        <f t="shared" si="15"/>
        <v>Middle Aged</v>
      </c>
      <c r="C992">
        <v>0</v>
      </c>
      <c r="D992" t="s">
        <v>36</v>
      </c>
      <c r="E992">
        <v>118</v>
      </c>
      <c r="F992" t="s">
        <v>37</v>
      </c>
      <c r="G992">
        <v>14</v>
      </c>
      <c r="H992" t="str" cm="1">
        <f t="array" ref="H992">_xlfn.IFS(G992&gt;15,"Long Commute",G992&gt;5,"Moderate",G992&lt;=5,"Near Office")</f>
        <v>Moderate</v>
      </c>
      <c r="I992" t="s">
        <v>76</v>
      </c>
      <c r="J992" t="s">
        <v>38</v>
      </c>
      <c r="K992">
        <v>4</v>
      </c>
      <c r="L992" t="s">
        <v>39</v>
      </c>
      <c r="M992">
        <v>84</v>
      </c>
      <c r="N992">
        <v>3</v>
      </c>
      <c r="O992">
        <v>2</v>
      </c>
      <c r="P992" t="s">
        <v>40</v>
      </c>
      <c r="Q992" t="s">
        <v>82</v>
      </c>
      <c r="R992" t="s">
        <v>48</v>
      </c>
      <c r="S992">
        <v>4639</v>
      </c>
      <c r="T992" t="str" cm="1">
        <f t="array" ref="T992">_xlfn.IFS(S992&gt;=10000,"High (&gt;10k)",S992&gt;=5000,"Medium (5k-10k)",S992&lt;5000,"Low (&lt;5k)")</f>
        <v>Low (&lt;5k)</v>
      </c>
      <c r="U992">
        <v>11262</v>
      </c>
      <c r="V992">
        <v>1</v>
      </c>
      <c r="W992" t="s">
        <v>43</v>
      </c>
      <c r="X992">
        <v>15</v>
      </c>
      <c r="Y992">
        <v>3</v>
      </c>
      <c r="Z992">
        <v>3</v>
      </c>
      <c r="AA992">
        <v>1</v>
      </c>
      <c r="AB992">
        <v>5</v>
      </c>
      <c r="AC992">
        <v>2</v>
      </c>
      <c r="AD992" t="s">
        <v>74</v>
      </c>
      <c r="AE992">
        <v>5</v>
      </c>
      <c r="AF992" t="str" cm="1">
        <f t="array" ref="AF992">_xlfn.IFS(AE992&gt;=10,"Veteran (10y+)",AE992&gt;=3,"Established (3-10y)",AE992&lt;3,"New Hire (&lt;3y)")</f>
        <v>Established (3-10y)</v>
      </c>
      <c r="AG992">
        <v>4</v>
      </c>
      <c r="AH992">
        <v>1</v>
      </c>
      <c r="AI992">
        <v>2</v>
      </c>
    </row>
    <row r="993" spans="1:35">
      <c r="A993">
        <v>40</v>
      </c>
      <c r="B993" t="str">
        <f t="shared" si="15"/>
        <v>Middle Aged</v>
      </c>
      <c r="C993">
        <v>0</v>
      </c>
      <c r="D993" t="s">
        <v>36</v>
      </c>
      <c r="E993">
        <v>884</v>
      </c>
      <c r="F993" t="s">
        <v>45</v>
      </c>
      <c r="G993">
        <v>15</v>
      </c>
      <c r="H993" t="str" cm="1">
        <f t="array" ref="H993">_xlfn.IFS(G993&gt;15,"Long Commute",G993&gt;5,"Moderate",G993&lt;=5,"Near Office")</f>
        <v>Moderate</v>
      </c>
      <c r="I993" t="s">
        <v>72</v>
      </c>
      <c r="J993" t="s">
        <v>38</v>
      </c>
      <c r="K993">
        <v>1</v>
      </c>
      <c r="L993" t="s">
        <v>39</v>
      </c>
      <c r="M993">
        <v>80</v>
      </c>
      <c r="N993">
        <v>2</v>
      </c>
      <c r="O993">
        <v>3</v>
      </c>
      <c r="P993" t="s">
        <v>53</v>
      </c>
      <c r="Q993" t="s">
        <v>73</v>
      </c>
      <c r="R993" t="s">
        <v>48</v>
      </c>
      <c r="S993">
        <v>10435</v>
      </c>
      <c r="T993" t="str" cm="1">
        <f t="array" ref="T993">_xlfn.IFS(S993&gt;=10000,"High (&gt;10k)",S993&gt;=5000,"Medium (5k-10k)",S993&lt;5000,"Low (&lt;5k)")</f>
        <v>High (&gt;10k)</v>
      </c>
      <c r="U993">
        <v>25800</v>
      </c>
      <c r="V993">
        <v>1</v>
      </c>
      <c r="W993" t="s">
        <v>43</v>
      </c>
      <c r="X993">
        <v>13</v>
      </c>
      <c r="Y993">
        <v>3</v>
      </c>
      <c r="Z993">
        <v>4</v>
      </c>
      <c r="AA993">
        <v>2</v>
      </c>
      <c r="AB993">
        <v>18</v>
      </c>
      <c r="AC993">
        <v>2</v>
      </c>
      <c r="AD993" t="s">
        <v>74</v>
      </c>
      <c r="AE993">
        <v>18</v>
      </c>
      <c r="AF993" t="str" cm="1">
        <f t="array" ref="AF993">_xlfn.IFS(AE993&gt;=10,"Veteran (10y+)",AE993&gt;=3,"Established (3-10y)",AE993&lt;3,"New Hire (&lt;3y)")</f>
        <v>Veteran (10y+)</v>
      </c>
      <c r="AG993">
        <v>15</v>
      </c>
      <c r="AH993">
        <v>14</v>
      </c>
      <c r="AI993">
        <v>12</v>
      </c>
    </row>
    <row r="994" spans="1:35">
      <c r="A994">
        <v>40</v>
      </c>
      <c r="B994" t="str">
        <f t="shared" si="15"/>
        <v>Middle Aged</v>
      </c>
      <c r="C994">
        <v>0</v>
      </c>
      <c r="D994" t="s">
        <v>36</v>
      </c>
      <c r="E994">
        <v>448</v>
      </c>
      <c r="F994" t="s">
        <v>45</v>
      </c>
      <c r="G994">
        <v>16</v>
      </c>
      <c r="H994" t="str" cm="1">
        <f t="array" ref="H994">_xlfn.IFS(G994&gt;15,"Long Commute",G994&gt;5,"Moderate",G994&lt;=5,"Near Office")</f>
        <v>Long Commute</v>
      </c>
      <c r="I994" t="s">
        <v>72</v>
      </c>
      <c r="J994" t="s">
        <v>38</v>
      </c>
      <c r="K994">
        <v>3</v>
      </c>
      <c r="L994" t="s">
        <v>39</v>
      </c>
      <c r="M994">
        <v>84</v>
      </c>
      <c r="N994">
        <v>3</v>
      </c>
      <c r="O994">
        <v>3</v>
      </c>
      <c r="P994" t="s">
        <v>53</v>
      </c>
      <c r="Q994" t="s">
        <v>77</v>
      </c>
      <c r="R994" t="s">
        <v>41</v>
      </c>
      <c r="S994">
        <v>7945</v>
      </c>
      <c r="T994" t="str" cm="1">
        <f t="array" ref="T994">_xlfn.IFS(S994&gt;=10000,"High (&gt;10k)",S994&gt;=5000,"Medium (5k-10k)",S994&lt;5000,"Low (&lt;5k)")</f>
        <v>Medium (5k-10k)</v>
      </c>
      <c r="U994">
        <v>19948</v>
      </c>
      <c r="V994">
        <v>6</v>
      </c>
      <c r="W994" t="s">
        <v>35</v>
      </c>
      <c r="X994">
        <v>15</v>
      </c>
      <c r="Y994">
        <v>3</v>
      </c>
      <c r="Z994">
        <v>4</v>
      </c>
      <c r="AA994">
        <v>0</v>
      </c>
      <c r="AB994">
        <v>18</v>
      </c>
      <c r="AC994">
        <v>2</v>
      </c>
      <c r="AD994" t="s">
        <v>81</v>
      </c>
      <c r="AE994">
        <v>4</v>
      </c>
      <c r="AF994" t="str" cm="1">
        <f t="array" ref="AF994">_xlfn.IFS(AE994&gt;=10,"Veteran (10y+)",AE994&gt;=3,"Established (3-10y)",AE994&lt;3,"New Hire (&lt;3y)")</f>
        <v>Established (3-10y)</v>
      </c>
      <c r="AG994">
        <v>2</v>
      </c>
      <c r="AH994">
        <v>3</v>
      </c>
      <c r="AI994">
        <v>3</v>
      </c>
    </row>
    <row r="995" spans="1:35">
      <c r="A995">
        <v>40</v>
      </c>
      <c r="B995" t="str">
        <f t="shared" si="15"/>
        <v>Middle Aged</v>
      </c>
      <c r="C995">
        <v>1</v>
      </c>
      <c r="D995" t="s">
        <v>36</v>
      </c>
      <c r="E995">
        <v>1329</v>
      </c>
      <c r="F995" t="s">
        <v>45</v>
      </c>
      <c r="G995">
        <v>7</v>
      </c>
      <c r="H995" t="str" cm="1">
        <f t="array" ref="H995">_xlfn.IFS(G995&gt;15,"Long Commute",G995&gt;5,"Moderate",G995&lt;=5,"Near Office")</f>
        <v>Moderate</v>
      </c>
      <c r="I995" t="s">
        <v>72</v>
      </c>
      <c r="J995" t="s">
        <v>38</v>
      </c>
      <c r="K995">
        <v>1</v>
      </c>
      <c r="L995" t="s">
        <v>46</v>
      </c>
      <c r="M995">
        <v>73</v>
      </c>
      <c r="N995">
        <v>3</v>
      </c>
      <c r="O995">
        <v>1</v>
      </c>
      <c r="P995" t="s">
        <v>50</v>
      </c>
      <c r="Q995" t="s">
        <v>82</v>
      </c>
      <c r="R995" t="s">
        <v>41</v>
      </c>
      <c r="S995">
        <v>2166</v>
      </c>
      <c r="T995" t="str" cm="1">
        <f t="array" ref="T995">_xlfn.IFS(S995&gt;=10000,"High (&gt;10k)",S995&gt;=5000,"Medium (5k-10k)",S995&lt;5000,"Low (&lt;5k)")</f>
        <v>Low (&lt;5k)</v>
      </c>
      <c r="U995">
        <v>3339</v>
      </c>
      <c r="V995">
        <v>3</v>
      </c>
      <c r="W995" t="s">
        <v>35</v>
      </c>
      <c r="X995">
        <v>14</v>
      </c>
      <c r="Y995">
        <v>3</v>
      </c>
      <c r="Z995">
        <v>2</v>
      </c>
      <c r="AA995">
        <v>0</v>
      </c>
      <c r="AB995">
        <v>10</v>
      </c>
      <c r="AC995">
        <v>3</v>
      </c>
      <c r="AD995" t="s">
        <v>80</v>
      </c>
      <c r="AE995">
        <v>4</v>
      </c>
      <c r="AF995" t="str" cm="1">
        <f t="array" ref="AF995">_xlfn.IFS(AE995&gt;=10,"Veteran (10y+)",AE995&gt;=3,"Established (3-10y)",AE995&lt;3,"New Hire (&lt;3y)")</f>
        <v>Established (3-10y)</v>
      </c>
      <c r="AG995">
        <v>2</v>
      </c>
      <c r="AH995">
        <v>0</v>
      </c>
      <c r="AI995">
        <v>3</v>
      </c>
    </row>
    <row r="996" spans="1:35">
      <c r="A996">
        <v>40</v>
      </c>
      <c r="B996" t="str">
        <f t="shared" si="15"/>
        <v>Middle Aged</v>
      </c>
      <c r="C996">
        <v>0</v>
      </c>
      <c r="D996" t="s">
        <v>36</v>
      </c>
      <c r="E996">
        <v>369</v>
      </c>
      <c r="F996" t="s">
        <v>45</v>
      </c>
      <c r="G996">
        <v>8</v>
      </c>
      <c r="H996" t="str" cm="1">
        <f t="array" ref="H996">_xlfn.IFS(G996&gt;15,"Long Commute",G996&gt;5,"Moderate",G996&lt;=5,"Near Office")</f>
        <v>Moderate</v>
      </c>
      <c r="I996" t="s">
        <v>76</v>
      </c>
      <c r="J996" t="s">
        <v>38</v>
      </c>
      <c r="K996">
        <v>2</v>
      </c>
      <c r="L996" t="s">
        <v>39</v>
      </c>
      <c r="M996">
        <v>92</v>
      </c>
      <c r="N996">
        <v>3</v>
      </c>
      <c r="O996">
        <v>2</v>
      </c>
      <c r="P996" t="s">
        <v>53</v>
      </c>
      <c r="Q996" t="s">
        <v>82</v>
      </c>
      <c r="R996" t="s">
        <v>48</v>
      </c>
      <c r="S996">
        <v>6516</v>
      </c>
      <c r="T996" t="str" cm="1">
        <f t="array" ref="T996">_xlfn.IFS(S996&gt;=10000,"High (&gt;10k)",S996&gt;=5000,"Medium (5k-10k)",S996&lt;5000,"Low (&lt;5k)")</f>
        <v>Medium (5k-10k)</v>
      </c>
      <c r="U996">
        <v>5041</v>
      </c>
      <c r="V996">
        <v>2</v>
      </c>
      <c r="W996" t="s">
        <v>35</v>
      </c>
      <c r="X996">
        <v>16</v>
      </c>
      <c r="Y996">
        <v>3</v>
      </c>
      <c r="Z996">
        <v>2</v>
      </c>
      <c r="AA996">
        <v>1</v>
      </c>
      <c r="AB996">
        <v>18</v>
      </c>
      <c r="AC996">
        <v>3</v>
      </c>
      <c r="AD996" t="s">
        <v>74</v>
      </c>
      <c r="AE996">
        <v>1</v>
      </c>
      <c r="AF996" t="str" cm="1">
        <f t="array" ref="AF996">_xlfn.IFS(AE996&gt;=10,"Veteran (10y+)",AE996&gt;=3,"Established (3-10y)",AE996&lt;3,"New Hire (&lt;3y)")</f>
        <v>New Hire (&lt;3y)</v>
      </c>
      <c r="AG996">
        <v>0</v>
      </c>
      <c r="AH996">
        <v>0</v>
      </c>
      <c r="AI996">
        <v>0</v>
      </c>
    </row>
    <row r="997" spans="1:35">
      <c r="A997">
        <v>40</v>
      </c>
      <c r="B997" t="str">
        <f t="shared" si="15"/>
        <v>Middle Aged</v>
      </c>
      <c r="C997">
        <v>0</v>
      </c>
      <c r="D997" t="s">
        <v>36</v>
      </c>
      <c r="E997">
        <v>611</v>
      </c>
      <c r="F997" t="s">
        <v>37</v>
      </c>
      <c r="G997">
        <v>7</v>
      </c>
      <c r="H997" t="str" cm="1">
        <f t="array" ref="H997">_xlfn.IFS(G997&gt;15,"Long Commute",G997&gt;5,"Moderate",G997&lt;=5,"Near Office")</f>
        <v>Moderate</v>
      </c>
      <c r="I997" t="s">
        <v>83</v>
      </c>
      <c r="J997" t="s">
        <v>51</v>
      </c>
      <c r="K997">
        <v>2</v>
      </c>
      <c r="L997" t="s">
        <v>46</v>
      </c>
      <c r="M997">
        <v>88</v>
      </c>
      <c r="N997">
        <v>3</v>
      </c>
      <c r="O997">
        <v>5</v>
      </c>
      <c r="P997" t="s">
        <v>56</v>
      </c>
      <c r="Q997" t="s">
        <v>75</v>
      </c>
      <c r="R997" t="s">
        <v>41</v>
      </c>
      <c r="S997">
        <v>19833</v>
      </c>
      <c r="T997" t="str" cm="1">
        <f t="array" ref="T997">_xlfn.IFS(S997&gt;=10000,"High (&gt;10k)",S997&gt;=5000,"Medium (5k-10k)",S997&lt;5000,"Low (&lt;5k)")</f>
        <v>High (&gt;10k)</v>
      </c>
      <c r="U997">
        <v>4349</v>
      </c>
      <c r="V997">
        <v>1</v>
      </c>
      <c r="W997" t="s">
        <v>43</v>
      </c>
      <c r="X997">
        <v>14</v>
      </c>
      <c r="Y997">
        <v>3</v>
      </c>
      <c r="Z997">
        <v>2</v>
      </c>
      <c r="AA997">
        <v>0</v>
      </c>
      <c r="AB997">
        <v>21</v>
      </c>
      <c r="AC997">
        <v>3</v>
      </c>
      <c r="AD997" t="s">
        <v>81</v>
      </c>
      <c r="AE997">
        <v>21</v>
      </c>
      <c r="AF997" t="str" cm="1">
        <f t="array" ref="AF997">_xlfn.IFS(AE997&gt;=10,"Veteran (10y+)",AE997&gt;=3,"Established (3-10y)",AE997&lt;3,"New Hire (&lt;3y)")</f>
        <v>Veteran (10y+)</v>
      </c>
      <c r="AG997">
        <v>8</v>
      </c>
      <c r="AH997">
        <v>12</v>
      </c>
      <c r="AI997">
        <v>8</v>
      </c>
    </row>
    <row r="998" spans="1:35">
      <c r="A998">
        <v>40</v>
      </c>
      <c r="B998" t="str">
        <f t="shared" si="15"/>
        <v>Middle Aged</v>
      </c>
      <c r="C998">
        <v>0</v>
      </c>
      <c r="D998" t="s">
        <v>36</v>
      </c>
      <c r="E998">
        <v>616</v>
      </c>
      <c r="F998" t="s">
        <v>45</v>
      </c>
      <c r="G998">
        <v>2</v>
      </c>
      <c r="H998" t="str" cm="1">
        <f t="array" ref="H998">_xlfn.IFS(G998&gt;15,"Long Commute",G998&gt;5,"Moderate",G998&lt;=5,"Near Office")</f>
        <v>Near Office</v>
      </c>
      <c r="I998" t="s">
        <v>76</v>
      </c>
      <c r="J998" t="s">
        <v>38</v>
      </c>
      <c r="K998">
        <v>3</v>
      </c>
      <c r="L998" t="s">
        <v>39</v>
      </c>
      <c r="M998">
        <v>99</v>
      </c>
      <c r="N998">
        <v>3</v>
      </c>
      <c r="O998">
        <v>1</v>
      </c>
      <c r="P998" t="s">
        <v>50</v>
      </c>
      <c r="Q998" t="s">
        <v>82</v>
      </c>
      <c r="R998" t="s">
        <v>48</v>
      </c>
      <c r="S998">
        <v>3377</v>
      </c>
      <c r="T998" t="str" cm="1">
        <f t="array" ref="T998">_xlfn.IFS(S998&gt;=10000,"High (&gt;10k)",S998&gt;=5000,"Medium (5k-10k)",S998&lt;5000,"Low (&lt;5k)")</f>
        <v>Low (&lt;5k)</v>
      </c>
      <c r="U998">
        <v>25605</v>
      </c>
      <c r="V998">
        <v>4</v>
      </c>
      <c r="W998" t="s">
        <v>43</v>
      </c>
      <c r="X998">
        <v>17</v>
      </c>
      <c r="Y998">
        <v>3</v>
      </c>
      <c r="Z998">
        <v>4</v>
      </c>
      <c r="AA998">
        <v>1</v>
      </c>
      <c r="AB998">
        <v>7</v>
      </c>
      <c r="AC998">
        <v>5</v>
      </c>
      <c r="AD998" t="s">
        <v>81</v>
      </c>
      <c r="AE998">
        <v>4</v>
      </c>
      <c r="AF998" t="str" cm="1">
        <f t="array" ref="AF998">_xlfn.IFS(AE998&gt;=10,"Veteran (10y+)",AE998&gt;=3,"Established (3-10y)",AE998&lt;3,"New Hire (&lt;3y)")</f>
        <v>Established (3-10y)</v>
      </c>
      <c r="AG998">
        <v>3</v>
      </c>
      <c r="AH998">
        <v>0</v>
      </c>
      <c r="AI998">
        <v>2</v>
      </c>
    </row>
    <row r="999" spans="1:35">
      <c r="A999">
        <v>40</v>
      </c>
      <c r="B999" t="str">
        <f t="shared" si="15"/>
        <v>Middle Aged</v>
      </c>
      <c r="C999">
        <v>0</v>
      </c>
      <c r="D999" t="s">
        <v>36</v>
      </c>
      <c r="E999">
        <v>1194</v>
      </c>
      <c r="F999" t="s">
        <v>45</v>
      </c>
      <c r="G999">
        <v>1</v>
      </c>
      <c r="H999" t="str" cm="1">
        <f t="array" ref="H999">_xlfn.IFS(G999&gt;15,"Long Commute",G999&gt;5,"Moderate",G999&lt;=5,"Near Office")</f>
        <v>Near Office</v>
      </c>
      <c r="I999" t="s">
        <v>72</v>
      </c>
      <c r="J999" t="s">
        <v>38</v>
      </c>
      <c r="K999">
        <v>3</v>
      </c>
      <c r="L999" t="s">
        <v>39</v>
      </c>
      <c r="M999">
        <v>52</v>
      </c>
      <c r="N999">
        <v>3</v>
      </c>
      <c r="O999">
        <v>2</v>
      </c>
      <c r="P999" t="s">
        <v>54</v>
      </c>
      <c r="Q999" t="s">
        <v>77</v>
      </c>
      <c r="R999" t="s">
        <v>52</v>
      </c>
      <c r="S999">
        <v>6513</v>
      </c>
      <c r="T999" t="str" cm="1">
        <f t="array" ref="T999">_xlfn.IFS(S999&gt;=10000,"High (&gt;10k)",S999&gt;=5000,"Medium (5k-10k)",S999&lt;5000,"Low (&lt;5k)")</f>
        <v>Medium (5k-10k)</v>
      </c>
      <c r="U999">
        <v>9060</v>
      </c>
      <c r="V999">
        <v>4</v>
      </c>
      <c r="W999" t="s">
        <v>43</v>
      </c>
      <c r="X999">
        <v>17</v>
      </c>
      <c r="Y999">
        <v>3</v>
      </c>
      <c r="Z999">
        <v>4</v>
      </c>
      <c r="AA999">
        <v>1</v>
      </c>
      <c r="AB999">
        <v>12</v>
      </c>
      <c r="AC999">
        <v>3</v>
      </c>
      <c r="AD999" t="s">
        <v>74</v>
      </c>
      <c r="AE999">
        <v>5</v>
      </c>
      <c r="AF999" t="str" cm="1">
        <f t="array" ref="AF999">_xlfn.IFS(AE999&gt;=10,"Veteran (10y+)",AE999&gt;=3,"Established (3-10y)",AE999&lt;3,"New Hire (&lt;3y)")</f>
        <v>Established (3-10y)</v>
      </c>
      <c r="AG999">
        <v>3</v>
      </c>
      <c r="AH999">
        <v>0</v>
      </c>
      <c r="AI999">
        <v>3</v>
      </c>
    </row>
    <row r="1000" spans="1:35">
      <c r="A1000">
        <v>40</v>
      </c>
      <c r="B1000" t="str">
        <f t="shared" si="15"/>
        <v>Middle Aged</v>
      </c>
      <c r="C1000">
        <v>0</v>
      </c>
      <c r="D1000" t="s">
        <v>36</v>
      </c>
      <c r="E1000">
        <v>750</v>
      </c>
      <c r="F1000" t="s">
        <v>45</v>
      </c>
      <c r="G1000">
        <v>12</v>
      </c>
      <c r="H1000" t="str" cm="1">
        <f t="array" ref="H1000">_xlfn.IFS(G1000&gt;15,"Long Commute",G1000&gt;5,"Moderate",G1000&lt;=5,"Near Office")</f>
        <v>Moderate</v>
      </c>
      <c r="I1000" t="s">
        <v>72</v>
      </c>
      <c r="J1000" t="s">
        <v>38</v>
      </c>
      <c r="K1000">
        <v>2</v>
      </c>
      <c r="L1000" t="s">
        <v>39</v>
      </c>
      <c r="M1000">
        <v>47</v>
      </c>
      <c r="N1000">
        <v>3</v>
      </c>
      <c r="O1000">
        <v>2</v>
      </c>
      <c r="P1000" t="s">
        <v>54</v>
      </c>
      <c r="Q1000" t="s">
        <v>82</v>
      </c>
      <c r="R1000" t="s">
        <v>52</v>
      </c>
      <c r="S1000">
        <v>4448</v>
      </c>
      <c r="T1000" t="str" cm="1">
        <f t="array" ref="T1000">_xlfn.IFS(S1000&gt;=10000,"High (&gt;10k)",S1000&gt;=5000,"Medium (5k-10k)",S1000&lt;5000,"Low (&lt;5k)")</f>
        <v>Low (&lt;5k)</v>
      </c>
      <c r="U1000">
        <v>10748</v>
      </c>
      <c r="V1000">
        <v>2</v>
      </c>
      <c r="W1000" t="s">
        <v>43</v>
      </c>
      <c r="X1000">
        <v>12</v>
      </c>
      <c r="Y1000">
        <v>3</v>
      </c>
      <c r="Z1000">
        <v>2</v>
      </c>
      <c r="AA1000">
        <v>1</v>
      </c>
      <c r="AB1000">
        <v>15</v>
      </c>
      <c r="AC1000">
        <v>3</v>
      </c>
      <c r="AD1000" t="s">
        <v>74</v>
      </c>
      <c r="AE1000">
        <v>7</v>
      </c>
      <c r="AF1000" t="str" cm="1">
        <f t="array" ref="AF1000">_xlfn.IFS(AE1000&gt;=10,"Veteran (10y+)",AE1000&gt;=3,"Established (3-10y)",AE1000&lt;3,"New Hire (&lt;3y)")</f>
        <v>Established (3-10y)</v>
      </c>
      <c r="AG1000">
        <v>4</v>
      </c>
      <c r="AH1000">
        <v>7</v>
      </c>
      <c r="AI1000">
        <v>7</v>
      </c>
    </row>
    <row r="1001" spans="1:35">
      <c r="A1001">
        <v>40</v>
      </c>
      <c r="B1001" t="str">
        <f t="shared" si="15"/>
        <v>Middle Aged</v>
      </c>
      <c r="C1001">
        <v>0</v>
      </c>
      <c r="D1001" t="s">
        <v>36</v>
      </c>
      <c r="E1001">
        <v>1137</v>
      </c>
      <c r="F1001" t="s">
        <v>45</v>
      </c>
      <c r="G1001">
        <v>1</v>
      </c>
      <c r="H1001" t="str" cm="1">
        <f t="array" ref="H1001">_xlfn.IFS(G1001&gt;15,"Long Commute",G1001&gt;5,"Moderate",G1001&lt;=5,"Near Office")</f>
        <v>Near Office</v>
      </c>
      <c r="I1001" t="s">
        <v>83</v>
      </c>
      <c r="J1001" t="s">
        <v>38</v>
      </c>
      <c r="K1001">
        <v>1</v>
      </c>
      <c r="L1001" t="s">
        <v>46</v>
      </c>
      <c r="M1001">
        <v>98</v>
      </c>
      <c r="N1001">
        <v>3</v>
      </c>
      <c r="O1001">
        <v>4</v>
      </c>
      <c r="P1001" t="s">
        <v>56</v>
      </c>
      <c r="Q1001" t="s">
        <v>82</v>
      </c>
      <c r="R1001" t="s">
        <v>52</v>
      </c>
      <c r="S1001">
        <v>16823</v>
      </c>
      <c r="T1001" t="str" cm="1">
        <f t="array" ref="T1001">_xlfn.IFS(S1001&gt;=10000,"High (&gt;10k)",S1001&gt;=5000,"Medium (5k-10k)",S1001&lt;5000,"Low (&lt;5k)")</f>
        <v>High (&gt;10k)</v>
      </c>
      <c r="U1001">
        <v>18991</v>
      </c>
      <c r="V1001">
        <v>2</v>
      </c>
      <c r="W1001" t="s">
        <v>43</v>
      </c>
      <c r="X1001">
        <v>11</v>
      </c>
      <c r="Y1001">
        <v>3</v>
      </c>
      <c r="Z1001">
        <v>1</v>
      </c>
      <c r="AA1001">
        <v>1</v>
      </c>
      <c r="AB1001">
        <v>22</v>
      </c>
      <c r="AC1001">
        <v>3</v>
      </c>
      <c r="AD1001" t="s">
        <v>74</v>
      </c>
      <c r="AE1001">
        <v>19</v>
      </c>
      <c r="AF1001" t="str" cm="1">
        <f t="array" ref="AF1001">_xlfn.IFS(AE1001&gt;=10,"Veteran (10y+)",AE1001&gt;=3,"Established (3-10y)",AE1001&lt;3,"New Hire (&lt;3y)")</f>
        <v>Veteran (10y+)</v>
      </c>
      <c r="AG1001">
        <v>7</v>
      </c>
      <c r="AH1001">
        <v>11</v>
      </c>
      <c r="AI1001">
        <v>16</v>
      </c>
    </row>
    <row r="1002" spans="1:35">
      <c r="A1002">
        <v>40</v>
      </c>
      <c r="B1002" t="str">
        <f t="shared" si="15"/>
        <v>Middle Aged</v>
      </c>
      <c r="C1002">
        <v>0</v>
      </c>
      <c r="D1002" t="s">
        <v>44</v>
      </c>
      <c r="E1002">
        <v>692</v>
      </c>
      <c r="F1002" t="s">
        <v>45</v>
      </c>
      <c r="G1002">
        <v>11</v>
      </c>
      <c r="H1002" t="str" cm="1">
        <f t="array" ref="H1002">_xlfn.IFS(G1002&gt;15,"Long Commute",G1002&gt;5,"Moderate",G1002&lt;=5,"Near Office")</f>
        <v>Moderate</v>
      </c>
      <c r="I1002" t="s">
        <v>72</v>
      </c>
      <c r="J1002" t="s">
        <v>60</v>
      </c>
      <c r="K1002">
        <v>4</v>
      </c>
      <c r="L1002" t="s">
        <v>39</v>
      </c>
      <c r="M1002">
        <v>73</v>
      </c>
      <c r="N1002">
        <v>3</v>
      </c>
      <c r="O1002">
        <v>2</v>
      </c>
      <c r="P1002" t="s">
        <v>50</v>
      </c>
      <c r="Q1002" t="s">
        <v>73</v>
      </c>
      <c r="R1002" t="s">
        <v>48</v>
      </c>
      <c r="S1002">
        <v>6323</v>
      </c>
      <c r="T1002" t="str" cm="1">
        <f t="array" ref="T1002">_xlfn.IFS(S1002&gt;=10000,"High (&gt;10k)",S1002&gt;=5000,"Medium (5k-10k)",S1002&lt;5000,"Low (&lt;5k)")</f>
        <v>Medium (5k-10k)</v>
      </c>
      <c r="U1002">
        <v>26849</v>
      </c>
      <c r="V1002">
        <v>1</v>
      </c>
      <c r="W1002" t="s">
        <v>43</v>
      </c>
      <c r="X1002">
        <v>11</v>
      </c>
      <c r="Y1002">
        <v>3</v>
      </c>
      <c r="Z1002">
        <v>1</v>
      </c>
      <c r="AA1002">
        <v>1</v>
      </c>
      <c r="AB1002">
        <v>10</v>
      </c>
      <c r="AC1002">
        <v>2</v>
      </c>
      <c r="AD1002" t="s">
        <v>79</v>
      </c>
      <c r="AE1002">
        <v>10</v>
      </c>
      <c r="AF1002" t="str" cm="1">
        <f t="array" ref="AF1002">_xlfn.IFS(AE1002&gt;=10,"Veteran (10y+)",AE1002&gt;=3,"Established (3-10y)",AE1002&lt;3,"New Hire (&lt;3y)")</f>
        <v>Veteran (10y+)</v>
      </c>
      <c r="AG1002">
        <v>9</v>
      </c>
      <c r="AH1002">
        <v>9</v>
      </c>
      <c r="AI1002">
        <v>4</v>
      </c>
    </row>
    <row r="1003" spans="1:35">
      <c r="A1003">
        <v>40</v>
      </c>
      <c r="B1003" t="str">
        <f t="shared" si="15"/>
        <v>Middle Aged</v>
      </c>
      <c r="C1003">
        <v>0</v>
      </c>
      <c r="D1003" t="s">
        <v>36</v>
      </c>
      <c r="E1003">
        <v>444</v>
      </c>
      <c r="F1003" t="s">
        <v>37</v>
      </c>
      <c r="G1003">
        <v>2</v>
      </c>
      <c r="H1003" t="str" cm="1">
        <f t="array" ref="H1003">_xlfn.IFS(G1003&gt;15,"Long Commute",G1003&gt;5,"Moderate",G1003&lt;=5,"Near Office")</f>
        <v>Near Office</v>
      </c>
      <c r="I1003" t="s">
        <v>76</v>
      </c>
      <c r="J1003" t="s">
        <v>59</v>
      </c>
      <c r="K1003">
        <v>2</v>
      </c>
      <c r="L1003" t="s">
        <v>39</v>
      </c>
      <c r="M1003">
        <v>92</v>
      </c>
      <c r="N1003">
        <v>3</v>
      </c>
      <c r="O1003">
        <v>2</v>
      </c>
      <c r="P1003" t="s">
        <v>40</v>
      </c>
      <c r="Q1003" t="s">
        <v>75</v>
      </c>
      <c r="R1003" t="s">
        <v>48</v>
      </c>
      <c r="S1003">
        <v>5677</v>
      </c>
      <c r="T1003" t="str" cm="1">
        <f t="array" ref="T1003">_xlfn.IFS(S1003&gt;=10000,"High (&gt;10k)",S1003&gt;=5000,"Medium (5k-10k)",S1003&lt;5000,"Low (&lt;5k)")</f>
        <v>Medium (5k-10k)</v>
      </c>
      <c r="U1003">
        <v>4258</v>
      </c>
      <c r="V1003">
        <v>3</v>
      </c>
      <c r="W1003" t="s">
        <v>43</v>
      </c>
      <c r="X1003">
        <v>14</v>
      </c>
      <c r="Y1003">
        <v>3</v>
      </c>
      <c r="Z1003">
        <v>3</v>
      </c>
      <c r="AA1003">
        <v>1</v>
      </c>
      <c r="AB1003">
        <v>15</v>
      </c>
      <c r="AC1003">
        <v>4</v>
      </c>
      <c r="AD1003" t="s">
        <v>74</v>
      </c>
      <c r="AE1003">
        <v>11</v>
      </c>
      <c r="AF1003" t="str" cm="1">
        <f t="array" ref="AF1003">_xlfn.IFS(AE1003&gt;=10,"Veteran (10y+)",AE1003&gt;=3,"Established (3-10y)",AE1003&lt;3,"New Hire (&lt;3y)")</f>
        <v>Veteran (10y+)</v>
      </c>
      <c r="AG1003">
        <v>8</v>
      </c>
      <c r="AH1003">
        <v>5</v>
      </c>
      <c r="AI1003">
        <v>10</v>
      </c>
    </row>
    <row r="1004" spans="1:35">
      <c r="A1004">
        <v>40</v>
      </c>
      <c r="B1004" t="str">
        <f t="shared" si="15"/>
        <v>Middle Aged</v>
      </c>
      <c r="C1004">
        <v>0</v>
      </c>
      <c r="D1004" t="s">
        <v>36</v>
      </c>
      <c r="E1004">
        <v>543</v>
      </c>
      <c r="F1004" t="s">
        <v>45</v>
      </c>
      <c r="G1004">
        <v>1</v>
      </c>
      <c r="H1004" t="str" cm="1">
        <f t="array" ref="H1004">_xlfn.IFS(G1004&gt;15,"Long Commute",G1004&gt;5,"Moderate",G1004&lt;=5,"Near Office")</f>
        <v>Near Office</v>
      </c>
      <c r="I1004" t="s">
        <v>83</v>
      </c>
      <c r="J1004" t="s">
        <v>38</v>
      </c>
      <c r="K1004">
        <v>1</v>
      </c>
      <c r="L1004" t="s">
        <v>46</v>
      </c>
      <c r="M1004">
        <v>83</v>
      </c>
      <c r="N1004">
        <v>3</v>
      </c>
      <c r="O1004">
        <v>1</v>
      </c>
      <c r="P1004" t="s">
        <v>50</v>
      </c>
      <c r="Q1004" t="s">
        <v>77</v>
      </c>
      <c r="R1004" t="s">
        <v>48</v>
      </c>
      <c r="S1004">
        <v>2406</v>
      </c>
      <c r="T1004" t="str" cm="1">
        <f t="array" ref="T1004">_xlfn.IFS(S1004&gt;=10000,"High (&gt;10k)",S1004&gt;=5000,"Medium (5k-10k)",S1004&lt;5000,"Low (&lt;5k)")</f>
        <v>Low (&lt;5k)</v>
      </c>
      <c r="U1004">
        <v>4060</v>
      </c>
      <c r="V1004">
        <v>8</v>
      </c>
      <c r="W1004" t="s">
        <v>43</v>
      </c>
      <c r="X1004">
        <v>19</v>
      </c>
      <c r="Y1004">
        <v>3</v>
      </c>
      <c r="Z1004">
        <v>3</v>
      </c>
      <c r="AA1004">
        <v>2</v>
      </c>
      <c r="AB1004">
        <v>8</v>
      </c>
      <c r="AC1004">
        <v>3</v>
      </c>
      <c r="AD1004" t="s">
        <v>81</v>
      </c>
      <c r="AE1004">
        <v>1</v>
      </c>
      <c r="AF1004" t="str" cm="1">
        <f t="array" ref="AF1004">_xlfn.IFS(AE1004&gt;=10,"Veteran (10y+)",AE1004&gt;=3,"Established (3-10y)",AE1004&lt;3,"New Hire (&lt;3y)")</f>
        <v>New Hire (&lt;3y)</v>
      </c>
      <c r="AG1004">
        <v>0</v>
      </c>
      <c r="AH1004">
        <v>0</v>
      </c>
      <c r="AI1004">
        <v>0</v>
      </c>
    </row>
    <row r="1005" spans="1:35">
      <c r="A1005">
        <v>40</v>
      </c>
      <c r="B1005" t="str">
        <f t="shared" si="15"/>
        <v>Middle Aged</v>
      </c>
      <c r="C1005">
        <v>0</v>
      </c>
      <c r="D1005" t="s">
        <v>36</v>
      </c>
      <c r="E1005">
        <v>1322</v>
      </c>
      <c r="F1005" t="s">
        <v>45</v>
      </c>
      <c r="G1005">
        <v>2</v>
      </c>
      <c r="H1005" t="str" cm="1">
        <f t="array" ref="H1005">_xlfn.IFS(G1005&gt;15,"Long Commute",G1005&gt;5,"Moderate",G1005&lt;=5,"Near Office")</f>
        <v>Near Office</v>
      </c>
      <c r="I1005" t="s">
        <v>83</v>
      </c>
      <c r="J1005" t="s">
        <v>38</v>
      </c>
      <c r="K1005">
        <v>3</v>
      </c>
      <c r="L1005" t="s">
        <v>46</v>
      </c>
      <c r="M1005">
        <v>52</v>
      </c>
      <c r="N1005">
        <v>2</v>
      </c>
      <c r="O1005">
        <v>1</v>
      </c>
      <c r="P1005" t="s">
        <v>47</v>
      </c>
      <c r="Q1005" t="s">
        <v>73</v>
      </c>
      <c r="R1005" t="s">
        <v>41</v>
      </c>
      <c r="S1005">
        <v>2809</v>
      </c>
      <c r="T1005" t="str" cm="1">
        <f t="array" ref="T1005">_xlfn.IFS(S1005&gt;=10000,"High (&gt;10k)",S1005&gt;=5000,"Medium (5k-10k)",S1005&lt;5000,"Low (&lt;5k)")</f>
        <v>Low (&lt;5k)</v>
      </c>
      <c r="U1005">
        <v>2725</v>
      </c>
      <c r="V1005">
        <v>2</v>
      </c>
      <c r="W1005" t="s">
        <v>43</v>
      </c>
      <c r="X1005">
        <v>14</v>
      </c>
      <c r="Y1005">
        <v>3</v>
      </c>
      <c r="Z1005">
        <v>4</v>
      </c>
      <c r="AA1005">
        <v>0</v>
      </c>
      <c r="AB1005">
        <v>8</v>
      </c>
      <c r="AC1005">
        <v>2</v>
      </c>
      <c r="AD1005" t="s">
        <v>74</v>
      </c>
      <c r="AE1005">
        <v>2</v>
      </c>
      <c r="AF1005" t="str" cm="1">
        <f t="array" ref="AF1005">_xlfn.IFS(AE1005&gt;=10,"Veteran (10y+)",AE1005&gt;=3,"Established (3-10y)",AE1005&lt;3,"New Hire (&lt;3y)")</f>
        <v>New Hire (&lt;3y)</v>
      </c>
      <c r="AG1005">
        <v>2</v>
      </c>
      <c r="AH1005">
        <v>2</v>
      </c>
      <c r="AI1005">
        <v>2</v>
      </c>
    </row>
    <row r="1006" spans="1:35">
      <c r="A1006">
        <v>40</v>
      </c>
      <c r="B1006" t="str">
        <f t="shared" si="15"/>
        <v>Middle Aged</v>
      </c>
      <c r="C1006">
        <v>0</v>
      </c>
      <c r="D1006" t="s">
        <v>36</v>
      </c>
      <c r="E1006">
        <v>1194</v>
      </c>
      <c r="F1006" t="s">
        <v>45</v>
      </c>
      <c r="G1006">
        <v>2</v>
      </c>
      <c r="H1006" t="str" cm="1">
        <f t="array" ref="H1006">_xlfn.IFS(G1006&gt;15,"Long Commute",G1006&gt;5,"Moderate",G1006&lt;=5,"Near Office")</f>
        <v>Near Office</v>
      </c>
      <c r="I1006" t="s">
        <v>83</v>
      </c>
      <c r="J1006" t="s">
        <v>51</v>
      </c>
      <c r="K1006">
        <v>3</v>
      </c>
      <c r="L1006" t="s">
        <v>39</v>
      </c>
      <c r="M1006">
        <v>98</v>
      </c>
      <c r="N1006">
        <v>3</v>
      </c>
      <c r="O1006">
        <v>1</v>
      </c>
      <c r="P1006" t="s">
        <v>47</v>
      </c>
      <c r="Q1006" t="s">
        <v>73</v>
      </c>
      <c r="R1006" t="s">
        <v>48</v>
      </c>
      <c r="S1006">
        <v>2001</v>
      </c>
      <c r="T1006" t="str" cm="1">
        <f t="array" ref="T1006">_xlfn.IFS(S1006&gt;=10000,"High (&gt;10k)",S1006&gt;=5000,"Medium (5k-10k)",S1006&lt;5000,"Low (&lt;5k)")</f>
        <v>Low (&lt;5k)</v>
      </c>
      <c r="U1006">
        <v>12549</v>
      </c>
      <c r="V1006">
        <v>2</v>
      </c>
      <c r="W1006" t="s">
        <v>43</v>
      </c>
      <c r="X1006">
        <v>14</v>
      </c>
      <c r="Y1006">
        <v>3</v>
      </c>
      <c r="Z1006">
        <v>2</v>
      </c>
      <c r="AA1006">
        <v>3</v>
      </c>
      <c r="AB1006">
        <v>20</v>
      </c>
      <c r="AC1006">
        <v>2</v>
      </c>
      <c r="AD1006" t="s">
        <v>74</v>
      </c>
      <c r="AE1006">
        <v>5</v>
      </c>
      <c r="AF1006" t="str" cm="1">
        <f t="array" ref="AF1006">_xlfn.IFS(AE1006&gt;=10,"Veteran (10y+)",AE1006&gt;=3,"Established (3-10y)",AE1006&lt;3,"New Hire (&lt;3y)")</f>
        <v>Established (3-10y)</v>
      </c>
      <c r="AG1006">
        <v>3</v>
      </c>
      <c r="AH1006">
        <v>0</v>
      </c>
      <c r="AI1006">
        <v>2</v>
      </c>
    </row>
    <row r="1007" spans="1:35">
      <c r="A1007">
        <v>41</v>
      </c>
      <c r="B1007" t="str">
        <f t="shared" si="15"/>
        <v>Middle Aged</v>
      </c>
      <c r="C1007">
        <v>1</v>
      </c>
      <c r="D1007" t="s">
        <v>36</v>
      </c>
      <c r="E1007">
        <v>1102</v>
      </c>
      <c r="F1007" t="s">
        <v>37</v>
      </c>
      <c r="G1007">
        <v>1</v>
      </c>
      <c r="H1007" t="str" cm="1">
        <f t="array" ref="H1007">_xlfn.IFS(G1007&gt;15,"Long Commute",G1007&gt;5,"Moderate",G1007&lt;=5,"Near Office")</f>
        <v>Near Office</v>
      </c>
      <c r="I1007" t="s">
        <v>76</v>
      </c>
      <c r="J1007" t="s">
        <v>38</v>
      </c>
      <c r="K1007">
        <v>2</v>
      </c>
      <c r="L1007" t="s">
        <v>39</v>
      </c>
      <c r="M1007">
        <v>94</v>
      </c>
      <c r="N1007">
        <v>3</v>
      </c>
      <c r="O1007">
        <v>2</v>
      </c>
      <c r="P1007" t="s">
        <v>40</v>
      </c>
      <c r="Q1007" t="s">
        <v>77</v>
      </c>
      <c r="R1007" t="s">
        <v>41</v>
      </c>
      <c r="S1007">
        <v>5993</v>
      </c>
      <c r="T1007" t="str" cm="1">
        <f t="array" ref="T1007">_xlfn.IFS(S1007&gt;=10000,"High (&gt;10k)",S1007&gt;=5000,"Medium (5k-10k)",S1007&lt;5000,"Low (&lt;5k)")</f>
        <v>Medium (5k-10k)</v>
      </c>
      <c r="U1007">
        <v>19479</v>
      </c>
      <c r="V1007">
        <v>8</v>
      </c>
      <c r="W1007" t="s">
        <v>35</v>
      </c>
      <c r="X1007">
        <v>11</v>
      </c>
      <c r="Y1007">
        <v>3</v>
      </c>
      <c r="Z1007">
        <v>1</v>
      </c>
      <c r="AA1007">
        <v>0</v>
      </c>
      <c r="AB1007">
        <v>8</v>
      </c>
      <c r="AC1007">
        <v>0</v>
      </c>
      <c r="AD1007" t="s">
        <v>80</v>
      </c>
      <c r="AE1007">
        <v>6</v>
      </c>
      <c r="AF1007" t="str" cm="1">
        <f t="array" ref="AF1007">_xlfn.IFS(AE1007&gt;=10,"Veteran (10y+)",AE1007&gt;=3,"Established (3-10y)",AE1007&lt;3,"New Hire (&lt;3y)")</f>
        <v>Established (3-10y)</v>
      </c>
      <c r="AG1007">
        <v>4</v>
      </c>
      <c r="AH1007">
        <v>0</v>
      </c>
      <c r="AI1007">
        <v>5</v>
      </c>
    </row>
    <row r="1008" spans="1:35">
      <c r="A1008">
        <v>41</v>
      </c>
      <c r="B1008" t="str">
        <f t="shared" si="15"/>
        <v>Middle Aged</v>
      </c>
      <c r="C1008">
        <v>1</v>
      </c>
      <c r="D1008" t="s">
        <v>36</v>
      </c>
      <c r="E1008">
        <v>1360</v>
      </c>
      <c r="F1008" t="s">
        <v>45</v>
      </c>
      <c r="G1008">
        <v>12</v>
      </c>
      <c r="H1008" t="str" cm="1">
        <f t="array" ref="H1008">_xlfn.IFS(G1008&gt;15,"Long Commute",G1008&gt;5,"Moderate",G1008&lt;=5,"Near Office")</f>
        <v>Moderate</v>
      </c>
      <c r="I1008" t="s">
        <v>72</v>
      </c>
      <c r="J1008" t="s">
        <v>60</v>
      </c>
      <c r="K1008">
        <v>2</v>
      </c>
      <c r="L1008" t="s">
        <v>39</v>
      </c>
      <c r="M1008">
        <v>49</v>
      </c>
      <c r="N1008">
        <v>3</v>
      </c>
      <c r="O1008">
        <v>5</v>
      </c>
      <c r="P1008" t="s">
        <v>58</v>
      </c>
      <c r="Q1008" t="s">
        <v>73</v>
      </c>
      <c r="R1008" t="s">
        <v>48</v>
      </c>
      <c r="S1008">
        <v>19545</v>
      </c>
      <c r="T1008" t="str" cm="1">
        <f t="array" ref="T1008">_xlfn.IFS(S1008&gt;=10000,"High (&gt;10k)",S1008&gt;=5000,"Medium (5k-10k)",S1008&lt;5000,"Low (&lt;5k)")</f>
        <v>High (&gt;10k)</v>
      </c>
      <c r="U1008">
        <v>16280</v>
      </c>
      <c r="V1008">
        <v>1</v>
      </c>
      <c r="W1008" t="s">
        <v>43</v>
      </c>
      <c r="X1008">
        <v>12</v>
      </c>
      <c r="Y1008">
        <v>3</v>
      </c>
      <c r="Z1008">
        <v>4</v>
      </c>
      <c r="AA1008">
        <v>0</v>
      </c>
      <c r="AB1008">
        <v>23</v>
      </c>
      <c r="AC1008">
        <v>0</v>
      </c>
      <c r="AD1008" t="s">
        <v>74</v>
      </c>
      <c r="AE1008">
        <v>22</v>
      </c>
      <c r="AF1008" t="str" cm="1">
        <f t="array" ref="AF1008">_xlfn.IFS(AE1008&gt;=10,"Veteran (10y+)",AE1008&gt;=3,"Established (3-10y)",AE1008&lt;3,"New Hire (&lt;3y)")</f>
        <v>Veteran (10y+)</v>
      </c>
      <c r="AG1008">
        <v>15</v>
      </c>
      <c r="AH1008">
        <v>15</v>
      </c>
      <c r="AI1008">
        <v>8</v>
      </c>
    </row>
    <row r="1009" spans="1:35">
      <c r="A1009">
        <v>41</v>
      </c>
      <c r="B1009" t="str">
        <f t="shared" si="15"/>
        <v>Middle Aged</v>
      </c>
      <c r="C1009">
        <v>0</v>
      </c>
      <c r="D1009" t="s">
        <v>36</v>
      </c>
      <c r="E1009">
        <v>802</v>
      </c>
      <c r="F1009" t="s">
        <v>37</v>
      </c>
      <c r="G1009">
        <v>9</v>
      </c>
      <c r="H1009" t="str" cm="1">
        <f t="array" ref="H1009">_xlfn.IFS(G1009&gt;15,"Long Commute",G1009&gt;5,"Moderate",G1009&lt;=5,"Near Office")</f>
        <v>Moderate</v>
      </c>
      <c r="I1009" t="s">
        <v>78</v>
      </c>
      <c r="J1009" t="s">
        <v>38</v>
      </c>
      <c r="K1009">
        <v>3</v>
      </c>
      <c r="L1009" t="s">
        <v>46</v>
      </c>
      <c r="M1009">
        <v>96</v>
      </c>
      <c r="N1009">
        <v>3</v>
      </c>
      <c r="O1009">
        <v>3</v>
      </c>
      <c r="P1009" t="s">
        <v>40</v>
      </c>
      <c r="Q1009" t="s">
        <v>73</v>
      </c>
      <c r="R1009" t="s">
        <v>52</v>
      </c>
      <c r="S1009">
        <v>8189</v>
      </c>
      <c r="T1009" t="str" cm="1">
        <f t="array" ref="T1009">_xlfn.IFS(S1009&gt;=10000,"High (&gt;10k)",S1009&gt;=5000,"Medium (5k-10k)",S1009&lt;5000,"Low (&lt;5k)")</f>
        <v>Medium (5k-10k)</v>
      </c>
      <c r="U1009">
        <v>21196</v>
      </c>
      <c r="V1009">
        <v>3</v>
      </c>
      <c r="W1009" t="s">
        <v>35</v>
      </c>
      <c r="X1009">
        <v>13</v>
      </c>
      <c r="Y1009">
        <v>3</v>
      </c>
      <c r="Z1009">
        <v>3</v>
      </c>
      <c r="AA1009">
        <v>1</v>
      </c>
      <c r="AB1009">
        <v>12</v>
      </c>
      <c r="AC1009">
        <v>2</v>
      </c>
      <c r="AD1009" t="s">
        <v>74</v>
      </c>
      <c r="AE1009">
        <v>9</v>
      </c>
      <c r="AF1009" t="str" cm="1">
        <f t="array" ref="AF1009">_xlfn.IFS(AE1009&gt;=10,"Veteran (10y+)",AE1009&gt;=3,"Established (3-10y)",AE1009&lt;3,"New Hire (&lt;3y)")</f>
        <v>Established (3-10y)</v>
      </c>
      <c r="AG1009">
        <v>7</v>
      </c>
      <c r="AH1009">
        <v>0</v>
      </c>
      <c r="AI1009">
        <v>7</v>
      </c>
    </row>
    <row r="1010" spans="1:35">
      <c r="A1010">
        <v>41</v>
      </c>
      <c r="B1010" t="str">
        <f t="shared" si="15"/>
        <v>Middle Aged</v>
      </c>
      <c r="C1010">
        <v>0</v>
      </c>
      <c r="D1010" t="s">
        <v>44</v>
      </c>
      <c r="E1010">
        <v>857</v>
      </c>
      <c r="F1010" t="s">
        <v>45</v>
      </c>
      <c r="G1010">
        <v>10</v>
      </c>
      <c r="H1010" t="str" cm="1">
        <f t="array" ref="H1010">_xlfn.IFS(G1010&gt;15,"Long Commute",G1010&gt;5,"Moderate",G1010&lt;=5,"Near Office")</f>
        <v>Moderate</v>
      </c>
      <c r="I1010" t="s">
        <v>72</v>
      </c>
      <c r="J1010" t="s">
        <v>38</v>
      </c>
      <c r="K1010">
        <v>4</v>
      </c>
      <c r="L1010" t="s">
        <v>46</v>
      </c>
      <c r="M1010">
        <v>91</v>
      </c>
      <c r="N1010">
        <v>2</v>
      </c>
      <c r="O1010">
        <v>4</v>
      </c>
      <c r="P1010" t="s">
        <v>56</v>
      </c>
      <c r="Q1010" t="s">
        <v>82</v>
      </c>
      <c r="R1010" t="s">
        <v>52</v>
      </c>
      <c r="S1010">
        <v>17181</v>
      </c>
      <c r="T1010" t="str" cm="1">
        <f t="array" ref="T1010">_xlfn.IFS(S1010&gt;=10000,"High (&gt;10k)",S1010&gt;=5000,"Medium (5k-10k)",S1010&lt;5000,"Low (&lt;5k)")</f>
        <v>High (&gt;10k)</v>
      </c>
      <c r="U1010">
        <v>12888</v>
      </c>
      <c r="V1010">
        <v>4</v>
      </c>
      <c r="W1010" t="s">
        <v>43</v>
      </c>
      <c r="X1010">
        <v>13</v>
      </c>
      <c r="Y1010">
        <v>3</v>
      </c>
      <c r="Z1010">
        <v>2</v>
      </c>
      <c r="AA1010">
        <v>1</v>
      </c>
      <c r="AB1010">
        <v>21</v>
      </c>
      <c r="AC1010">
        <v>2</v>
      </c>
      <c r="AD1010" t="s">
        <v>81</v>
      </c>
      <c r="AE1010">
        <v>7</v>
      </c>
      <c r="AF1010" t="str" cm="1">
        <f t="array" ref="AF1010">_xlfn.IFS(AE1010&gt;=10,"Veteran (10y+)",AE1010&gt;=3,"Established (3-10y)",AE1010&lt;3,"New Hire (&lt;3y)")</f>
        <v>Established (3-10y)</v>
      </c>
      <c r="AG1010">
        <v>6</v>
      </c>
      <c r="AH1010">
        <v>7</v>
      </c>
      <c r="AI1010">
        <v>7</v>
      </c>
    </row>
    <row r="1011" spans="1:35">
      <c r="A1011">
        <v>41</v>
      </c>
      <c r="B1011" t="str">
        <f t="shared" si="15"/>
        <v>Middle Aged</v>
      </c>
      <c r="C1011">
        <v>0</v>
      </c>
      <c r="D1011" t="s">
        <v>36</v>
      </c>
      <c r="E1011">
        <v>933</v>
      </c>
      <c r="F1011" t="s">
        <v>45</v>
      </c>
      <c r="G1011">
        <v>9</v>
      </c>
      <c r="H1011" t="str" cm="1">
        <f t="array" ref="H1011">_xlfn.IFS(G1011&gt;15,"Long Commute",G1011&gt;5,"Moderate",G1011&lt;=5,"Near Office")</f>
        <v>Moderate</v>
      </c>
      <c r="I1011" t="s">
        <v>83</v>
      </c>
      <c r="J1011" t="s">
        <v>38</v>
      </c>
      <c r="K1011">
        <v>3</v>
      </c>
      <c r="L1011" t="s">
        <v>46</v>
      </c>
      <c r="M1011">
        <v>94</v>
      </c>
      <c r="N1011">
        <v>3</v>
      </c>
      <c r="O1011">
        <v>1</v>
      </c>
      <c r="P1011" t="s">
        <v>50</v>
      </c>
      <c r="Q1011" t="s">
        <v>82</v>
      </c>
      <c r="R1011" t="s">
        <v>48</v>
      </c>
      <c r="S1011">
        <v>2238</v>
      </c>
      <c r="T1011" t="str" cm="1">
        <f t="array" ref="T1011">_xlfn.IFS(S1011&gt;=10000,"High (&gt;10k)",S1011&gt;=5000,"Medium (5k-10k)",S1011&lt;5000,"Low (&lt;5k)")</f>
        <v>Low (&lt;5k)</v>
      </c>
      <c r="U1011">
        <v>6961</v>
      </c>
      <c r="V1011">
        <v>2</v>
      </c>
      <c r="W1011" t="s">
        <v>43</v>
      </c>
      <c r="X1011">
        <v>21</v>
      </c>
      <c r="Y1011">
        <v>4</v>
      </c>
      <c r="Z1011">
        <v>4</v>
      </c>
      <c r="AA1011">
        <v>1</v>
      </c>
      <c r="AB1011">
        <v>7</v>
      </c>
      <c r="AC1011">
        <v>2</v>
      </c>
      <c r="AD1011" t="s">
        <v>74</v>
      </c>
      <c r="AE1011">
        <v>5</v>
      </c>
      <c r="AF1011" t="str" cm="1">
        <f t="array" ref="AF1011">_xlfn.IFS(AE1011&gt;=10,"Veteran (10y+)",AE1011&gt;=3,"Established (3-10y)",AE1011&lt;3,"New Hire (&lt;3y)")</f>
        <v>Established (3-10y)</v>
      </c>
      <c r="AG1011">
        <v>0</v>
      </c>
      <c r="AH1011">
        <v>1</v>
      </c>
      <c r="AI1011">
        <v>4</v>
      </c>
    </row>
    <row r="1012" spans="1:35">
      <c r="A1012">
        <v>41</v>
      </c>
      <c r="B1012" t="str">
        <f t="shared" si="15"/>
        <v>Middle Aged</v>
      </c>
      <c r="C1012">
        <v>0</v>
      </c>
      <c r="D1012" t="s">
        <v>36</v>
      </c>
      <c r="E1012">
        <v>465</v>
      </c>
      <c r="F1012" t="s">
        <v>45</v>
      </c>
      <c r="G1012">
        <v>14</v>
      </c>
      <c r="H1012" t="str" cm="1">
        <f t="array" ref="H1012">_xlfn.IFS(G1012&gt;15,"Long Commute",G1012&gt;5,"Moderate",G1012&lt;=5,"Near Office")</f>
        <v>Moderate</v>
      </c>
      <c r="I1012" t="s">
        <v>72</v>
      </c>
      <c r="J1012" t="s">
        <v>38</v>
      </c>
      <c r="K1012">
        <v>1</v>
      </c>
      <c r="L1012" t="s">
        <v>46</v>
      </c>
      <c r="M1012">
        <v>56</v>
      </c>
      <c r="N1012">
        <v>3</v>
      </c>
      <c r="O1012">
        <v>1</v>
      </c>
      <c r="P1012" t="s">
        <v>47</v>
      </c>
      <c r="Q1012" t="s">
        <v>73</v>
      </c>
      <c r="R1012" t="s">
        <v>52</v>
      </c>
      <c r="S1012">
        <v>2451</v>
      </c>
      <c r="T1012" t="str" cm="1">
        <f t="array" ref="T1012">_xlfn.IFS(S1012&gt;=10000,"High (&gt;10k)",S1012&gt;=5000,"Medium (5k-10k)",S1012&lt;5000,"Low (&lt;5k)")</f>
        <v>Low (&lt;5k)</v>
      </c>
      <c r="U1012">
        <v>4609</v>
      </c>
      <c r="V1012">
        <v>4</v>
      </c>
      <c r="W1012" t="s">
        <v>43</v>
      </c>
      <c r="X1012">
        <v>12</v>
      </c>
      <c r="Y1012">
        <v>3</v>
      </c>
      <c r="Z1012">
        <v>1</v>
      </c>
      <c r="AA1012">
        <v>1</v>
      </c>
      <c r="AB1012">
        <v>13</v>
      </c>
      <c r="AC1012">
        <v>2</v>
      </c>
      <c r="AD1012" t="s">
        <v>74</v>
      </c>
      <c r="AE1012">
        <v>9</v>
      </c>
      <c r="AF1012" t="str" cm="1">
        <f t="array" ref="AF1012">_xlfn.IFS(AE1012&gt;=10,"Veteran (10y+)",AE1012&gt;=3,"Established (3-10y)",AE1012&lt;3,"New Hire (&lt;3y)")</f>
        <v>Established (3-10y)</v>
      </c>
      <c r="AG1012">
        <v>8</v>
      </c>
      <c r="AH1012">
        <v>1</v>
      </c>
      <c r="AI1012">
        <v>8</v>
      </c>
    </row>
    <row r="1013" spans="1:35">
      <c r="A1013">
        <v>41</v>
      </c>
      <c r="B1013" t="str">
        <f t="shared" si="15"/>
        <v>Middle Aged</v>
      </c>
      <c r="C1013">
        <v>1</v>
      </c>
      <c r="D1013" t="s">
        <v>36</v>
      </c>
      <c r="E1013">
        <v>1356</v>
      </c>
      <c r="F1013" t="s">
        <v>37</v>
      </c>
      <c r="G1013">
        <v>20</v>
      </c>
      <c r="H1013" t="str" cm="1">
        <f t="array" ref="H1013">_xlfn.IFS(G1013&gt;15,"Long Commute",G1013&gt;5,"Moderate",G1013&lt;=5,"Near Office")</f>
        <v>Long Commute</v>
      </c>
      <c r="I1013" t="s">
        <v>76</v>
      </c>
      <c r="J1013" t="s">
        <v>59</v>
      </c>
      <c r="K1013">
        <v>2</v>
      </c>
      <c r="L1013" t="s">
        <v>39</v>
      </c>
      <c r="M1013">
        <v>70</v>
      </c>
      <c r="N1013">
        <v>3</v>
      </c>
      <c r="O1013">
        <v>1</v>
      </c>
      <c r="P1013" t="s">
        <v>57</v>
      </c>
      <c r="Q1013" t="s">
        <v>75</v>
      </c>
      <c r="R1013" t="s">
        <v>41</v>
      </c>
      <c r="S1013">
        <v>3140</v>
      </c>
      <c r="T1013" t="str" cm="1">
        <f t="array" ref="T1013">_xlfn.IFS(S1013&gt;=10000,"High (&gt;10k)",S1013&gt;=5000,"Medium (5k-10k)",S1013&lt;5000,"Low (&lt;5k)")</f>
        <v>Low (&lt;5k)</v>
      </c>
      <c r="U1013">
        <v>21728</v>
      </c>
      <c r="V1013">
        <v>1</v>
      </c>
      <c r="W1013" t="s">
        <v>35</v>
      </c>
      <c r="X1013">
        <v>22</v>
      </c>
      <c r="Y1013">
        <v>4</v>
      </c>
      <c r="Z1013">
        <v>4</v>
      </c>
      <c r="AA1013">
        <v>0</v>
      </c>
      <c r="AB1013">
        <v>4</v>
      </c>
      <c r="AC1013">
        <v>5</v>
      </c>
      <c r="AD1013" t="s">
        <v>81</v>
      </c>
      <c r="AE1013">
        <v>4</v>
      </c>
      <c r="AF1013" t="str" cm="1">
        <f t="array" ref="AF1013">_xlfn.IFS(AE1013&gt;=10,"Veteran (10y+)",AE1013&gt;=3,"Established (3-10y)",AE1013&lt;3,"New Hire (&lt;3y)")</f>
        <v>Established (3-10y)</v>
      </c>
      <c r="AG1013">
        <v>3</v>
      </c>
      <c r="AH1013">
        <v>0</v>
      </c>
      <c r="AI1013">
        <v>2</v>
      </c>
    </row>
    <row r="1014" spans="1:35">
      <c r="A1014">
        <v>41</v>
      </c>
      <c r="B1014" t="str">
        <f t="shared" si="15"/>
        <v>Middle Aged</v>
      </c>
      <c r="C1014">
        <v>0</v>
      </c>
      <c r="D1014" t="s">
        <v>36</v>
      </c>
      <c r="E1014">
        <v>896</v>
      </c>
      <c r="F1014" t="s">
        <v>37</v>
      </c>
      <c r="G1014">
        <v>6</v>
      </c>
      <c r="H1014" t="str" cm="1">
        <f t="array" ref="H1014">_xlfn.IFS(G1014&gt;15,"Long Commute",G1014&gt;5,"Moderate",G1014&lt;=5,"Near Office")</f>
        <v>Moderate</v>
      </c>
      <c r="I1014" t="s">
        <v>72</v>
      </c>
      <c r="J1014" t="s">
        <v>38</v>
      </c>
      <c r="K1014">
        <v>4</v>
      </c>
      <c r="L1014" t="s">
        <v>39</v>
      </c>
      <c r="M1014">
        <v>75</v>
      </c>
      <c r="N1014">
        <v>3</v>
      </c>
      <c r="O1014">
        <v>3</v>
      </c>
      <c r="P1014" t="s">
        <v>56</v>
      </c>
      <c r="Q1014" t="s">
        <v>77</v>
      </c>
      <c r="R1014" t="s">
        <v>41</v>
      </c>
      <c r="S1014">
        <v>13591</v>
      </c>
      <c r="T1014" t="str" cm="1">
        <f t="array" ref="T1014">_xlfn.IFS(S1014&gt;=10000,"High (&gt;10k)",S1014&gt;=5000,"Medium (5k-10k)",S1014&lt;5000,"Low (&lt;5k)")</f>
        <v>High (&gt;10k)</v>
      </c>
      <c r="U1014">
        <v>14674</v>
      </c>
      <c r="V1014">
        <v>3</v>
      </c>
      <c r="W1014" t="s">
        <v>35</v>
      </c>
      <c r="X1014">
        <v>18</v>
      </c>
      <c r="Y1014">
        <v>3</v>
      </c>
      <c r="Z1014">
        <v>3</v>
      </c>
      <c r="AA1014">
        <v>0</v>
      </c>
      <c r="AB1014">
        <v>16</v>
      </c>
      <c r="AC1014">
        <v>3</v>
      </c>
      <c r="AD1014" t="s">
        <v>74</v>
      </c>
      <c r="AE1014">
        <v>1</v>
      </c>
      <c r="AF1014" t="str" cm="1">
        <f t="array" ref="AF1014">_xlfn.IFS(AE1014&gt;=10,"Veteran (10y+)",AE1014&gt;=3,"Established (3-10y)",AE1014&lt;3,"New Hire (&lt;3y)")</f>
        <v>New Hire (&lt;3y)</v>
      </c>
      <c r="AG1014">
        <v>0</v>
      </c>
      <c r="AH1014">
        <v>0</v>
      </c>
      <c r="AI1014">
        <v>0</v>
      </c>
    </row>
    <row r="1015" spans="1:35">
      <c r="A1015">
        <v>41</v>
      </c>
      <c r="B1015" t="str">
        <f t="shared" si="15"/>
        <v>Middle Aged</v>
      </c>
      <c r="C1015">
        <v>0</v>
      </c>
      <c r="D1015" t="s">
        <v>36</v>
      </c>
      <c r="E1015">
        <v>1411</v>
      </c>
      <c r="F1015" t="s">
        <v>45</v>
      </c>
      <c r="G1015">
        <v>19</v>
      </c>
      <c r="H1015" t="str" cm="1">
        <f t="array" ref="H1015">_xlfn.IFS(G1015&gt;15,"Long Commute",G1015&gt;5,"Moderate",G1015&lt;=5,"Near Office")</f>
        <v>Long Commute</v>
      </c>
      <c r="I1015" t="s">
        <v>76</v>
      </c>
      <c r="J1015" t="s">
        <v>38</v>
      </c>
      <c r="K1015">
        <v>3</v>
      </c>
      <c r="L1015" t="s">
        <v>46</v>
      </c>
      <c r="M1015">
        <v>36</v>
      </c>
      <c r="N1015">
        <v>3</v>
      </c>
      <c r="O1015">
        <v>2</v>
      </c>
      <c r="P1015" t="s">
        <v>47</v>
      </c>
      <c r="Q1015" t="s">
        <v>82</v>
      </c>
      <c r="R1015" t="s">
        <v>52</v>
      </c>
      <c r="S1015">
        <v>3072</v>
      </c>
      <c r="T1015" t="str" cm="1">
        <f t="array" ref="T1015">_xlfn.IFS(S1015&gt;=10000,"High (&gt;10k)",S1015&gt;=5000,"Medium (5k-10k)",S1015&lt;5000,"Low (&lt;5k)")</f>
        <v>Low (&lt;5k)</v>
      </c>
      <c r="U1015">
        <v>19877</v>
      </c>
      <c r="V1015">
        <v>2</v>
      </c>
      <c r="W1015" t="s">
        <v>43</v>
      </c>
      <c r="X1015">
        <v>16</v>
      </c>
      <c r="Y1015">
        <v>3</v>
      </c>
      <c r="Z1015">
        <v>1</v>
      </c>
      <c r="AA1015">
        <v>2</v>
      </c>
      <c r="AB1015">
        <v>17</v>
      </c>
      <c r="AC1015">
        <v>2</v>
      </c>
      <c r="AD1015" t="s">
        <v>81</v>
      </c>
      <c r="AE1015">
        <v>1</v>
      </c>
      <c r="AF1015" t="str" cm="1">
        <f t="array" ref="AF1015">_xlfn.IFS(AE1015&gt;=10,"Veteran (10y+)",AE1015&gt;=3,"Established (3-10y)",AE1015&lt;3,"New Hire (&lt;3y)")</f>
        <v>New Hire (&lt;3y)</v>
      </c>
      <c r="AG1015">
        <v>0</v>
      </c>
      <c r="AH1015">
        <v>0</v>
      </c>
      <c r="AI1015">
        <v>0</v>
      </c>
    </row>
    <row r="1016" spans="1:35">
      <c r="A1016">
        <v>41</v>
      </c>
      <c r="B1016" t="str">
        <f t="shared" si="15"/>
        <v>Middle Aged</v>
      </c>
      <c r="C1016">
        <v>0</v>
      </c>
      <c r="D1016" t="s">
        <v>36</v>
      </c>
      <c r="E1016">
        <v>334</v>
      </c>
      <c r="F1016" t="s">
        <v>37</v>
      </c>
      <c r="G1016">
        <v>2</v>
      </c>
      <c r="H1016" t="str" cm="1">
        <f t="array" ref="H1016">_xlfn.IFS(G1016&gt;15,"Long Commute",G1016&gt;5,"Moderate",G1016&lt;=5,"Near Office")</f>
        <v>Near Office</v>
      </c>
      <c r="I1016" t="s">
        <v>83</v>
      </c>
      <c r="J1016" t="s">
        <v>38</v>
      </c>
      <c r="K1016">
        <v>4</v>
      </c>
      <c r="L1016" t="s">
        <v>46</v>
      </c>
      <c r="M1016">
        <v>88</v>
      </c>
      <c r="N1016">
        <v>3</v>
      </c>
      <c r="O1016">
        <v>4</v>
      </c>
      <c r="P1016" t="s">
        <v>56</v>
      </c>
      <c r="Q1016" t="s">
        <v>75</v>
      </c>
      <c r="R1016" t="s">
        <v>41</v>
      </c>
      <c r="S1016">
        <v>16015</v>
      </c>
      <c r="T1016" t="str" cm="1">
        <f t="array" ref="T1016">_xlfn.IFS(S1016&gt;=10000,"High (&gt;10k)",S1016&gt;=5000,"Medium (5k-10k)",S1016&lt;5000,"Low (&lt;5k)")</f>
        <v>High (&gt;10k)</v>
      </c>
      <c r="U1016">
        <v>15896</v>
      </c>
      <c r="V1016">
        <v>1</v>
      </c>
      <c r="W1016" t="s">
        <v>43</v>
      </c>
      <c r="X1016">
        <v>19</v>
      </c>
      <c r="Y1016">
        <v>3</v>
      </c>
      <c r="Z1016">
        <v>2</v>
      </c>
      <c r="AA1016">
        <v>0</v>
      </c>
      <c r="AB1016">
        <v>22</v>
      </c>
      <c r="AC1016">
        <v>2</v>
      </c>
      <c r="AD1016" t="s">
        <v>74</v>
      </c>
      <c r="AE1016">
        <v>22</v>
      </c>
      <c r="AF1016" t="str" cm="1">
        <f t="array" ref="AF1016">_xlfn.IFS(AE1016&gt;=10,"Veteran (10y+)",AE1016&gt;=3,"Established (3-10y)",AE1016&lt;3,"New Hire (&lt;3y)")</f>
        <v>Veteran (10y+)</v>
      </c>
      <c r="AG1016">
        <v>10</v>
      </c>
      <c r="AH1016">
        <v>0</v>
      </c>
      <c r="AI1016">
        <v>4</v>
      </c>
    </row>
    <row r="1017" spans="1:35">
      <c r="A1017">
        <v>41</v>
      </c>
      <c r="B1017" t="str">
        <f t="shared" si="15"/>
        <v>Middle Aged</v>
      </c>
      <c r="C1017">
        <v>0</v>
      </c>
      <c r="D1017" t="s">
        <v>36</v>
      </c>
      <c r="E1017">
        <v>483</v>
      </c>
      <c r="F1017" t="s">
        <v>45</v>
      </c>
      <c r="G1017">
        <v>6</v>
      </c>
      <c r="H1017" t="str" cm="1">
        <f t="array" ref="H1017">_xlfn.IFS(G1017&gt;15,"Long Commute",G1017&gt;5,"Moderate",G1017&lt;=5,"Near Office")</f>
        <v>Moderate</v>
      </c>
      <c r="I1017" t="s">
        <v>72</v>
      </c>
      <c r="J1017" t="s">
        <v>51</v>
      </c>
      <c r="K1017">
        <v>4</v>
      </c>
      <c r="L1017" t="s">
        <v>46</v>
      </c>
      <c r="M1017">
        <v>95</v>
      </c>
      <c r="N1017">
        <v>2</v>
      </c>
      <c r="O1017">
        <v>2</v>
      </c>
      <c r="P1017" t="s">
        <v>53</v>
      </c>
      <c r="Q1017" t="s">
        <v>75</v>
      </c>
      <c r="R1017" t="s">
        <v>41</v>
      </c>
      <c r="S1017">
        <v>6032</v>
      </c>
      <c r="T1017" t="str" cm="1">
        <f t="array" ref="T1017">_xlfn.IFS(S1017&gt;=10000,"High (&gt;10k)",S1017&gt;=5000,"Medium (5k-10k)",S1017&lt;5000,"Low (&lt;5k)")</f>
        <v>Medium (5k-10k)</v>
      </c>
      <c r="U1017">
        <v>10110</v>
      </c>
      <c r="V1017">
        <v>6</v>
      </c>
      <c r="W1017" t="s">
        <v>35</v>
      </c>
      <c r="X1017">
        <v>15</v>
      </c>
      <c r="Y1017">
        <v>3</v>
      </c>
      <c r="Z1017">
        <v>4</v>
      </c>
      <c r="AA1017">
        <v>0</v>
      </c>
      <c r="AB1017">
        <v>8</v>
      </c>
      <c r="AC1017">
        <v>3</v>
      </c>
      <c r="AD1017" t="s">
        <v>74</v>
      </c>
      <c r="AE1017">
        <v>5</v>
      </c>
      <c r="AF1017" t="str" cm="1">
        <f t="array" ref="AF1017">_xlfn.IFS(AE1017&gt;=10,"Veteran (10y+)",AE1017&gt;=3,"Established (3-10y)",AE1017&lt;3,"New Hire (&lt;3y)")</f>
        <v>Established (3-10y)</v>
      </c>
      <c r="AG1017">
        <v>4</v>
      </c>
      <c r="AH1017">
        <v>1</v>
      </c>
      <c r="AI1017">
        <v>2</v>
      </c>
    </row>
    <row r="1018" spans="1:35">
      <c r="A1018">
        <v>41</v>
      </c>
      <c r="B1018" t="str">
        <f t="shared" si="15"/>
        <v>Middle Aged</v>
      </c>
      <c r="C1018">
        <v>1</v>
      </c>
      <c r="D1018" t="s">
        <v>44</v>
      </c>
      <c r="E1018">
        <v>143</v>
      </c>
      <c r="F1018" t="s">
        <v>37</v>
      </c>
      <c r="G1018">
        <v>4</v>
      </c>
      <c r="H1018" t="str" cm="1">
        <f t="array" ref="H1018">_xlfn.IFS(G1018&gt;15,"Long Commute",G1018&gt;5,"Moderate",G1018&lt;=5,"Near Office")</f>
        <v>Near Office</v>
      </c>
      <c r="I1018" t="s">
        <v>72</v>
      </c>
      <c r="J1018" t="s">
        <v>59</v>
      </c>
      <c r="K1018">
        <v>1</v>
      </c>
      <c r="L1018" t="s">
        <v>46</v>
      </c>
      <c r="M1018">
        <v>56</v>
      </c>
      <c r="N1018">
        <v>3</v>
      </c>
      <c r="O1018">
        <v>2</v>
      </c>
      <c r="P1018" t="s">
        <v>40</v>
      </c>
      <c r="Q1018" t="s">
        <v>75</v>
      </c>
      <c r="R1018" t="s">
        <v>41</v>
      </c>
      <c r="S1018">
        <v>9355</v>
      </c>
      <c r="T1018" t="str" cm="1">
        <f t="array" ref="T1018">_xlfn.IFS(S1018&gt;=10000,"High (&gt;10k)",S1018&gt;=5000,"Medium (5k-10k)",S1018&lt;5000,"Low (&lt;5k)")</f>
        <v>Medium (5k-10k)</v>
      </c>
      <c r="U1018">
        <v>9558</v>
      </c>
      <c r="V1018">
        <v>1</v>
      </c>
      <c r="W1018" t="s">
        <v>43</v>
      </c>
      <c r="X1018">
        <v>18</v>
      </c>
      <c r="Y1018">
        <v>3</v>
      </c>
      <c r="Z1018">
        <v>3</v>
      </c>
      <c r="AA1018">
        <v>0</v>
      </c>
      <c r="AB1018">
        <v>8</v>
      </c>
      <c r="AC1018">
        <v>5</v>
      </c>
      <c r="AD1018" t="s">
        <v>74</v>
      </c>
      <c r="AE1018">
        <v>8</v>
      </c>
      <c r="AF1018" t="str" cm="1">
        <f t="array" ref="AF1018">_xlfn.IFS(AE1018&gt;=10,"Veteran (10y+)",AE1018&gt;=3,"Established (3-10y)",AE1018&lt;3,"New Hire (&lt;3y)")</f>
        <v>Established (3-10y)</v>
      </c>
      <c r="AG1018">
        <v>7</v>
      </c>
      <c r="AH1018">
        <v>7</v>
      </c>
      <c r="AI1018">
        <v>7</v>
      </c>
    </row>
    <row r="1019" spans="1:35">
      <c r="A1019">
        <v>41</v>
      </c>
      <c r="B1019" t="str">
        <f t="shared" si="15"/>
        <v>Middle Aged</v>
      </c>
      <c r="C1019">
        <v>0</v>
      </c>
      <c r="D1019" t="s">
        <v>36</v>
      </c>
      <c r="E1019">
        <v>645</v>
      </c>
      <c r="F1019" t="s">
        <v>37</v>
      </c>
      <c r="G1019">
        <v>1</v>
      </c>
      <c r="H1019" t="str" cm="1">
        <f t="array" ref="H1019">_xlfn.IFS(G1019&gt;15,"Long Commute",G1019&gt;5,"Moderate",G1019&lt;=5,"Near Office")</f>
        <v>Near Office</v>
      </c>
      <c r="I1019" t="s">
        <v>72</v>
      </c>
      <c r="J1019" t="s">
        <v>59</v>
      </c>
      <c r="K1019">
        <v>2</v>
      </c>
      <c r="L1019" t="s">
        <v>46</v>
      </c>
      <c r="M1019">
        <v>49</v>
      </c>
      <c r="N1019">
        <v>4</v>
      </c>
      <c r="O1019">
        <v>3</v>
      </c>
      <c r="P1019" t="s">
        <v>40</v>
      </c>
      <c r="Q1019" t="s">
        <v>82</v>
      </c>
      <c r="R1019" t="s">
        <v>48</v>
      </c>
      <c r="S1019">
        <v>8392</v>
      </c>
      <c r="T1019" t="str" cm="1">
        <f t="array" ref="T1019">_xlfn.IFS(S1019&gt;=10000,"High (&gt;10k)",S1019&gt;=5000,"Medium (5k-10k)",S1019&lt;5000,"Low (&lt;5k)")</f>
        <v>Medium (5k-10k)</v>
      </c>
      <c r="U1019">
        <v>19566</v>
      </c>
      <c r="V1019">
        <v>1</v>
      </c>
      <c r="W1019" t="s">
        <v>43</v>
      </c>
      <c r="X1019">
        <v>16</v>
      </c>
      <c r="Y1019">
        <v>3</v>
      </c>
      <c r="Z1019">
        <v>3</v>
      </c>
      <c r="AA1019">
        <v>1</v>
      </c>
      <c r="AB1019">
        <v>10</v>
      </c>
      <c r="AC1019">
        <v>2</v>
      </c>
      <c r="AD1019" t="s">
        <v>74</v>
      </c>
      <c r="AE1019">
        <v>10</v>
      </c>
      <c r="AF1019" t="str" cm="1">
        <f t="array" ref="AF1019">_xlfn.IFS(AE1019&gt;=10,"Veteran (10y+)",AE1019&gt;=3,"Established (3-10y)",AE1019&lt;3,"New Hire (&lt;3y)")</f>
        <v>Veteran (10y+)</v>
      </c>
      <c r="AG1019">
        <v>7</v>
      </c>
      <c r="AH1019">
        <v>0</v>
      </c>
      <c r="AI1019">
        <v>7</v>
      </c>
    </row>
    <row r="1020" spans="1:35">
      <c r="A1020">
        <v>41</v>
      </c>
      <c r="B1020" t="str">
        <f t="shared" si="15"/>
        <v>Middle Aged</v>
      </c>
      <c r="C1020">
        <v>0</v>
      </c>
      <c r="D1020" t="s">
        <v>55</v>
      </c>
      <c r="E1020">
        <v>267</v>
      </c>
      <c r="F1020" t="s">
        <v>37</v>
      </c>
      <c r="G1020">
        <v>10</v>
      </c>
      <c r="H1020" t="str" cm="1">
        <f t="array" ref="H1020">_xlfn.IFS(G1020&gt;15,"Long Commute",G1020&gt;5,"Moderate",G1020&lt;=5,"Near Office")</f>
        <v>Moderate</v>
      </c>
      <c r="I1020" t="s">
        <v>76</v>
      </c>
      <c r="J1020" t="s">
        <v>38</v>
      </c>
      <c r="K1020">
        <v>4</v>
      </c>
      <c r="L1020" t="s">
        <v>46</v>
      </c>
      <c r="M1020">
        <v>56</v>
      </c>
      <c r="N1020">
        <v>3</v>
      </c>
      <c r="O1020">
        <v>2</v>
      </c>
      <c r="P1020" t="s">
        <v>40</v>
      </c>
      <c r="Q1020" t="s">
        <v>77</v>
      </c>
      <c r="R1020" t="s">
        <v>41</v>
      </c>
      <c r="S1020">
        <v>6230</v>
      </c>
      <c r="T1020" t="str" cm="1">
        <f t="array" ref="T1020">_xlfn.IFS(S1020&gt;=10000,"High (&gt;10k)",S1020&gt;=5000,"Medium (5k-10k)",S1020&lt;5000,"Low (&lt;5k)")</f>
        <v>Medium (5k-10k)</v>
      </c>
      <c r="U1020">
        <v>13430</v>
      </c>
      <c r="V1020">
        <v>7</v>
      </c>
      <c r="W1020" t="s">
        <v>43</v>
      </c>
      <c r="X1020">
        <v>14</v>
      </c>
      <c r="Y1020">
        <v>3</v>
      </c>
      <c r="Z1020">
        <v>4</v>
      </c>
      <c r="AA1020">
        <v>0</v>
      </c>
      <c r="AB1020">
        <v>16</v>
      </c>
      <c r="AC1020">
        <v>3</v>
      </c>
      <c r="AD1020" t="s">
        <v>74</v>
      </c>
      <c r="AE1020">
        <v>14</v>
      </c>
      <c r="AF1020" t="str" cm="1">
        <f t="array" ref="AF1020">_xlfn.IFS(AE1020&gt;=10,"Veteran (10y+)",AE1020&gt;=3,"Established (3-10y)",AE1020&lt;3,"New Hire (&lt;3y)")</f>
        <v>Veteran (10y+)</v>
      </c>
      <c r="AG1020">
        <v>3</v>
      </c>
      <c r="AH1020">
        <v>1</v>
      </c>
      <c r="AI1020">
        <v>10</v>
      </c>
    </row>
    <row r="1021" spans="1:35">
      <c r="A1021">
        <v>41</v>
      </c>
      <c r="B1021" t="str">
        <f t="shared" si="15"/>
        <v>Middle Aged</v>
      </c>
      <c r="C1021">
        <v>0</v>
      </c>
      <c r="D1021" t="s">
        <v>55</v>
      </c>
      <c r="E1021">
        <v>509</v>
      </c>
      <c r="F1021" t="s">
        <v>45</v>
      </c>
      <c r="G1021">
        <v>2</v>
      </c>
      <c r="H1021" t="str" cm="1">
        <f t="array" ref="H1021">_xlfn.IFS(G1021&gt;15,"Long Commute",G1021&gt;5,"Moderate",G1021&lt;=5,"Near Office")</f>
        <v>Near Office</v>
      </c>
      <c r="I1021" t="s">
        <v>83</v>
      </c>
      <c r="J1021" t="s">
        <v>49</v>
      </c>
      <c r="K1021">
        <v>1</v>
      </c>
      <c r="L1021" t="s">
        <v>39</v>
      </c>
      <c r="M1021">
        <v>62</v>
      </c>
      <c r="N1021">
        <v>2</v>
      </c>
      <c r="O1021">
        <v>2</v>
      </c>
      <c r="P1021" t="s">
        <v>54</v>
      </c>
      <c r="Q1021" t="s">
        <v>73</v>
      </c>
      <c r="R1021" t="s">
        <v>41</v>
      </c>
      <c r="S1021">
        <v>6811</v>
      </c>
      <c r="T1021" t="str" cm="1">
        <f t="array" ref="T1021">_xlfn.IFS(S1021&gt;=10000,"High (&gt;10k)",S1021&gt;=5000,"Medium (5k-10k)",S1021&lt;5000,"Low (&lt;5k)")</f>
        <v>Medium (5k-10k)</v>
      </c>
      <c r="U1021">
        <v>2112</v>
      </c>
      <c r="V1021">
        <v>2</v>
      </c>
      <c r="W1021" t="s">
        <v>35</v>
      </c>
      <c r="X1021">
        <v>17</v>
      </c>
      <c r="Y1021">
        <v>3</v>
      </c>
      <c r="Z1021">
        <v>1</v>
      </c>
      <c r="AA1021">
        <v>0</v>
      </c>
      <c r="AB1021">
        <v>10</v>
      </c>
      <c r="AC1021">
        <v>3</v>
      </c>
      <c r="AD1021" t="s">
        <v>74</v>
      </c>
      <c r="AE1021">
        <v>8</v>
      </c>
      <c r="AF1021" t="str" cm="1">
        <f t="array" ref="AF1021">_xlfn.IFS(AE1021&gt;=10,"Veteran (10y+)",AE1021&gt;=3,"Established (3-10y)",AE1021&lt;3,"New Hire (&lt;3y)")</f>
        <v>Established (3-10y)</v>
      </c>
      <c r="AG1021">
        <v>7</v>
      </c>
      <c r="AH1021">
        <v>0</v>
      </c>
      <c r="AI1021">
        <v>7</v>
      </c>
    </row>
    <row r="1022" spans="1:35">
      <c r="A1022">
        <v>41</v>
      </c>
      <c r="B1022" t="str">
        <f t="shared" si="15"/>
        <v>Middle Aged</v>
      </c>
      <c r="C1022">
        <v>0</v>
      </c>
      <c r="D1022" t="s">
        <v>36</v>
      </c>
      <c r="E1022">
        <v>1276</v>
      </c>
      <c r="F1022" t="s">
        <v>37</v>
      </c>
      <c r="G1022">
        <v>2</v>
      </c>
      <c r="H1022" t="str" cm="1">
        <f t="array" ref="H1022">_xlfn.IFS(G1022&gt;15,"Long Commute",G1022&gt;5,"Moderate",G1022&lt;=5,"Near Office")</f>
        <v>Near Office</v>
      </c>
      <c r="I1022" t="s">
        <v>84</v>
      </c>
      <c r="J1022" t="s">
        <v>38</v>
      </c>
      <c r="K1022">
        <v>2</v>
      </c>
      <c r="L1022" t="s">
        <v>39</v>
      </c>
      <c r="M1022">
        <v>91</v>
      </c>
      <c r="N1022">
        <v>3</v>
      </c>
      <c r="O1022">
        <v>4</v>
      </c>
      <c r="P1022" t="s">
        <v>56</v>
      </c>
      <c r="Q1022" t="s">
        <v>82</v>
      </c>
      <c r="R1022" t="s">
        <v>48</v>
      </c>
      <c r="S1022">
        <v>16595</v>
      </c>
      <c r="T1022" t="str" cm="1">
        <f t="array" ref="T1022">_xlfn.IFS(S1022&gt;=10000,"High (&gt;10k)",S1022&gt;=5000,"Medium (5k-10k)",S1022&lt;5000,"Low (&lt;5k)")</f>
        <v>High (&gt;10k)</v>
      </c>
      <c r="U1022">
        <v>5626</v>
      </c>
      <c r="V1022">
        <v>7</v>
      </c>
      <c r="W1022" t="s">
        <v>43</v>
      </c>
      <c r="X1022">
        <v>16</v>
      </c>
      <c r="Y1022">
        <v>3</v>
      </c>
      <c r="Z1022">
        <v>2</v>
      </c>
      <c r="AA1022">
        <v>1</v>
      </c>
      <c r="AB1022">
        <v>22</v>
      </c>
      <c r="AC1022">
        <v>2</v>
      </c>
      <c r="AD1022" t="s">
        <v>74</v>
      </c>
      <c r="AE1022">
        <v>18</v>
      </c>
      <c r="AF1022" t="str" cm="1">
        <f t="array" ref="AF1022">_xlfn.IFS(AE1022&gt;=10,"Veteran (10y+)",AE1022&gt;=3,"Established (3-10y)",AE1022&lt;3,"New Hire (&lt;3y)")</f>
        <v>Veteran (10y+)</v>
      </c>
      <c r="AG1022">
        <v>16</v>
      </c>
      <c r="AH1022">
        <v>11</v>
      </c>
      <c r="AI1022">
        <v>8</v>
      </c>
    </row>
    <row r="1023" spans="1:35">
      <c r="A1023">
        <v>41</v>
      </c>
      <c r="B1023" t="str">
        <f t="shared" si="15"/>
        <v>Middle Aged</v>
      </c>
      <c r="C1023">
        <v>0</v>
      </c>
      <c r="D1023" t="s">
        <v>36</v>
      </c>
      <c r="E1023">
        <v>427</v>
      </c>
      <c r="F1023" t="s">
        <v>61</v>
      </c>
      <c r="G1023">
        <v>10</v>
      </c>
      <c r="H1023" t="str" cm="1">
        <f t="array" ref="H1023">_xlfn.IFS(G1023&gt;15,"Long Commute",G1023&gt;5,"Moderate",G1023&lt;=5,"Near Office")</f>
        <v>Moderate</v>
      </c>
      <c r="I1023" t="s">
        <v>83</v>
      </c>
      <c r="J1023" t="s">
        <v>61</v>
      </c>
      <c r="K1023">
        <v>2</v>
      </c>
      <c r="L1023" t="s">
        <v>46</v>
      </c>
      <c r="M1023">
        <v>73</v>
      </c>
      <c r="N1023">
        <v>2</v>
      </c>
      <c r="O1023">
        <v>5</v>
      </c>
      <c r="P1023" t="s">
        <v>56</v>
      </c>
      <c r="Q1023" t="s">
        <v>77</v>
      </c>
      <c r="R1023" t="s">
        <v>52</v>
      </c>
      <c r="S1023">
        <v>19141</v>
      </c>
      <c r="T1023" t="str" cm="1">
        <f t="array" ref="T1023">_xlfn.IFS(S1023&gt;=10000,"High (&gt;10k)",S1023&gt;=5000,"Medium (5k-10k)",S1023&lt;5000,"Low (&lt;5k)")</f>
        <v>High (&gt;10k)</v>
      </c>
      <c r="U1023">
        <v>8861</v>
      </c>
      <c r="V1023">
        <v>3</v>
      </c>
      <c r="W1023" t="s">
        <v>43</v>
      </c>
      <c r="X1023">
        <v>15</v>
      </c>
      <c r="Y1023">
        <v>3</v>
      </c>
      <c r="Z1023">
        <v>2</v>
      </c>
      <c r="AA1023">
        <v>3</v>
      </c>
      <c r="AB1023">
        <v>23</v>
      </c>
      <c r="AC1023">
        <v>2</v>
      </c>
      <c r="AD1023" t="s">
        <v>81</v>
      </c>
      <c r="AE1023">
        <v>21</v>
      </c>
      <c r="AF1023" t="str" cm="1">
        <f t="array" ref="AF1023">_xlfn.IFS(AE1023&gt;=10,"Veteran (10y+)",AE1023&gt;=3,"Established (3-10y)",AE1023&lt;3,"New Hire (&lt;3y)")</f>
        <v>Veteran (10y+)</v>
      </c>
      <c r="AG1023">
        <v>6</v>
      </c>
      <c r="AH1023">
        <v>12</v>
      </c>
      <c r="AI1023">
        <v>6</v>
      </c>
    </row>
    <row r="1024" spans="1:35">
      <c r="A1024">
        <v>41</v>
      </c>
      <c r="B1024" t="str">
        <f t="shared" si="15"/>
        <v>Middle Aged</v>
      </c>
      <c r="C1024">
        <v>0</v>
      </c>
      <c r="D1024" t="s">
        <v>36</v>
      </c>
      <c r="E1024">
        <v>314</v>
      </c>
      <c r="F1024" t="s">
        <v>61</v>
      </c>
      <c r="G1024">
        <v>1</v>
      </c>
      <c r="H1024" t="str" cm="1">
        <f t="array" ref="H1024">_xlfn.IFS(G1024&gt;15,"Long Commute",G1024&gt;5,"Moderate",G1024&lt;=5,"Near Office")</f>
        <v>Near Office</v>
      </c>
      <c r="I1024" t="s">
        <v>72</v>
      </c>
      <c r="J1024" t="s">
        <v>61</v>
      </c>
      <c r="K1024">
        <v>4</v>
      </c>
      <c r="L1024" t="s">
        <v>46</v>
      </c>
      <c r="M1024">
        <v>59</v>
      </c>
      <c r="N1024">
        <v>2</v>
      </c>
      <c r="O1024">
        <v>5</v>
      </c>
      <c r="P1024" t="s">
        <v>56</v>
      </c>
      <c r="Q1024" t="s">
        <v>73</v>
      </c>
      <c r="R1024" t="s">
        <v>48</v>
      </c>
      <c r="S1024">
        <v>19189</v>
      </c>
      <c r="T1024" t="str" cm="1">
        <f t="array" ref="T1024">_xlfn.IFS(S1024&gt;=10000,"High (&gt;10k)",S1024&gt;=5000,"Medium (5k-10k)",S1024&lt;5000,"Low (&lt;5k)")</f>
        <v>High (&gt;10k)</v>
      </c>
      <c r="U1024">
        <v>19562</v>
      </c>
      <c r="V1024">
        <v>1</v>
      </c>
      <c r="W1024" t="s">
        <v>43</v>
      </c>
      <c r="X1024">
        <v>12</v>
      </c>
      <c r="Y1024">
        <v>3</v>
      </c>
      <c r="Z1024">
        <v>2</v>
      </c>
      <c r="AA1024">
        <v>1</v>
      </c>
      <c r="AB1024">
        <v>22</v>
      </c>
      <c r="AC1024">
        <v>3</v>
      </c>
      <c r="AD1024" t="s">
        <v>74</v>
      </c>
      <c r="AE1024">
        <v>22</v>
      </c>
      <c r="AF1024" t="str" cm="1">
        <f t="array" ref="AF1024">_xlfn.IFS(AE1024&gt;=10,"Veteran (10y+)",AE1024&gt;=3,"Established (3-10y)",AE1024&lt;3,"New Hire (&lt;3y)")</f>
        <v>Veteran (10y+)</v>
      </c>
      <c r="AG1024">
        <v>7</v>
      </c>
      <c r="AH1024">
        <v>2</v>
      </c>
      <c r="AI1024">
        <v>10</v>
      </c>
    </row>
    <row r="1025" spans="1:35">
      <c r="A1025">
        <v>41</v>
      </c>
      <c r="B1025" t="str">
        <f t="shared" si="15"/>
        <v>Middle Aged</v>
      </c>
      <c r="C1025">
        <v>1</v>
      </c>
      <c r="D1025" t="s">
        <v>36</v>
      </c>
      <c r="E1025">
        <v>1085</v>
      </c>
      <c r="F1025" t="s">
        <v>45</v>
      </c>
      <c r="G1025">
        <v>2</v>
      </c>
      <c r="H1025" t="str" cm="1">
        <f t="array" ref="H1025">_xlfn.IFS(G1025&gt;15,"Long Commute",G1025&gt;5,"Moderate",G1025&lt;=5,"Near Office")</f>
        <v>Near Office</v>
      </c>
      <c r="I1025" t="s">
        <v>83</v>
      </c>
      <c r="J1025" t="s">
        <v>38</v>
      </c>
      <c r="K1025">
        <v>2</v>
      </c>
      <c r="L1025" t="s">
        <v>39</v>
      </c>
      <c r="M1025">
        <v>57</v>
      </c>
      <c r="N1025">
        <v>1</v>
      </c>
      <c r="O1025">
        <v>1</v>
      </c>
      <c r="P1025" t="s">
        <v>50</v>
      </c>
      <c r="Q1025" t="s">
        <v>77</v>
      </c>
      <c r="R1025" t="s">
        <v>52</v>
      </c>
      <c r="S1025">
        <v>2778</v>
      </c>
      <c r="T1025" t="str" cm="1">
        <f t="array" ref="T1025">_xlfn.IFS(S1025&gt;=10000,"High (&gt;10k)",S1025&gt;=5000,"Medium (5k-10k)",S1025&lt;5000,"Low (&lt;5k)")</f>
        <v>Low (&lt;5k)</v>
      </c>
      <c r="U1025">
        <v>17725</v>
      </c>
      <c r="V1025">
        <v>4</v>
      </c>
      <c r="W1025" t="s">
        <v>35</v>
      </c>
      <c r="X1025">
        <v>13</v>
      </c>
      <c r="Y1025">
        <v>3</v>
      </c>
      <c r="Z1025">
        <v>3</v>
      </c>
      <c r="AA1025">
        <v>1</v>
      </c>
      <c r="AB1025">
        <v>10</v>
      </c>
      <c r="AC1025">
        <v>1</v>
      </c>
      <c r="AD1025" t="s">
        <v>81</v>
      </c>
      <c r="AE1025">
        <v>7</v>
      </c>
      <c r="AF1025" t="str" cm="1">
        <f t="array" ref="AF1025">_xlfn.IFS(AE1025&gt;=10,"Veteran (10y+)",AE1025&gt;=3,"Established (3-10y)",AE1025&lt;3,"New Hire (&lt;3y)")</f>
        <v>Established (3-10y)</v>
      </c>
      <c r="AG1025">
        <v>7</v>
      </c>
      <c r="AH1025">
        <v>1</v>
      </c>
      <c r="AI1025">
        <v>0</v>
      </c>
    </row>
    <row r="1026" spans="1:35">
      <c r="A1026">
        <v>41</v>
      </c>
      <c r="B1026" t="str">
        <f t="shared" si="15"/>
        <v>Middle Aged</v>
      </c>
      <c r="C1026">
        <v>0</v>
      </c>
      <c r="D1026" t="s">
        <v>36</v>
      </c>
      <c r="E1026">
        <v>263</v>
      </c>
      <c r="F1026" t="s">
        <v>45</v>
      </c>
      <c r="G1026">
        <v>6</v>
      </c>
      <c r="H1026" t="str" cm="1">
        <f t="array" ref="H1026">_xlfn.IFS(G1026&gt;15,"Long Commute",G1026&gt;5,"Moderate",G1026&lt;=5,"Near Office")</f>
        <v>Moderate</v>
      </c>
      <c r="I1026" t="s">
        <v>72</v>
      </c>
      <c r="J1026" t="s">
        <v>51</v>
      </c>
      <c r="K1026">
        <v>4</v>
      </c>
      <c r="L1026" t="s">
        <v>46</v>
      </c>
      <c r="M1026">
        <v>59</v>
      </c>
      <c r="N1026">
        <v>3</v>
      </c>
      <c r="O1026">
        <v>1</v>
      </c>
      <c r="P1026" t="s">
        <v>50</v>
      </c>
      <c r="Q1026" t="s">
        <v>82</v>
      </c>
      <c r="R1026" t="s">
        <v>41</v>
      </c>
      <c r="S1026">
        <v>4721</v>
      </c>
      <c r="T1026" t="str" cm="1">
        <f t="array" ref="T1026">_xlfn.IFS(S1026&gt;=10000,"High (&gt;10k)",S1026&gt;=5000,"Medium (5k-10k)",S1026&lt;5000,"Low (&lt;5k)")</f>
        <v>Low (&lt;5k)</v>
      </c>
      <c r="U1026">
        <v>3119</v>
      </c>
      <c r="V1026">
        <v>2</v>
      </c>
      <c r="W1026" t="s">
        <v>35</v>
      </c>
      <c r="X1026">
        <v>13</v>
      </c>
      <c r="Y1026">
        <v>3</v>
      </c>
      <c r="Z1026">
        <v>3</v>
      </c>
      <c r="AA1026">
        <v>0</v>
      </c>
      <c r="AB1026">
        <v>20</v>
      </c>
      <c r="AC1026">
        <v>3</v>
      </c>
      <c r="AD1026" t="s">
        <v>74</v>
      </c>
      <c r="AE1026">
        <v>18</v>
      </c>
      <c r="AF1026" t="str" cm="1">
        <f t="array" ref="AF1026">_xlfn.IFS(AE1026&gt;=10,"Veteran (10y+)",AE1026&gt;=3,"Established (3-10y)",AE1026&lt;3,"New Hire (&lt;3y)")</f>
        <v>Veteran (10y+)</v>
      </c>
      <c r="AG1026">
        <v>13</v>
      </c>
      <c r="AH1026">
        <v>2</v>
      </c>
      <c r="AI1026">
        <v>17</v>
      </c>
    </row>
    <row r="1027" spans="1:35">
      <c r="A1027">
        <v>41</v>
      </c>
      <c r="B1027" t="str">
        <f t="shared" ref="B1027:B1090" si="16">IF(A1027&gt;=46,"Senior",IF(A1027&gt;=30,"Middle Aged","Young Adults"))</f>
        <v>Middle Aged</v>
      </c>
      <c r="C1027">
        <v>0</v>
      </c>
      <c r="D1027" t="s">
        <v>44</v>
      </c>
      <c r="E1027">
        <v>840</v>
      </c>
      <c r="F1027" t="s">
        <v>45</v>
      </c>
      <c r="G1027">
        <v>9</v>
      </c>
      <c r="H1027" t="str" cm="1">
        <f t="array" ref="H1027">_xlfn.IFS(G1027&gt;15,"Long Commute",G1027&gt;5,"Moderate",G1027&lt;=5,"Near Office")</f>
        <v>Moderate</v>
      </c>
      <c r="I1027" t="s">
        <v>72</v>
      </c>
      <c r="J1027" t="s">
        <v>51</v>
      </c>
      <c r="K1027">
        <v>1</v>
      </c>
      <c r="L1027" t="s">
        <v>46</v>
      </c>
      <c r="M1027">
        <v>64</v>
      </c>
      <c r="N1027">
        <v>3</v>
      </c>
      <c r="O1027">
        <v>5</v>
      </c>
      <c r="P1027" t="s">
        <v>58</v>
      </c>
      <c r="Q1027" t="s">
        <v>73</v>
      </c>
      <c r="R1027" t="s">
        <v>52</v>
      </c>
      <c r="S1027">
        <v>19419</v>
      </c>
      <c r="T1027" t="str" cm="1">
        <f t="array" ref="T1027">_xlfn.IFS(S1027&gt;=10000,"High (&gt;10k)",S1027&gt;=5000,"Medium (5k-10k)",S1027&lt;5000,"Low (&lt;5k)")</f>
        <v>High (&gt;10k)</v>
      </c>
      <c r="U1027">
        <v>3735</v>
      </c>
      <c r="V1027">
        <v>2</v>
      </c>
      <c r="W1027" t="s">
        <v>43</v>
      </c>
      <c r="X1027">
        <v>17</v>
      </c>
      <c r="Y1027">
        <v>3</v>
      </c>
      <c r="Z1027">
        <v>2</v>
      </c>
      <c r="AA1027">
        <v>1</v>
      </c>
      <c r="AB1027">
        <v>21</v>
      </c>
      <c r="AC1027">
        <v>2</v>
      </c>
      <c r="AD1027" t="s">
        <v>79</v>
      </c>
      <c r="AE1027">
        <v>18</v>
      </c>
      <c r="AF1027" t="str" cm="1">
        <f t="array" ref="AF1027">_xlfn.IFS(AE1027&gt;=10,"Veteran (10y+)",AE1027&gt;=3,"Established (3-10y)",AE1027&lt;3,"New Hire (&lt;3y)")</f>
        <v>Veteran (10y+)</v>
      </c>
      <c r="AG1027">
        <v>16</v>
      </c>
      <c r="AH1027">
        <v>0</v>
      </c>
      <c r="AI1027">
        <v>11</v>
      </c>
    </row>
    <row r="1028" spans="1:35">
      <c r="A1028">
        <v>41</v>
      </c>
      <c r="B1028" t="str">
        <f t="shared" si="16"/>
        <v>Middle Aged</v>
      </c>
      <c r="C1028">
        <v>0</v>
      </c>
      <c r="D1028" t="s">
        <v>36</v>
      </c>
      <c r="E1028">
        <v>549</v>
      </c>
      <c r="F1028" t="s">
        <v>45</v>
      </c>
      <c r="G1028">
        <v>7</v>
      </c>
      <c r="H1028" t="str" cm="1">
        <f t="array" ref="H1028">_xlfn.IFS(G1028&gt;15,"Long Commute",G1028&gt;5,"Moderate",G1028&lt;=5,"Near Office")</f>
        <v>Moderate</v>
      </c>
      <c r="I1028" t="s">
        <v>76</v>
      </c>
      <c r="J1028" t="s">
        <v>51</v>
      </c>
      <c r="K1028">
        <v>4</v>
      </c>
      <c r="L1028" t="s">
        <v>39</v>
      </c>
      <c r="M1028">
        <v>42</v>
      </c>
      <c r="N1028">
        <v>3</v>
      </c>
      <c r="O1028">
        <v>2</v>
      </c>
      <c r="P1028" t="s">
        <v>53</v>
      </c>
      <c r="Q1028" t="s">
        <v>73</v>
      </c>
      <c r="R1028" t="s">
        <v>41</v>
      </c>
      <c r="S1028">
        <v>5003</v>
      </c>
      <c r="T1028" t="str" cm="1">
        <f t="array" ref="T1028">_xlfn.IFS(S1028&gt;=10000,"High (&gt;10k)",S1028&gt;=5000,"Medium (5k-10k)",S1028&lt;5000,"Low (&lt;5k)")</f>
        <v>Medium (5k-10k)</v>
      </c>
      <c r="U1028">
        <v>23371</v>
      </c>
      <c r="V1028">
        <v>6</v>
      </c>
      <c r="W1028" t="s">
        <v>43</v>
      </c>
      <c r="X1028">
        <v>14</v>
      </c>
      <c r="Y1028">
        <v>3</v>
      </c>
      <c r="Z1028">
        <v>2</v>
      </c>
      <c r="AA1028">
        <v>0</v>
      </c>
      <c r="AB1028">
        <v>8</v>
      </c>
      <c r="AC1028">
        <v>6</v>
      </c>
      <c r="AD1028" t="s">
        <v>74</v>
      </c>
      <c r="AE1028">
        <v>2</v>
      </c>
      <c r="AF1028" t="str" cm="1">
        <f t="array" ref="AF1028">_xlfn.IFS(AE1028&gt;=10,"Veteran (10y+)",AE1028&gt;=3,"Established (3-10y)",AE1028&lt;3,"New Hire (&lt;3y)")</f>
        <v>New Hire (&lt;3y)</v>
      </c>
      <c r="AG1028">
        <v>2</v>
      </c>
      <c r="AH1028">
        <v>2</v>
      </c>
      <c r="AI1028">
        <v>1</v>
      </c>
    </row>
    <row r="1029" spans="1:35">
      <c r="A1029">
        <v>41</v>
      </c>
      <c r="B1029" t="str">
        <f t="shared" si="16"/>
        <v>Middle Aged</v>
      </c>
      <c r="C1029">
        <v>0</v>
      </c>
      <c r="D1029" t="s">
        <v>55</v>
      </c>
      <c r="E1029">
        <v>247</v>
      </c>
      <c r="F1029" t="s">
        <v>45</v>
      </c>
      <c r="G1029">
        <v>7</v>
      </c>
      <c r="H1029" t="str" cm="1">
        <f t="array" ref="H1029">_xlfn.IFS(G1029&gt;15,"Long Commute",G1029&gt;5,"Moderate",G1029&lt;=5,"Near Office")</f>
        <v>Moderate</v>
      </c>
      <c r="I1029" t="s">
        <v>78</v>
      </c>
      <c r="J1029" t="s">
        <v>38</v>
      </c>
      <c r="K1029">
        <v>2</v>
      </c>
      <c r="L1029" t="s">
        <v>39</v>
      </c>
      <c r="M1029">
        <v>55</v>
      </c>
      <c r="N1029">
        <v>1</v>
      </c>
      <c r="O1029">
        <v>5</v>
      </c>
      <c r="P1029" t="s">
        <v>58</v>
      </c>
      <c r="Q1029" t="s">
        <v>73</v>
      </c>
      <c r="R1029" t="s">
        <v>52</v>
      </c>
      <c r="S1029">
        <v>19973</v>
      </c>
      <c r="T1029" t="str" cm="1">
        <f t="array" ref="T1029">_xlfn.IFS(S1029&gt;=10000,"High (&gt;10k)",S1029&gt;=5000,"Medium (5k-10k)",S1029&lt;5000,"Low (&lt;5k)")</f>
        <v>High (&gt;10k)</v>
      </c>
      <c r="U1029">
        <v>20284</v>
      </c>
      <c r="V1029">
        <v>1</v>
      </c>
      <c r="W1029" t="s">
        <v>43</v>
      </c>
      <c r="X1029">
        <v>22</v>
      </c>
      <c r="Y1029">
        <v>4</v>
      </c>
      <c r="Z1029">
        <v>2</v>
      </c>
      <c r="AA1029">
        <v>2</v>
      </c>
      <c r="AB1029">
        <v>21</v>
      </c>
      <c r="AC1029">
        <v>3</v>
      </c>
      <c r="AD1029" t="s">
        <v>74</v>
      </c>
      <c r="AE1029">
        <v>21</v>
      </c>
      <c r="AF1029" t="str" cm="1">
        <f t="array" ref="AF1029">_xlfn.IFS(AE1029&gt;=10,"Veteran (10y+)",AE1029&gt;=3,"Established (3-10y)",AE1029&lt;3,"New Hire (&lt;3y)")</f>
        <v>Veteran (10y+)</v>
      </c>
      <c r="AG1029">
        <v>16</v>
      </c>
      <c r="AH1029">
        <v>5</v>
      </c>
      <c r="AI1029">
        <v>10</v>
      </c>
    </row>
    <row r="1030" spans="1:35">
      <c r="A1030">
        <v>41</v>
      </c>
      <c r="B1030" t="str">
        <f t="shared" si="16"/>
        <v>Middle Aged</v>
      </c>
      <c r="C1030">
        <v>0</v>
      </c>
      <c r="D1030" t="s">
        <v>36</v>
      </c>
      <c r="E1030">
        <v>509</v>
      </c>
      <c r="F1030" t="s">
        <v>45</v>
      </c>
      <c r="G1030">
        <v>7</v>
      </c>
      <c r="H1030" t="str" cm="1">
        <f t="array" ref="H1030">_xlfn.IFS(G1030&gt;15,"Long Commute",G1030&gt;5,"Moderate",G1030&lt;=5,"Near Office")</f>
        <v>Moderate</v>
      </c>
      <c r="I1030" t="s">
        <v>76</v>
      </c>
      <c r="J1030" t="s">
        <v>60</v>
      </c>
      <c r="K1030">
        <v>2</v>
      </c>
      <c r="L1030" t="s">
        <v>39</v>
      </c>
      <c r="M1030">
        <v>43</v>
      </c>
      <c r="N1030">
        <v>4</v>
      </c>
      <c r="O1030">
        <v>1</v>
      </c>
      <c r="P1030" t="s">
        <v>47</v>
      </c>
      <c r="Q1030" t="s">
        <v>73</v>
      </c>
      <c r="R1030" t="s">
        <v>48</v>
      </c>
      <c r="S1030">
        <v>3376</v>
      </c>
      <c r="T1030" t="str" cm="1">
        <f t="array" ref="T1030">_xlfn.IFS(S1030&gt;=10000,"High (&gt;10k)",S1030&gt;=5000,"Medium (5k-10k)",S1030&lt;5000,"Low (&lt;5k)")</f>
        <v>Low (&lt;5k)</v>
      </c>
      <c r="U1030">
        <v>18863</v>
      </c>
      <c r="V1030">
        <v>1</v>
      </c>
      <c r="W1030" t="s">
        <v>43</v>
      </c>
      <c r="X1030">
        <v>13</v>
      </c>
      <c r="Y1030">
        <v>3</v>
      </c>
      <c r="Z1030">
        <v>3</v>
      </c>
      <c r="AA1030">
        <v>0</v>
      </c>
      <c r="AB1030">
        <v>10</v>
      </c>
      <c r="AC1030">
        <v>3</v>
      </c>
      <c r="AD1030" t="s">
        <v>74</v>
      </c>
      <c r="AE1030">
        <v>10</v>
      </c>
      <c r="AF1030" t="str" cm="1">
        <f t="array" ref="AF1030">_xlfn.IFS(AE1030&gt;=10,"Veteran (10y+)",AE1030&gt;=3,"Established (3-10y)",AE1030&lt;3,"New Hire (&lt;3y)")</f>
        <v>Veteran (10y+)</v>
      </c>
      <c r="AG1030">
        <v>6</v>
      </c>
      <c r="AH1030">
        <v>0</v>
      </c>
      <c r="AI1030">
        <v>8</v>
      </c>
    </row>
    <row r="1031" spans="1:35">
      <c r="A1031">
        <v>41</v>
      </c>
      <c r="B1031" t="str">
        <f t="shared" si="16"/>
        <v>Middle Aged</v>
      </c>
      <c r="C1031">
        <v>0</v>
      </c>
      <c r="D1031" t="s">
        <v>36</v>
      </c>
      <c r="E1031">
        <v>167</v>
      </c>
      <c r="F1031" t="s">
        <v>45</v>
      </c>
      <c r="G1031">
        <v>12</v>
      </c>
      <c r="H1031" t="str" cm="1">
        <f t="array" ref="H1031">_xlfn.IFS(G1031&gt;15,"Long Commute",G1031&gt;5,"Moderate",G1031&lt;=5,"Near Office")</f>
        <v>Moderate</v>
      </c>
      <c r="I1031" t="s">
        <v>83</v>
      </c>
      <c r="J1031" t="s">
        <v>38</v>
      </c>
      <c r="K1031">
        <v>2</v>
      </c>
      <c r="L1031" t="s">
        <v>46</v>
      </c>
      <c r="M1031">
        <v>46</v>
      </c>
      <c r="N1031">
        <v>3</v>
      </c>
      <c r="O1031">
        <v>1</v>
      </c>
      <c r="P1031" t="s">
        <v>50</v>
      </c>
      <c r="Q1031" t="s">
        <v>77</v>
      </c>
      <c r="R1031" t="s">
        <v>48</v>
      </c>
      <c r="S1031">
        <v>4766</v>
      </c>
      <c r="T1031" t="str" cm="1">
        <f t="array" ref="T1031">_xlfn.IFS(S1031&gt;=10000,"High (&gt;10k)",S1031&gt;=5000,"Medium (5k-10k)",S1031&lt;5000,"Low (&lt;5k)")</f>
        <v>Low (&lt;5k)</v>
      </c>
      <c r="U1031">
        <v>9051</v>
      </c>
      <c r="V1031">
        <v>3</v>
      </c>
      <c r="W1031" t="s">
        <v>35</v>
      </c>
      <c r="X1031">
        <v>11</v>
      </c>
      <c r="Y1031">
        <v>3</v>
      </c>
      <c r="Z1031">
        <v>1</v>
      </c>
      <c r="AA1031">
        <v>1</v>
      </c>
      <c r="AB1031">
        <v>6</v>
      </c>
      <c r="AC1031">
        <v>4</v>
      </c>
      <c r="AD1031" t="s">
        <v>74</v>
      </c>
      <c r="AE1031">
        <v>1</v>
      </c>
      <c r="AF1031" t="str" cm="1">
        <f t="array" ref="AF1031">_xlfn.IFS(AE1031&gt;=10,"Veteran (10y+)",AE1031&gt;=3,"Established (3-10y)",AE1031&lt;3,"New Hire (&lt;3y)")</f>
        <v>New Hire (&lt;3y)</v>
      </c>
      <c r="AG1031">
        <v>0</v>
      </c>
      <c r="AH1031">
        <v>0</v>
      </c>
      <c r="AI1031">
        <v>0</v>
      </c>
    </row>
    <row r="1032" spans="1:35">
      <c r="A1032">
        <v>41</v>
      </c>
      <c r="B1032" t="str">
        <f t="shared" si="16"/>
        <v>Middle Aged</v>
      </c>
      <c r="C1032">
        <v>1</v>
      </c>
      <c r="D1032" t="s">
        <v>55</v>
      </c>
      <c r="E1032">
        <v>906</v>
      </c>
      <c r="F1032" t="s">
        <v>45</v>
      </c>
      <c r="G1032">
        <v>5</v>
      </c>
      <c r="H1032" t="str" cm="1">
        <f t="array" ref="H1032">_xlfn.IFS(G1032&gt;15,"Long Commute",G1032&gt;5,"Moderate",G1032&lt;=5,"Near Office")</f>
        <v>Near Office</v>
      </c>
      <c r="I1032" t="s">
        <v>76</v>
      </c>
      <c r="J1032" t="s">
        <v>38</v>
      </c>
      <c r="K1032">
        <v>1</v>
      </c>
      <c r="L1032" t="s">
        <v>46</v>
      </c>
      <c r="M1032">
        <v>95</v>
      </c>
      <c r="N1032">
        <v>2</v>
      </c>
      <c r="O1032">
        <v>1</v>
      </c>
      <c r="P1032" t="s">
        <v>47</v>
      </c>
      <c r="Q1032" t="s">
        <v>82</v>
      </c>
      <c r="R1032" t="s">
        <v>52</v>
      </c>
      <c r="S1032">
        <v>2107</v>
      </c>
      <c r="T1032" t="str" cm="1">
        <f t="array" ref="T1032">_xlfn.IFS(S1032&gt;=10000,"High (&gt;10k)",S1032&gt;=5000,"Medium (5k-10k)",S1032&lt;5000,"Low (&lt;5k)")</f>
        <v>Low (&lt;5k)</v>
      </c>
      <c r="U1032">
        <v>20293</v>
      </c>
      <c r="V1032">
        <v>6</v>
      </c>
      <c r="W1032" t="s">
        <v>43</v>
      </c>
      <c r="X1032">
        <v>17</v>
      </c>
      <c r="Y1032">
        <v>3</v>
      </c>
      <c r="Z1032">
        <v>1</v>
      </c>
      <c r="AA1032">
        <v>1</v>
      </c>
      <c r="AB1032">
        <v>5</v>
      </c>
      <c r="AC1032">
        <v>2</v>
      </c>
      <c r="AD1032" t="s">
        <v>80</v>
      </c>
      <c r="AE1032">
        <v>1</v>
      </c>
      <c r="AF1032" t="str" cm="1">
        <f t="array" ref="AF1032">_xlfn.IFS(AE1032&gt;=10,"Veteran (10y+)",AE1032&gt;=3,"Established (3-10y)",AE1032&lt;3,"New Hire (&lt;3y)")</f>
        <v>New Hire (&lt;3y)</v>
      </c>
      <c r="AG1032">
        <v>0</v>
      </c>
      <c r="AH1032">
        <v>0</v>
      </c>
      <c r="AI1032">
        <v>0</v>
      </c>
    </row>
    <row r="1033" spans="1:35">
      <c r="A1033">
        <v>41</v>
      </c>
      <c r="B1033" t="str">
        <f t="shared" si="16"/>
        <v>Middle Aged</v>
      </c>
      <c r="C1033">
        <v>0</v>
      </c>
      <c r="D1033" t="s">
        <v>55</v>
      </c>
      <c r="E1033">
        <v>256</v>
      </c>
      <c r="F1033" t="s">
        <v>37</v>
      </c>
      <c r="G1033">
        <v>10</v>
      </c>
      <c r="H1033" t="str" cm="1">
        <f t="array" ref="H1033">_xlfn.IFS(G1033&gt;15,"Long Commute",G1033&gt;5,"Moderate",G1033&lt;=5,"Near Office")</f>
        <v>Moderate</v>
      </c>
      <c r="I1033" t="s">
        <v>76</v>
      </c>
      <c r="J1033" t="s">
        <v>51</v>
      </c>
      <c r="K1033">
        <v>3</v>
      </c>
      <c r="L1033" t="s">
        <v>46</v>
      </c>
      <c r="M1033">
        <v>40</v>
      </c>
      <c r="N1033">
        <v>1</v>
      </c>
      <c r="O1033">
        <v>2</v>
      </c>
      <c r="P1033" t="s">
        <v>40</v>
      </c>
      <c r="Q1033" t="s">
        <v>75</v>
      </c>
      <c r="R1033" t="s">
        <v>41</v>
      </c>
      <c r="S1033">
        <v>6151</v>
      </c>
      <c r="T1033" t="str" cm="1">
        <f t="array" ref="T1033">_xlfn.IFS(S1033&gt;=10000,"High (&gt;10k)",S1033&gt;=5000,"Medium (5k-10k)",S1033&lt;5000,"Low (&lt;5k)")</f>
        <v>Medium (5k-10k)</v>
      </c>
      <c r="U1033">
        <v>22074</v>
      </c>
      <c r="V1033">
        <v>1</v>
      </c>
      <c r="W1033" t="s">
        <v>43</v>
      </c>
      <c r="X1033">
        <v>13</v>
      </c>
      <c r="Y1033">
        <v>3</v>
      </c>
      <c r="Z1033">
        <v>1</v>
      </c>
      <c r="AA1033">
        <v>0</v>
      </c>
      <c r="AB1033">
        <v>19</v>
      </c>
      <c r="AC1033">
        <v>4</v>
      </c>
      <c r="AD1033" t="s">
        <v>74</v>
      </c>
      <c r="AE1033">
        <v>19</v>
      </c>
      <c r="AF1033" t="str" cm="1">
        <f t="array" ref="AF1033">_xlfn.IFS(AE1033&gt;=10,"Veteran (10y+)",AE1033&gt;=3,"Established (3-10y)",AE1033&lt;3,"New Hire (&lt;3y)")</f>
        <v>Veteran (10y+)</v>
      </c>
      <c r="AG1033">
        <v>2</v>
      </c>
      <c r="AH1033">
        <v>11</v>
      </c>
      <c r="AI1033">
        <v>9</v>
      </c>
    </row>
    <row r="1034" spans="1:35">
      <c r="A1034">
        <v>41</v>
      </c>
      <c r="B1034" t="str">
        <f t="shared" si="16"/>
        <v>Middle Aged</v>
      </c>
      <c r="C1034">
        <v>0</v>
      </c>
      <c r="D1034" t="s">
        <v>44</v>
      </c>
      <c r="E1034">
        <v>1018</v>
      </c>
      <c r="F1034" t="s">
        <v>37</v>
      </c>
      <c r="G1034">
        <v>1</v>
      </c>
      <c r="H1034" t="str" cm="1">
        <f t="array" ref="H1034">_xlfn.IFS(G1034&gt;15,"Long Commute",G1034&gt;5,"Moderate",G1034&lt;=5,"Near Office")</f>
        <v>Near Office</v>
      </c>
      <c r="I1034" t="s">
        <v>72</v>
      </c>
      <c r="J1034" t="s">
        <v>59</v>
      </c>
      <c r="K1034">
        <v>3</v>
      </c>
      <c r="L1034" t="s">
        <v>39</v>
      </c>
      <c r="M1034">
        <v>66</v>
      </c>
      <c r="N1034">
        <v>3</v>
      </c>
      <c r="O1034">
        <v>2</v>
      </c>
      <c r="P1034" t="s">
        <v>40</v>
      </c>
      <c r="Q1034" t="s">
        <v>82</v>
      </c>
      <c r="R1034" t="s">
        <v>52</v>
      </c>
      <c r="S1034">
        <v>4103</v>
      </c>
      <c r="T1034" t="str" cm="1">
        <f t="array" ref="T1034">_xlfn.IFS(S1034&gt;=10000,"High (&gt;10k)",S1034&gt;=5000,"Medium (5k-10k)",S1034&lt;5000,"Low (&lt;5k)")</f>
        <v>Low (&lt;5k)</v>
      </c>
      <c r="U1034">
        <v>4297</v>
      </c>
      <c r="V1034">
        <v>0</v>
      </c>
      <c r="W1034" t="s">
        <v>43</v>
      </c>
      <c r="X1034">
        <v>17</v>
      </c>
      <c r="Y1034">
        <v>3</v>
      </c>
      <c r="Z1034">
        <v>4</v>
      </c>
      <c r="AA1034">
        <v>1</v>
      </c>
      <c r="AB1034">
        <v>10</v>
      </c>
      <c r="AC1034">
        <v>2</v>
      </c>
      <c r="AD1034" t="s">
        <v>74</v>
      </c>
      <c r="AE1034">
        <v>9</v>
      </c>
      <c r="AF1034" t="str" cm="1">
        <f t="array" ref="AF1034">_xlfn.IFS(AE1034&gt;=10,"Veteran (10y+)",AE1034&gt;=3,"Established (3-10y)",AE1034&lt;3,"New Hire (&lt;3y)")</f>
        <v>Established (3-10y)</v>
      </c>
      <c r="AG1034">
        <v>3</v>
      </c>
      <c r="AH1034">
        <v>1</v>
      </c>
      <c r="AI1034">
        <v>7</v>
      </c>
    </row>
    <row r="1035" spans="1:35">
      <c r="A1035">
        <v>41</v>
      </c>
      <c r="B1035" t="str">
        <f t="shared" si="16"/>
        <v>Middle Aged</v>
      </c>
      <c r="C1035">
        <v>0</v>
      </c>
      <c r="D1035" t="s">
        <v>44</v>
      </c>
      <c r="E1035">
        <v>1200</v>
      </c>
      <c r="F1035" t="s">
        <v>45</v>
      </c>
      <c r="G1035">
        <v>22</v>
      </c>
      <c r="H1035" t="str" cm="1">
        <f t="array" ref="H1035">_xlfn.IFS(G1035&gt;15,"Long Commute",G1035&gt;5,"Moderate",G1035&lt;=5,"Near Office")</f>
        <v>Long Commute</v>
      </c>
      <c r="I1035" t="s">
        <v>72</v>
      </c>
      <c r="J1035" t="s">
        <v>38</v>
      </c>
      <c r="K1035">
        <v>4</v>
      </c>
      <c r="L1035" t="s">
        <v>39</v>
      </c>
      <c r="M1035">
        <v>75</v>
      </c>
      <c r="N1035">
        <v>3</v>
      </c>
      <c r="O1035">
        <v>2</v>
      </c>
      <c r="P1035" t="s">
        <v>47</v>
      </c>
      <c r="Q1035" t="s">
        <v>77</v>
      </c>
      <c r="R1035" t="s">
        <v>52</v>
      </c>
      <c r="S1035">
        <v>5467</v>
      </c>
      <c r="T1035" t="str" cm="1">
        <f t="array" ref="T1035">_xlfn.IFS(S1035&gt;=10000,"High (&gt;10k)",S1035&gt;=5000,"Medium (5k-10k)",S1035&lt;5000,"Low (&lt;5k)")</f>
        <v>Medium (5k-10k)</v>
      </c>
      <c r="U1035">
        <v>13953</v>
      </c>
      <c r="V1035">
        <v>3</v>
      </c>
      <c r="W1035" t="s">
        <v>35</v>
      </c>
      <c r="X1035">
        <v>14</v>
      </c>
      <c r="Y1035">
        <v>3</v>
      </c>
      <c r="Z1035">
        <v>1</v>
      </c>
      <c r="AA1035">
        <v>2</v>
      </c>
      <c r="AB1035">
        <v>12</v>
      </c>
      <c r="AC1035">
        <v>4</v>
      </c>
      <c r="AD1035" t="s">
        <v>81</v>
      </c>
      <c r="AE1035">
        <v>6</v>
      </c>
      <c r="AF1035" t="str" cm="1">
        <f t="array" ref="AF1035">_xlfn.IFS(AE1035&gt;=10,"Veteran (10y+)",AE1035&gt;=3,"Established (3-10y)",AE1035&lt;3,"New Hire (&lt;3y)")</f>
        <v>Established (3-10y)</v>
      </c>
      <c r="AG1035">
        <v>2</v>
      </c>
      <c r="AH1035">
        <v>3</v>
      </c>
      <c r="AI1035">
        <v>3</v>
      </c>
    </row>
    <row r="1036" spans="1:35">
      <c r="A1036">
        <v>41</v>
      </c>
      <c r="B1036" t="str">
        <f t="shared" si="16"/>
        <v>Middle Aged</v>
      </c>
      <c r="C1036">
        <v>0</v>
      </c>
      <c r="D1036" t="s">
        <v>36</v>
      </c>
      <c r="E1036">
        <v>1283</v>
      </c>
      <c r="F1036" t="s">
        <v>45</v>
      </c>
      <c r="G1036">
        <v>5</v>
      </c>
      <c r="H1036" t="str" cm="1">
        <f t="array" ref="H1036">_xlfn.IFS(G1036&gt;15,"Long Commute",G1036&gt;5,"Moderate",G1036&lt;=5,"Near Office")</f>
        <v>Near Office</v>
      </c>
      <c r="I1036" t="s">
        <v>84</v>
      </c>
      <c r="J1036" t="s">
        <v>51</v>
      </c>
      <c r="K1036">
        <v>2</v>
      </c>
      <c r="L1036" t="s">
        <v>46</v>
      </c>
      <c r="M1036">
        <v>90</v>
      </c>
      <c r="N1036">
        <v>4</v>
      </c>
      <c r="O1036">
        <v>1</v>
      </c>
      <c r="P1036" t="s">
        <v>47</v>
      </c>
      <c r="Q1036" t="s">
        <v>73</v>
      </c>
      <c r="R1036" t="s">
        <v>48</v>
      </c>
      <c r="S1036">
        <v>2127</v>
      </c>
      <c r="T1036" t="str" cm="1">
        <f t="array" ref="T1036">_xlfn.IFS(S1036&gt;=10000,"High (&gt;10k)",S1036&gt;=5000,"Medium (5k-10k)",S1036&lt;5000,"Low (&lt;5k)")</f>
        <v>Low (&lt;5k)</v>
      </c>
      <c r="U1036">
        <v>5561</v>
      </c>
      <c r="V1036">
        <v>2</v>
      </c>
      <c r="W1036" t="s">
        <v>35</v>
      </c>
      <c r="X1036">
        <v>12</v>
      </c>
      <c r="Y1036">
        <v>3</v>
      </c>
      <c r="Z1036">
        <v>1</v>
      </c>
      <c r="AA1036">
        <v>0</v>
      </c>
      <c r="AB1036">
        <v>7</v>
      </c>
      <c r="AC1036">
        <v>5</v>
      </c>
      <c r="AD1036" t="s">
        <v>81</v>
      </c>
      <c r="AE1036">
        <v>4</v>
      </c>
      <c r="AF1036" t="str" cm="1">
        <f t="array" ref="AF1036">_xlfn.IFS(AE1036&gt;=10,"Veteran (10y+)",AE1036&gt;=3,"Established (3-10y)",AE1036&lt;3,"New Hire (&lt;3y)")</f>
        <v>Established (3-10y)</v>
      </c>
      <c r="AG1036">
        <v>2</v>
      </c>
      <c r="AH1036">
        <v>0</v>
      </c>
      <c r="AI1036">
        <v>3</v>
      </c>
    </row>
    <row r="1037" spans="1:35">
      <c r="A1037">
        <v>41</v>
      </c>
      <c r="B1037" t="str">
        <f t="shared" si="16"/>
        <v>Middle Aged</v>
      </c>
      <c r="C1037">
        <v>0</v>
      </c>
      <c r="D1037" t="s">
        <v>36</v>
      </c>
      <c r="E1037">
        <v>1206</v>
      </c>
      <c r="F1037" t="s">
        <v>37</v>
      </c>
      <c r="G1037">
        <v>23</v>
      </c>
      <c r="H1037" t="str" cm="1">
        <f t="array" ref="H1037">_xlfn.IFS(G1037&gt;15,"Long Commute",G1037&gt;5,"Moderate",G1037&lt;=5,"Near Office")</f>
        <v>Long Commute</v>
      </c>
      <c r="I1037" t="s">
        <v>76</v>
      </c>
      <c r="J1037" t="s">
        <v>38</v>
      </c>
      <c r="K1037">
        <v>4</v>
      </c>
      <c r="L1037" t="s">
        <v>46</v>
      </c>
      <c r="M1037">
        <v>80</v>
      </c>
      <c r="N1037">
        <v>3</v>
      </c>
      <c r="O1037">
        <v>3</v>
      </c>
      <c r="P1037" t="s">
        <v>40</v>
      </c>
      <c r="Q1037" t="s">
        <v>73</v>
      </c>
      <c r="R1037" t="s">
        <v>41</v>
      </c>
      <c r="S1037">
        <v>7082</v>
      </c>
      <c r="T1037" t="str" cm="1">
        <f t="array" ref="T1037">_xlfn.IFS(S1037&gt;=10000,"High (&gt;10k)",S1037&gt;=5000,"Medium (5k-10k)",S1037&lt;5000,"Low (&lt;5k)")</f>
        <v>Medium (5k-10k)</v>
      </c>
      <c r="U1037">
        <v>11591</v>
      </c>
      <c r="V1037">
        <v>3</v>
      </c>
      <c r="W1037" t="s">
        <v>35</v>
      </c>
      <c r="X1037">
        <v>16</v>
      </c>
      <c r="Y1037">
        <v>3</v>
      </c>
      <c r="Z1037">
        <v>4</v>
      </c>
      <c r="AA1037">
        <v>0</v>
      </c>
      <c r="AB1037">
        <v>21</v>
      </c>
      <c r="AC1037">
        <v>2</v>
      </c>
      <c r="AD1037" t="s">
        <v>74</v>
      </c>
      <c r="AE1037">
        <v>2</v>
      </c>
      <c r="AF1037" t="str" cm="1">
        <f t="array" ref="AF1037">_xlfn.IFS(AE1037&gt;=10,"Veteran (10y+)",AE1037&gt;=3,"Established (3-10y)",AE1037&lt;3,"New Hire (&lt;3y)")</f>
        <v>New Hire (&lt;3y)</v>
      </c>
      <c r="AG1037">
        <v>0</v>
      </c>
      <c r="AH1037">
        <v>0</v>
      </c>
      <c r="AI1037">
        <v>2</v>
      </c>
    </row>
    <row r="1038" spans="1:35">
      <c r="A1038">
        <v>41</v>
      </c>
      <c r="B1038" t="str">
        <f t="shared" si="16"/>
        <v>Middle Aged</v>
      </c>
      <c r="C1038">
        <v>0</v>
      </c>
      <c r="D1038" t="s">
        <v>36</v>
      </c>
      <c r="E1038">
        <v>918</v>
      </c>
      <c r="F1038" t="s">
        <v>37</v>
      </c>
      <c r="G1038">
        <v>6</v>
      </c>
      <c r="H1038" t="str" cm="1">
        <f t="array" ref="H1038">_xlfn.IFS(G1038&gt;15,"Long Commute",G1038&gt;5,"Moderate",G1038&lt;=5,"Near Office")</f>
        <v>Moderate</v>
      </c>
      <c r="I1038" t="s">
        <v>72</v>
      </c>
      <c r="J1038" t="s">
        <v>59</v>
      </c>
      <c r="K1038">
        <v>4</v>
      </c>
      <c r="L1038" t="s">
        <v>46</v>
      </c>
      <c r="M1038">
        <v>35</v>
      </c>
      <c r="N1038">
        <v>3</v>
      </c>
      <c r="O1038">
        <v>3</v>
      </c>
      <c r="P1038" t="s">
        <v>40</v>
      </c>
      <c r="Q1038" t="s">
        <v>73</v>
      </c>
      <c r="R1038" t="s">
        <v>41</v>
      </c>
      <c r="S1038">
        <v>9241</v>
      </c>
      <c r="T1038" t="str" cm="1">
        <f t="array" ref="T1038">_xlfn.IFS(S1038&gt;=10000,"High (&gt;10k)",S1038&gt;=5000,"Medium (5k-10k)",S1038&lt;5000,"Low (&lt;5k)")</f>
        <v>Medium (5k-10k)</v>
      </c>
      <c r="U1038">
        <v>15869</v>
      </c>
      <c r="V1038">
        <v>1</v>
      </c>
      <c r="W1038" t="s">
        <v>43</v>
      </c>
      <c r="X1038">
        <v>12</v>
      </c>
      <c r="Y1038">
        <v>3</v>
      </c>
      <c r="Z1038">
        <v>2</v>
      </c>
      <c r="AA1038">
        <v>0</v>
      </c>
      <c r="AB1038">
        <v>10</v>
      </c>
      <c r="AC1038">
        <v>3</v>
      </c>
      <c r="AD1038" t="s">
        <v>74</v>
      </c>
      <c r="AE1038">
        <v>10</v>
      </c>
      <c r="AF1038" t="str" cm="1">
        <f t="array" ref="AF1038">_xlfn.IFS(AE1038&gt;=10,"Veteran (10y+)",AE1038&gt;=3,"Established (3-10y)",AE1038&lt;3,"New Hire (&lt;3y)")</f>
        <v>Veteran (10y+)</v>
      </c>
      <c r="AG1038">
        <v>8</v>
      </c>
      <c r="AH1038">
        <v>8</v>
      </c>
      <c r="AI1038">
        <v>7</v>
      </c>
    </row>
    <row r="1039" spans="1:35">
      <c r="A1039">
        <v>41</v>
      </c>
      <c r="B1039" t="str">
        <f t="shared" si="16"/>
        <v>Middle Aged</v>
      </c>
      <c r="C1039">
        <v>0</v>
      </c>
      <c r="D1039" t="s">
        <v>55</v>
      </c>
      <c r="E1039">
        <v>552</v>
      </c>
      <c r="F1039" t="s">
        <v>61</v>
      </c>
      <c r="G1039">
        <v>4</v>
      </c>
      <c r="H1039" t="str" cm="1">
        <f t="array" ref="H1039">_xlfn.IFS(G1039&gt;15,"Long Commute",G1039&gt;5,"Moderate",G1039&lt;=5,"Near Office")</f>
        <v>Near Office</v>
      </c>
      <c r="I1039" t="s">
        <v>72</v>
      </c>
      <c r="J1039" t="s">
        <v>61</v>
      </c>
      <c r="K1039">
        <v>3</v>
      </c>
      <c r="L1039" t="s">
        <v>46</v>
      </c>
      <c r="M1039">
        <v>60</v>
      </c>
      <c r="N1039">
        <v>1</v>
      </c>
      <c r="O1039">
        <v>2</v>
      </c>
      <c r="P1039" t="s">
        <v>61</v>
      </c>
      <c r="Q1039" t="s">
        <v>75</v>
      </c>
      <c r="R1039" t="s">
        <v>48</v>
      </c>
      <c r="S1039">
        <v>6430</v>
      </c>
      <c r="T1039" t="str" cm="1">
        <f t="array" ref="T1039">_xlfn.IFS(S1039&gt;=10000,"High (&gt;10k)",S1039&gt;=5000,"Medium (5k-10k)",S1039&lt;5000,"Low (&lt;5k)")</f>
        <v>Medium (5k-10k)</v>
      </c>
      <c r="U1039">
        <v>20794</v>
      </c>
      <c r="V1039">
        <v>6</v>
      </c>
      <c r="W1039" t="s">
        <v>43</v>
      </c>
      <c r="X1039">
        <v>19</v>
      </c>
      <c r="Y1039">
        <v>3</v>
      </c>
      <c r="Z1039">
        <v>2</v>
      </c>
      <c r="AA1039">
        <v>1</v>
      </c>
      <c r="AB1039">
        <v>10</v>
      </c>
      <c r="AC1039">
        <v>4</v>
      </c>
      <c r="AD1039" t="s">
        <v>74</v>
      </c>
      <c r="AE1039">
        <v>3</v>
      </c>
      <c r="AF1039" t="str" cm="1">
        <f t="array" ref="AF1039">_xlfn.IFS(AE1039&gt;=10,"Veteran (10y+)",AE1039&gt;=3,"Established (3-10y)",AE1039&lt;3,"New Hire (&lt;3y)")</f>
        <v>Established (3-10y)</v>
      </c>
      <c r="AG1039">
        <v>2</v>
      </c>
      <c r="AH1039">
        <v>1</v>
      </c>
      <c r="AI1039">
        <v>2</v>
      </c>
    </row>
    <row r="1040" spans="1:35">
      <c r="A1040">
        <v>41</v>
      </c>
      <c r="B1040" t="str">
        <f t="shared" si="16"/>
        <v>Middle Aged</v>
      </c>
      <c r="C1040">
        <v>0</v>
      </c>
      <c r="D1040" t="s">
        <v>36</v>
      </c>
      <c r="E1040">
        <v>548</v>
      </c>
      <c r="F1040" t="s">
        <v>45</v>
      </c>
      <c r="G1040">
        <v>9</v>
      </c>
      <c r="H1040" t="str" cm="1">
        <f t="array" ref="H1040">_xlfn.IFS(G1040&gt;15,"Long Commute",G1040&gt;5,"Moderate",G1040&lt;=5,"Near Office")</f>
        <v>Moderate</v>
      </c>
      <c r="I1040" t="s">
        <v>83</v>
      </c>
      <c r="J1040" t="s">
        <v>38</v>
      </c>
      <c r="K1040">
        <v>3</v>
      </c>
      <c r="L1040" t="s">
        <v>46</v>
      </c>
      <c r="M1040">
        <v>94</v>
      </c>
      <c r="N1040">
        <v>3</v>
      </c>
      <c r="O1040">
        <v>1</v>
      </c>
      <c r="P1040" t="s">
        <v>50</v>
      </c>
      <c r="Q1040" t="s">
        <v>82</v>
      </c>
      <c r="R1040" t="s">
        <v>52</v>
      </c>
      <c r="S1040">
        <v>2289</v>
      </c>
      <c r="T1040" t="str" cm="1">
        <f t="array" ref="T1040">_xlfn.IFS(S1040&gt;=10000,"High (&gt;10k)",S1040&gt;=5000,"Medium (5k-10k)",S1040&lt;5000,"Low (&lt;5k)")</f>
        <v>Low (&lt;5k)</v>
      </c>
      <c r="U1040">
        <v>20520</v>
      </c>
      <c r="V1040">
        <v>1</v>
      </c>
      <c r="W1040" t="s">
        <v>43</v>
      </c>
      <c r="X1040">
        <v>20</v>
      </c>
      <c r="Y1040">
        <v>4</v>
      </c>
      <c r="Z1040">
        <v>2</v>
      </c>
      <c r="AA1040">
        <v>2</v>
      </c>
      <c r="AB1040">
        <v>5</v>
      </c>
      <c r="AC1040">
        <v>2</v>
      </c>
      <c r="AD1040" t="s">
        <v>74</v>
      </c>
      <c r="AE1040">
        <v>5</v>
      </c>
      <c r="AF1040" t="str" cm="1">
        <f t="array" ref="AF1040">_xlfn.IFS(AE1040&gt;=10,"Veteran (10y+)",AE1040&gt;=3,"Established (3-10y)",AE1040&lt;3,"New Hire (&lt;3y)")</f>
        <v>Established (3-10y)</v>
      </c>
      <c r="AG1040">
        <v>3</v>
      </c>
      <c r="AH1040">
        <v>0</v>
      </c>
      <c r="AI1040">
        <v>4</v>
      </c>
    </row>
    <row r="1041" spans="1:35">
      <c r="A1041">
        <v>41</v>
      </c>
      <c r="B1041" t="str">
        <f t="shared" si="16"/>
        <v>Middle Aged</v>
      </c>
      <c r="C1041">
        <v>0</v>
      </c>
      <c r="D1041" t="s">
        <v>36</v>
      </c>
      <c r="E1041">
        <v>447</v>
      </c>
      <c r="F1041" t="s">
        <v>45</v>
      </c>
      <c r="G1041">
        <v>5</v>
      </c>
      <c r="H1041" t="str" cm="1">
        <f t="array" ref="H1041">_xlfn.IFS(G1041&gt;15,"Long Commute",G1041&gt;5,"Moderate",G1041&lt;=5,"Near Office")</f>
        <v>Near Office</v>
      </c>
      <c r="I1041" t="s">
        <v>72</v>
      </c>
      <c r="J1041" t="s">
        <v>38</v>
      </c>
      <c r="K1041">
        <v>2</v>
      </c>
      <c r="L1041" t="s">
        <v>46</v>
      </c>
      <c r="M1041">
        <v>85</v>
      </c>
      <c r="N1041">
        <v>4</v>
      </c>
      <c r="O1041">
        <v>2</v>
      </c>
      <c r="P1041" t="s">
        <v>54</v>
      </c>
      <c r="Q1041" t="s">
        <v>75</v>
      </c>
      <c r="R1041" t="s">
        <v>41</v>
      </c>
      <c r="S1041">
        <v>6870</v>
      </c>
      <c r="T1041" t="str" cm="1">
        <f t="array" ref="T1041">_xlfn.IFS(S1041&gt;=10000,"High (&gt;10k)",S1041&gt;=5000,"Medium (5k-10k)",S1041&lt;5000,"Low (&lt;5k)")</f>
        <v>Medium (5k-10k)</v>
      </c>
      <c r="U1041">
        <v>15530</v>
      </c>
      <c r="V1041">
        <v>3</v>
      </c>
      <c r="W1041" t="s">
        <v>43</v>
      </c>
      <c r="X1041">
        <v>12</v>
      </c>
      <c r="Y1041">
        <v>3</v>
      </c>
      <c r="Z1041">
        <v>1</v>
      </c>
      <c r="AA1041">
        <v>0</v>
      </c>
      <c r="AB1041">
        <v>11</v>
      </c>
      <c r="AC1041">
        <v>3</v>
      </c>
      <c r="AD1041" t="s">
        <v>80</v>
      </c>
      <c r="AE1041">
        <v>3</v>
      </c>
      <c r="AF1041" t="str" cm="1">
        <f t="array" ref="AF1041">_xlfn.IFS(AE1041&gt;=10,"Veteran (10y+)",AE1041&gt;=3,"Established (3-10y)",AE1041&lt;3,"New Hire (&lt;3y)")</f>
        <v>Established (3-10y)</v>
      </c>
      <c r="AG1041">
        <v>2</v>
      </c>
      <c r="AH1041">
        <v>1</v>
      </c>
      <c r="AI1041">
        <v>2</v>
      </c>
    </row>
    <row r="1042" spans="1:35">
      <c r="A1042">
        <v>41</v>
      </c>
      <c r="B1042" t="str">
        <f t="shared" si="16"/>
        <v>Middle Aged</v>
      </c>
      <c r="C1042">
        <v>0</v>
      </c>
      <c r="D1042" t="s">
        <v>36</v>
      </c>
      <c r="E1042">
        <v>796</v>
      </c>
      <c r="F1042" t="s">
        <v>37</v>
      </c>
      <c r="G1042">
        <v>4</v>
      </c>
      <c r="H1042" t="str" cm="1">
        <f t="array" ref="H1042">_xlfn.IFS(G1042&gt;15,"Long Commute",G1042&gt;5,"Moderate",G1042&lt;=5,"Near Office")</f>
        <v>Near Office</v>
      </c>
      <c r="I1042" t="s">
        <v>78</v>
      </c>
      <c r="J1042" t="s">
        <v>59</v>
      </c>
      <c r="K1042">
        <v>3</v>
      </c>
      <c r="L1042" t="s">
        <v>39</v>
      </c>
      <c r="M1042">
        <v>81</v>
      </c>
      <c r="N1042">
        <v>3</v>
      </c>
      <c r="O1042">
        <v>3</v>
      </c>
      <c r="P1042" t="s">
        <v>40</v>
      </c>
      <c r="Q1042" t="s">
        <v>73</v>
      </c>
      <c r="R1042" t="s">
        <v>52</v>
      </c>
      <c r="S1042">
        <v>10447</v>
      </c>
      <c r="T1042" t="str" cm="1">
        <f t="array" ref="T1042">_xlfn.IFS(S1042&gt;=10000,"High (&gt;10k)",S1042&gt;=5000,"Medium (5k-10k)",S1042&lt;5000,"Low (&lt;5k)")</f>
        <v>High (&gt;10k)</v>
      </c>
      <c r="U1042">
        <v>26458</v>
      </c>
      <c r="V1042">
        <v>0</v>
      </c>
      <c r="W1042" t="s">
        <v>35</v>
      </c>
      <c r="X1042">
        <v>13</v>
      </c>
      <c r="Y1042">
        <v>3</v>
      </c>
      <c r="Z1042">
        <v>4</v>
      </c>
      <c r="AA1042">
        <v>1</v>
      </c>
      <c r="AB1042">
        <v>23</v>
      </c>
      <c r="AC1042">
        <v>3</v>
      </c>
      <c r="AD1042" t="s">
        <v>79</v>
      </c>
      <c r="AE1042">
        <v>22</v>
      </c>
      <c r="AF1042" t="str" cm="1">
        <f t="array" ref="AF1042">_xlfn.IFS(AE1042&gt;=10,"Veteran (10y+)",AE1042&gt;=3,"Established (3-10y)",AE1042&lt;3,"New Hire (&lt;3y)")</f>
        <v>Veteran (10y+)</v>
      </c>
      <c r="AG1042">
        <v>14</v>
      </c>
      <c r="AH1042">
        <v>13</v>
      </c>
      <c r="AI1042">
        <v>5</v>
      </c>
    </row>
    <row r="1043" spans="1:35">
      <c r="A1043">
        <v>41</v>
      </c>
      <c r="B1043" t="str">
        <f t="shared" si="16"/>
        <v>Middle Aged</v>
      </c>
      <c r="C1043">
        <v>0</v>
      </c>
      <c r="D1043" t="s">
        <v>36</v>
      </c>
      <c r="E1043">
        <v>337</v>
      </c>
      <c r="F1043" t="s">
        <v>37</v>
      </c>
      <c r="G1043">
        <v>8</v>
      </c>
      <c r="H1043" t="str" cm="1">
        <f t="array" ref="H1043">_xlfn.IFS(G1043&gt;15,"Long Commute",G1043&gt;5,"Moderate",G1043&lt;=5,"Near Office")</f>
        <v>Moderate</v>
      </c>
      <c r="I1043" t="s">
        <v>72</v>
      </c>
      <c r="J1043" t="s">
        <v>59</v>
      </c>
      <c r="K1043">
        <v>3</v>
      </c>
      <c r="L1043" t="s">
        <v>39</v>
      </c>
      <c r="M1043">
        <v>54</v>
      </c>
      <c r="N1043">
        <v>3</v>
      </c>
      <c r="O1043">
        <v>2</v>
      </c>
      <c r="P1043" t="s">
        <v>40</v>
      </c>
      <c r="Q1043" t="s">
        <v>75</v>
      </c>
      <c r="R1043" t="s">
        <v>48</v>
      </c>
      <c r="S1043">
        <v>4393</v>
      </c>
      <c r="T1043" t="str" cm="1">
        <f t="array" ref="T1043">_xlfn.IFS(S1043&gt;=10000,"High (&gt;10k)",S1043&gt;=5000,"Medium (5k-10k)",S1043&lt;5000,"Low (&lt;5k)")</f>
        <v>Low (&lt;5k)</v>
      </c>
      <c r="U1043">
        <v>26841</v>
      </c>
      <c r="V1043">
        <v>5</v>
      </c>
      <c r="W1043" t="s">
        <v>43</v>
      </c>
      <c r="X1043">
        <v>21</v>
      </c>
      <c r="Y1043">
        <v>4</v>
      </c>
      <c r="Z1043">
        <v>3</v>
      </c>
      <c r="AA1043">
        <v>1</v>
      </c>
      <c r="AB1043">
        <v>14</v>
      </c>
      <c r="AC1043">
        <v>3</v>
      </c>
      <c r="AD1043" t="s">
        <v>74</v>
      </c>
      <c r="AE1043">
        <v>5</v>
      </c>
      <c r="AF1043" t="str" cm="1">
        <f t="array" ref="AF1043">_xlfn.IFS(AE1043&gt;=10,"Veteran (10y+)",AE1043&gt;=3,"Established (3-10y)",AE1043&lt;3,"New Hire (&lt;3y)")</f>
        <v>Established (3-10y)</v>
      </c>
      <c r="AG1043">
        <v>4</v>
      </c>
      <c r="AH1043">
        <v>1</v>
      </c>
      <c r="AI1043">
        <v>4</v>
      </c>
    </row>
    <row r="1044" spans="1:35">
      <c r="A1044">
        <v>41</v>
      </c>
      <c r="B1044" t="str">
        <f t="shared" si="16"/>
        <v>Middle Aged</v>
      </c>
      <c r="C1044">
        <v>0</v>
      </c>
      <c r="D1044" t="s">
        <v>36</v>
      </c>
      <c r="E1044">
        <v>642</v>
      </c>
      <c r="F1044" t="s">
        <v>45</v>
      </c>
      <c r="G1044">
        <v>1</v>
      </c>
      <c r="H1044" t="str" cm="1">
        <f t="array" ref="H1044">_xlfn.IFS(G1044&gt;15,"Long Commute",G1044&gt;5,"Moderate",G1044&lt;=5,"Near Office")</f>
        <v>Near Office</v>
      </c>
      <c r="I1044" t="s">
        <v>72</v>
      </c>
      <c r="J1044" t="s">
        <v>38</v>
      </c>
      <c r="K1044">
        <v>4</v>
      </c>
      <c r="L1044" t="s">
        <v>46</v>
      </c>
      <c r="M1044">
        <v>76</v>
      </c>
      <c r="N1044">
        <v>3</v>
      </c>
      <c r="O1044">
        <v>1</v>
      </c>
      <c r="P1044" t="s">
        <v>47</v>
      </c>
      <c r="Q1044" t="s">
        <v>77</v>
      </c>
      <c r="R1044" t="s">
        <v>48</v>
      </c>
      <c r="S1044">
        <v>2782</v>
      </c>
      <c r="T1044" t="str" cm="1">
        <f t="array" ref="T1044">_xlfn.IFS(S1044&gt;=10000,"High (&gt;10k)",S1044&gt;=5000,"Medium (5k-10k)",S1044&lt;5000,"Low (&lt;5k)")</f>
        <v>Low (&lt;5k)</v>
      </c>
      <c r="U1044">
        <v>21412</v>
      </c>
      <c r="V1044">
        <v>3</v>
      </c>
      <c r="W1044" t="s">
        <v>43</v>
      </c>
      <c r="X1044">
        <v>22</v>
      </c>
      <c r="Y1044">
        <v>4</v>
      </c>
      <c r="Z1044">
        <v>1</v>
      </c>
      <c r="AA1044">
        <v>1</v>
      </c>
      <c r="AB1044">
        <v>12</v>
      </c>
      <c r="AC1044">
        <v>3</v>
      </c>
      <c r="AD1044" t="s">
        <v>74</v>
      </c>
      <c r="AE1044">
        <v>5</v>
      </c>
      <c r="AF1044" t="str" cm="1">
        <f t="array" ref="AF1044">_xlfn.IFS(AE1044&gt;=10,"Veteran (10y+)",AE1044&gt;=3,"Established (3-10y)",AE1044&lt;3,"New Hire (&lt;3y)")</f>
        <v>Established (3-10y)</v>
      </c>
      <c r="AG1044">
        <v>3</v>
      </c>
      <c r="AH1044">
        <v>1</v>
      </c>
      <c r="AI1044">
        <v>0</v>
      </c>
    </row>
    <row r="1045" spans="1:35">
      <c r="A1045">
        <v>41</v>
      </c>
      <c r="B1045" t="str">
        <f t="shared" si="16"/>
        <v>Middle Aged</v>
      </c>
      <c r="C1045">
        <v>0</v>
      </c>
      <c r="D1045" t="s">
        <v>36</v>
      </c>
      <c r="E1045">
        <v>582</v>
      </c>
      <c r="F1045" t="s">
        <v>45</v>
      </c>
      <c r="G1045">
        <v>28</v>
      </c>
      <c r="H1045" t="str" cm="1">
        <f t="array" ref="H1045">_xlfn.IFS(G1045&gt;15,"Long Commute",G1045&gt;5,"Moderate",G1045&lt;=5,"Near Office")</f>
        <v>Long Commute</v>
      </c>
      <c r="I1045" t="s">
        <v>83</v>
      </c>
      <c r="J1045" t="s">
        <v>38</v>
      </c>
      <c r="K1045">
        <v>1</v>
      </c>
      <c r="L1045" t="s">
        <v>39</v>
      </c>
      <c r="M1045">
        <v>60</v>
      </c>
      <c r="N1045">
        <v>2</v>
      </c>
      <c r="O1045">
        <v>4</v>
      </c>
      <c r="P1045" t="s">
        <v>53</v>
      </c>
      <c r="Q1045" t="s">
        <v>75</v>
      </c>
      <c r="R1045" t="s">
        <v>48</v>
      </c>
      <c r="S1045">
        <v>13570</v>
      </c>
      <c r="T1045" t="str" cm="1">
        <f t="array" ref="T1045">_xlfn.IFS(S1045&gt;=10000,"High (&gt;10k)",S1045&gt;=5000,"Medium (5k-10k)",S1045&lt;5000,"Low (&lt;5k)")</f>
        <v>High (&gt;10k)</v>
      </c>
      <c r="U1045">
        <v>5640</v>
      </c>
      <c r="V1045">
        <v>0</v>
      </c>
      <c r="W1045" t="s">
        <v>43</v>
      </c>
      <c r="X1045">
        <v>23</v>
      </c>
      <c r="Y1045">
        <v>4</v>
      </c>
      <c r="Z1045">
        <v>3</v>
      </c>
      <c r="AA1045">
        <v>1</v>
      </c>
      <c r="AB1045">
        <v>21</v>
      </c>
      <c r="AC1045">
        <v>3</v>
      </c>
      <c r="AD1045" t="s">
        <v>74</v>
      </c>
      <c r="AE1045">
        <v>20</v>
      </c>
      <c r="AF1045" t="str" cm="1">
        <f t="array" ref="AF1045">_xlfn.IFS(AE1045&gt;=10,"Veteran (10y+)",AE1045&gt;=3,"Established (3-10y)",AE1045&lt;3,"New Hire (&lt;3y)")</f>
        <v>Veteran (10y+)</v>
      </c>
      <c r="AG1045">
        <v>7</v>
      </c>
      <c r="AH1045">
        <v>0</v>
      </c>
      <c r="AI1045">
        <v>10</v>
      </c>
    </row>
    <row r="1046" spans="1:35">
      <c r="A1046">
        <v>41</v>
      </c>
      <c r="B1046" t="str">
        <f t="shared" si="16"/>
        <v>Middle Aged</v>
      </c>
      <c r="C1046">
        <v>0</v>
      </c>
      <c r="D1046" t="s">
        <v>36</v>
      </c>
      <c r="E1046">
        <v>930</v>
      </c>
      <c r="F1046" t="s">
        <v>37</v>
      </c>
      <c r="G1046">
        <v>3</v>
      </c>
      <c r="H1046" t="str" cm="1">
        <f t="array" ref="H1046">_xlfn.IFS(G1046&gt;15,"Long Commute",G1046&gt;5,"Moderate",G1046&lt;=5,"Near Office")</f>
        <v>Near Office</v>
      </c>
      <c r="I1046" t="s">
        <v>72</v>
      </c>
      <c r="J1046" t="s">
        <v>38</v>
      </c>
      <c r="K1046">
        <v>3</v>
      </c>
      <c r="L1046" t="s">
        <v>46</v>
      </c>
      <c r="M1046">
        <v>57</v>
      </c>
      <c r="N1046">
        <v>2</v>
      </c>
      <c r="O1046">
        <v>2</v>
      </c>
      <c r="P1046" t="s">
        <v>40</v>
      </c>
      <c r="Q1046" t="s">
        <v>75</v>
      </c>
      <c r="R1046" t="s">
        <v>52</v>
      </c>
      <c r="S1046">
        <v>8938</v>
      </c>
      <c r="T1046" t="str" cm="1">
        <f t="array" ref="T1046">_xlfn.IFS(S1046&gt;=10000,"High (&gt;10k)",S1046&gt;=5000,"Medium (5k-10k)",S1046&lt;5000,"Low (&lt;5k)")</f>
        <v>Medium (5k-10k)</v>
      </c>
      <c r="U1046">
        <v>12227</v>
      </c>
      <c r="V1046">
        <v>2</v>
      </c>
      <c r="W1046" t="s">
        <v>43</v>
      </c>
      <c r="X1046">
        <v>11</v>
      </c>
      <c r="Y1046">
        <v>3</v>
      </c>
      <c r="Z1046">
        <v>3</v>
      </c>
      <c r="AA1046">
        <v>1</v>
      </c>
      <c r="AB1046">
        <v>14</v>
      </c>
      <c r="AC1046">
        <v>5</v>
      </c>
      <c r="AD1046" t="s">
        <v>74</v>
      </c>
      <c r="AE1046">
        <v>5</v>
      </c>
      <c r="AF1046" t="str" cm="1">
        <f t="array" ref="AF1046">_xlfn.IFS(AE1046&gt;=10,"Veteran (10y+)",AE1046&gt;=3,"Established (3-10y)",AE1046&lt;3,"New Hire (&lt;3y)")</f>
        <v>Established (3-10y)</v>
      </c>
      <c r="AG1046">
        <v>4</v>
      </c>
      <c r="AH1046">
        <v>0</v>
      </c>
      <c r="AI1046">
        <v>4</v>
      </c>
    </row>
    <row r="1047" spans="1:35">
      <c r="A1047">
        <v>42</v>
      </c>
      <c r="B1047" t="str">
        <f t="shared" si="16"/>
        <v>Middle Aged</v>
      </c>
      <c r="C1047">
        <v>0</v>
      </c>
      <c r="D1047" t="s">
        <v>36</v>
      </c>
      <c r="E1047">
        <v>691</v>
      </c>
      <c r="F1047" t="s">
        <v>37</v>
      </c>
      <c r="G1047">
        <v>8</v>
      </c>
      <c r="H1047" t="str" cm="1">
        <f t="array" ref="H1047">_xlfn.IFS(G1047&gt;15,"Long Commute",G1047&gt;5,"Moderate",G1047&lt;=5,"Near Office")</f>
        <v>Moderate</v>
      </c>
      <c r="I1047" t="s">
        <v>83</v>
      </c>
      <c r="J1047" t="s">
        <v>59</v>
      </c>
      <c r="K1047">
        <v>3</v>
      </c>
      <c r="L1047" t="s">
        <v>46</v>
      </c>
      <c r="M1047">
        <v>48</v>
      </c>
      <c r="N1047">
        <v>3</v>
      </c>
      <c r="O1047">
        <v>2</v>
      </c>
      <c r="P1047" t="s">
        <v>40</v>
      </c>
      <c r="Q1047" t="s">
        <v>75</v>
      </c>
      <c r="R1047" t="s">
        <v>48</v>
      </c>
      <c r="S1047">
        <v>6825</v>
      </c>
      <c r="T1047" t="str" cm="1">
        <f t="array" ref="T1047">_xlfn.IFS(S1047&gt;=10000,"High (&gt;10k)",S1047&gt;=5000,"Medium (5k-10k)",S1047&lt;5000,"Low (&lt;5k)")</f>
        <v>Medium (5k-10k)</v>
      </c>
      <c r="U1047">
        <v>21173</v>
      </c>
      <c r="V1047">
        <v>0</v>
      </c>
      <c r="W1047" t="s">
        <v>43</v>
      </c>
      <c r="X1047">
        <v>11</v>
      </c>
      <c r="Y1047">
        <v>3</v>
      </c>
      <c r="Z1047">
        <v>4</v>
      </c>
      <c r="AA1047">
        <v>1</v>
      </c>
      <c r="AB1047">
        <v>10</v>
      </c>
      <c r="AC1047">
        <v>2</v>
      </c>
      <c r="AD1047" t="s">
        <v>74</v>
      </c>
      <c r="AE1047">
        <v>9</v>
      </c>
      <c r="AF1047" t="str" cm="1">
        <f t="array" ref="AF1047">_xlfn.IFS(AE1047&gt;=10,"Veteran (10y+)",AE1047&gt;=3,"Established (3-10y)",AE1047&lt;3,"New Hire (&lt;3y)")</f>
        <v>Established (3-10y)</v>
      </c>
      <c r="AG1047">
        <v>7</v>
      </c>
      <c r="AH1047">
        <v>4</v>
      </c>
      <c r="AI1047">
        <v>2</v>
      </c>
    </row>
    <row r="1048" spans="1:35">
      <c r="A1048">
        <v>42</v>
      </c>
      <c r="B1048" t="str">
        <f t="shared" si="16"/>
        <v>Middle Aged</v>
      </c>
      <c r="C1048">
        <v>0</v>
      </c>
      <c r="D1048" t="s">
        <v>55</v>
      </c>
      <c r="E1048">
        <v>926</v>
      </c>
      <c r="F1048" t="s">
        <v>45</v>
      </c>
      <c r="G1048">
        <v>21</v>
      </c>
      <c r="H1048" t="str" cm="1">
        <f t="array" ref="H1048">_xlfn.IFS(G1048&gt;15,"Long Commute",G1048&gt;5,"Moderate",G1048&lt;=5,"Near Office")</f>
        <v>Long Commute</v>
      </c>
      <c r="I1048" t="s">
        <v>76</v>
      </c>
      <c r="J1048" t="s">
        <v>51</v>
      </c>
      <c r="K1048">
        <v>3</v>
      </c>
      <c r="L1048" t="s">
        <v>39</v>
      </c>
      <c r="M1048">
        <v>36</v>
      </c>
      <c r="N1048">
        <v>3</v>
      </c>
      <c r="O1048">
        <v>2</v>
      </c>
      <c r="P1048" t="s">
        <v>53</v>
      </c>
      <c r="Q1048" t="s">
        <v>73</v>
      </c>
      <c r="R1048" t="s">
        <v>52</v>
      </c>
      <c r="S1048">
        <v>5265</v>
      </c>
      <c r="T1048" t="str" cm="1">
        <f t="array" ref="T1048">_xlfn.IFS(S1048&gt;=10000,"High (&gt;10k)",S1048&gt;=5000,"Medium (5k-10k)",S1048&lt;5000,"Low (&lt;5k)")</f>
        <v>Medium (5k-10k)</v>
      </c>
      <c r="U1048">
        <v>16439</v>
      </c>
      <c r="V1048">
        <v>2</v>
      </c>
      <c r="W1048" t="s">
        <v>43</v>
      </c>
      <c r="X1048">
        <v>16</v>
      </c>
      <c r="Y1048">
        <v>3</v>
      </c>
      <c r="Z1048">
        <v>2</v>
      </c>
      <c r="AA1048">
        <v>1</v>
      </c>
      <c r="AB1048">
        <v>11</v>
      </c>
      <c r="AC1048">
        <v>5</v>
      </c>
      <c r="AD1048" t="s">
        <v>74</v>
      </c>
      <c r="AE1048">
        <v>5</v>
      </c>
      <c r="AF1048" t="str" cm="1">
        <f t="array" ref="AF1048">_xlfn.IFS(AE1048&gt;=10,"Veteran (10y+)",AE1048&gt;=3,"Established (3-10y)",AE1048&lt;3,"New Hire (&lt;3y)")</f>
        <v>Established (3-10y)</v>
      </c>
      <c r="AG1048">
        <v>3</v>
      </c>
      <c r="AH1048">
        <v>0</v>
      </c>
      <c r="AI1048">
        <v>2</v>
      </c>
    </row>
    <row r="1049" spans="1:35">
      <c r="A1049">
        <v>42</v>
      </c>
      <c r="B1049" t="str">
        <f t="shared" si="16"/>
        <v>Middle Aged</v>
      </c>
      <c r="C1049">
        <v>0</v>
      </c>
      <c r="D1049" t="s">
        <v>36</v>
      </c>
      <c r="E1049">
        <v>532</v>
      </c>
      <c r="F1049" t="s">
        <v>45</v>
      </c>
      <c r="G1049">
        <v>4</v>
      </c>
      <c r="H1049" t="str" cm="1">
        <f t="array" ref="H1049">_xlfn.IFS(G1049&gt;15,"Long Commute",G1049&gt;5,"Moderate",G1049&lt;=5,"Near Office")</f>
        <v>Near Office</v>
      </c>
      <c r="I1049" t="s">
        <v>76</v>
      </c>
      <c r="J1049" t="s">
        <v>60</v>
      </c>
      <c r="K1049">
        <v>3</v>
      </c>
      <c r="L1049" t="s">
        <v>46</v>
      </c>
      <c r="M1049">
        <v>58</v>
      </c>
      <c r="N1049">
        <v>3</v>
      </c>
      <c r="O1049">
        <v>5</v>
      </c>
      <c r="P1049" t="s">
        <v>56</v>
      </c>
      <c r="Q1049" t="s">
        <v>77</v>
      </c>
      <c r="R1049" t="s">
        <v>48</v>
      </c>
      <c r="S1049">
        <v>19232</v>
      </c>
      <c r="T1049" t="str" cm="1">
        <f t="array" ref="T1049">_xlfn.IFS(S1049&gt;=10000,"High (&gt;10k)",S1049&gt;=5000,"Medium (5k-10k)",S1049&lt;5000,"Low (&lt;5k)")</f>
        <v>High (&gt;10k)</v>
      </c>
      <c r="U1049">
        <v>4933</v>
      </c>
      <c r="V1049">
        <v>1</v>
      </c>
      <c r="W1049" t="s">
        <v>43</v>
      </c>
      <c r="X1049">
        <v>11</v>
      </c>
      <c r="Y1049">
        <v>3</v>
      </c>
      <c r="Z1049">
        <v>4</v>
      </c>
      <c r="AA1049">
        <v>0</v>
      </c>
      <c r="AB1049">
        <v>22</v>
      </c>
      <c r="AC1049">
        <v>3</v>
      </c>
      <c r="AD1049" t="s">
        <v>74</v>
      </c>
      <c r="AE1049">
        <v>22</v>
      </c>
      <c r="AF1049" t="str" cm="1">
        <f t="array" ref="AF1049">_xlfn.IFS(AE1049&gt;=10,"Veteran (10y+)",AE1049&gt;=3,"Established (3-10y)",AE1049&lt;3,"New Hire (&lt;3y)")</f>
        <v>Veteran (10y+)</v>
      </c>
      <c r="AG1049">
        <v>17</v>
      </c>
      <c r="AH1049">
        <v>11</v>
      </c>
      <c r="AI1049">
        <v>15</v>
      </c>
    </row>
    <row r="1050" spans="1:35">
      <c r="A1050">
        <v>42</v>
      </c>
      <c r="B1050" t="str">
        <f t="shared" si="16"/>
        <v>Middle Aged</v>
      </c>
      <c r="C1050">
        <v>0</v>
      </c>
      <c r="D1050" t="s">
        <v>36</v>
      </c>
      <c r="E1050">
        <v>916</v>
      </c>
      <c r="F1050" t="s">
        <v>45</v>
      </c>
      <c r="G1050">
        <v>17</v>
      </c>
      <c r="H1050" t="str" cm="1">
        <f t="array" ref="H1050">_xlfn.IFS(G1050&gt;15,"Long Commute",G1050&gt;5,"Moderate",G1050&lt;=5,"Near Office")</f>
        <v>Long Commute</v>
      </c>
      <c r="I1050" t="s">
        <v>76</v>
      </c>
      <c r="J1050" t="s">
        <v>38</v>
      </c>
      <c r="K1050">
        <v>4</v>
      </c>
      <c r="L1050" t="s">
        <v>39</v>
      </c>
      <c r="M1050">
        <v>82</v>
      </c>
      <c r="N1050">
        <v>4</v>
      </c>
      <c r="O1050">
        <v>2</v>
      </c>
      <c r="P1050" t="s">
        <v>47</v>
      </c>
      <c r="Q1050" t="s">
        <v>82</v>
      </c>
      <c r="R1050" t="s">
        <v>41</v>
      </c>
      <c r="S1050">
        <v>6545</v>
      </c>
      <c r="T1050" t="str" cm="1">
        <f t="array" ref="T1050">_xlfn.IFS(S1050&gt;=10000,"High (&gt;10k)",S1050&gt;=5000,"Medium (5k-10k)",S1050&lt;5000,"Low (&lt;5k)")</f>
        <v>Medium (5k-10k)</v>
      </c>
      <c r="U1050">
        <v>23016</v>
      </c>
      <c r="V1050">
        <v>3</v>
      </c>
      <c r="W1050" t="s">
        <v>35</v>
      </c>
      <c r="X1050">
        <v>13</v>
      </c>
      <c r="Y1050">
        <v>3</v>
      </c>
      <c r="Z1050">
        <v>3</v>
      </c>
      <c r="AA1050">
        <v>0</v>
      </c>
      <c r="AB1050">
        <v>10</v>
      </c>
      <c r="AC1050">
        <v>1</v>
      </c>
      <c r="AD1050" t="s">
        <v>74</v>
      </c>
      <c r="AE1050">
        <v>3</v>
      </c>
      <c r="AF1050" t="str" cm="1">
        <f t="array" ref="AF1050">_xlfn.IFS(AE1050&gt;=10,"Veteran (10y+)",AE1050&gt;=3,"Established (3-10y)",AE1050&lt;3,"New Hire (&lt;3y)")</f>
        <v>Established (3-10y)</v>
      </c>
      <c r="AG1050">
        <v>2</v>
      </c>
      <c r="AH1050">
        <v>0</v>
      </c>
      <c r="AI1050">
        <v>2</v>
      </c>
    </row>
    <row r="1051" spans="1:35">
      <c r="A1051">
        <v>42</v>
      </c>
      <c r="B1051" t="str">
        <f t="shared" si="16"/>
        <v>Middle Aged</v>
      </c>
      <c r="C1051">
        <v>0</v>
      </c>
      <c r="D1051" t="s">
        <v>36</v>
      </c>
      <c r="E1051">
        <v>269</v>
      </c>
      <c r="F1051" t="s">
        <v>45</v>
      </c>
      <c r="G1051">
        <v>2</v>
      </c>
      <c r="H1051" t="str" cm="1">
        <f t="array" ref="H1051">_xlfn.IFS(G1051&gt;15,"Long Commute",G1051&gt;5,"Moderate",G1051&lt;=5,"Near Office")</f>
        <v>Near Office</v>
      </c>
      <c r="I1051" t="s">
        <v>72</v>
      </c>
      <c r="J1051" t="s">
        <v>51</v>
      </c>
      <c r="K1051">
        <v>4</v>
      </c>
      <c r="L1051" t="s">
        <v>39</v>
      </c>
      <c r="M1051">
        <v>56</v>
      </c>
      <c r="N1051">
        <v>2</v>
      </c>
      <c r="O1051">
        <v>1</v>
      </c>
      <c r="P1051" t="s">
        <v>50</v>
      </c>
      <c r="Q1051" t="s">
        <v>82</v>
      </c>
      <c r="R1051" t="s">
        <v>52</v>
      </c>
      <c r="S1051">
        <v>2593</v>
      </c>
      <c r="T1051" t="str" cm="1">
        <f t="array" ref="T1051">_xlfn.IFS(S1051&gt;=10000,"High (&gt;10k)",S1051&gt;=5000,"Medium (5k-10k)",S1051&lt;5000,"Low (&lt;5k)")</f>
        <v>Low (&lt;5k)</v>
      </c>
      <c r="U1051">
        <v>8007</v>
      </c>
      <c r="V1051">
        <v>0</v>
      </c>
      <c r="W1051" t="s">
        <v>35</v>
      </c>
      <c r="X1051">
        <v>11</v>
      </c>
      <c r="Y1051">
        <v>3</v>
      </c>
      <c r="Z1051">
        <v>3</v>
      </c>
      <c r="AA1051">
        <v>1</v>
      </c>
      <c r="AB1051">
        <v>10</v>
      </c>
      <c r="AC1051">
        <v>4</v>
      </c>
      <c r="AD1051" t="s">
        <v>74</v>
      </c>
      <c r="AE1051">
        <v>9</v>
      </c>
      <c r="AF1051" t="str" cm="1">
        <f t="array" ref="AF1051">_xlfn.IFS(AE1051&gt;=10,"Veteran (10y+)",AE1051&gt;=3,"Established (3-10y)",AE1051&lt;3,"New Hire (&lt;3y)")</f>
        <v>Established (3-10y)</v>
      </c>
      <c r="AG1051">
        <v>6</v>
      </c>
      <c r="AH1051">
        <v>7</v>
      </c>
      <c r="AI1051">
        <v>8</v>
      </c>
    </row>
    <row r="1052" spans="1:35">
      <c r="A1052">
        <v>42</v>
      </c>
      <c r="B1052" t="str">
        <f t="shared" si="16"/>
        <v>Middle Aged</v>
      </c>
      <c r="C1052">
        <v>0</v>
      </c>
      <c r="D1052" t="s">
        <v>36</v>
      </c>
      <c r="E1052">
        <v>635</v>
      </c>
      <c r="F1052" t="s">
        <v>37</v>
      </c>
      <c r="G1052">
        <v>1</v>
      </c>
      <c r="H1052" t="str" cm="1">
        <f t="array" ref="H1052">_xlfn.IFS(G1052&gt;15,"Long Commute",G1052&gt;5,"Moderate",G1052&lt;=5,"Near Office")</f>
        <v>Near Office</v>
      </c>
      <c r="I1052" t="s">
        <v>78</v>
      </c>
      <c r="J1052" t="s">
        <v>38</v>
      </c>
      <c r="K1052">
        <v>2</v>
      </c>
      <c r="L1052" t="s">
        <v>46</v>
      </c>
      <c r="M1052">
        <v>99</v>
      </c>
      <c r="N1052">
        <v>3</v>
      </c>
      <c r="O1052">
        <v>2</v>
      </c>
      <c r="P1052" t="s">
        <v>40</v>
      </c>
      <c r="Q1052" t="s">
        <v>73</v>
      </c>
      <c r="R1052" t="s">
        <v>48</v>
      </c>
      <c r="S1052">
        <v>4907</v>
      </c>
      <c r="T1052" t="str" cm="1">
        <f t="array" ref="T1052">_xlfn.IFS(S1052&gt;=10000,"High (&gt;10k)",S1052&gt;=5000,"Medium (5k-10k)",S1052&lt;5000,"Low (&lt;5k)")</f>
        <v>Low (&lt;5k)</v>
      </c>
      <c r="U1052">
        <v>24532</v>
      </c>
      <c r="V1052">
        <v>1</v>
      </c>
      <c r="W1052" t="s">
        <v>43</v>
      </c>
      <c r="X1052">
        <v>25</v>
      </c>
      <c r="Y1052">
        <v>4</v>
      </c>
      <c r="Z1052">
        <v>3</v>
      </c>
      <c r="AA1052">
        <v>0</v>
      </c>
      <c r="AB1052">
        <v>20</v>
      </c>
      <c r="AC1052">
        <v>3</v>
      </c>
      <c r="AD1052" t="s">
        <v>74</v>
      </c>
      <c r="AE1052">
        <v>20</v>
      </c>
      <c r="AF1052" t="str" cm="1">
        <f t="array" ref="AF1052">_xlfn.IFS(AE1052&gt;=10,"Veteran (10y+)",AE1052&gt;=3,"Established (3-10y)",AE1052&lt;3,"New Hire (&lt;3y)")</f>
        <v>Veteran (10y+)</v>
      </c>
      <c r="AG1052">
        <v>16</v>
      </c>
      <c r="AH1052">
        <v>11</v>
      </c>
      <c r="AI1052">
        <v>6</v>
      </c>
    </row>
    <row r="1053" spans="1:35">
      <c r="A1053">
        <v>42</v>
      </c>
      <c r="B1053" t="str">
        <f t="shared" si="16"/>
        <v>Middle Aged</v>
      </c>
      <c r="C1053">
        <v>0</v>
      </c>
      <c r="D1053" t="s">
        <v>44</v>
      </c>
      <c r="E1053">
        <v>555</v>
      </c>
      <c r="F1053" t="s">
        <v>37</v>
      </c>
      <c r="G1053">
        <v>26</v>
      </c>
      <c r="H1053" t="str" cm="1">
        <f t="array" ref="H1053">_xlfn.IFS(G1053&gt;15,"Long Commute",G1053&gt;5,"Moderate",G1053&lt;=5,"Near Office")</f>
        <v>Long Commute</v>
      </c>
      <c r="I1053" t="s">
        <v>72</v>
      </c>
      <c r="J1053" t="s">
        <v>59</v>
      </c>
      <c r="K1053">
        <v>3</v>
      </c>
      <c r="L1053" t="s">
        <v>39</v>
      </c>
      <c r="M1053">
        <v>77</v>
      </c>
      <c r="N1053">
        <v>3</v>
      </c>
      <c r="O1053">
        <v>4</v>
      </c>
      <c r="P1053" t="s">
        <v>40</v>
      </c>
      <c r="Q1053" t="s">
        <v>75</v>
      </c>
      <c r="R1053" t="s">
        <v>48</v>
      </c>
      <c r="S1053">
        <v>13525</v>
      </c>
      <c r="T1053" t="str" cm="1">
        <f t="array" ref="T1053">_xlfn.IFS(S1053&gt;=10000,"High (&gt;10k)",S1053&gt;=5000,"Medium (5k-10k)",S1053&lt;5000,"Low (&lt;5k)")</f>
        <v>High (&gt;10k)</v>
      </c>
      <c r="U1053">
        <v>14864</v>
      </c>
      <c r="V1053">
        <v>5</v>
      </c>
      <c r="W1053" t="s">
        <v>43</v>
      </c>
      <c r="X1053">
        <v>14</v>
      </c>
      <c r="Y1053">
        <v>3</v>
      </c>
      <c r="Z1053">
        <v>4</v>
      </c>
      <c r="AA1053">
        <v>1</v>
      </c>
      <c r="AB1053">
        <v>23</v>
      </c>
      <c r="AC1053">
        <v>2</v>
      </c>
      <c r="AD1053" t="s">
        <v>79</v>
      </c>
      <c r="AE1053">
        <v>20</v>
      </c>
      <c r="AF1053" t="str" cm="1">
        <f t="array" ref="AF1053">_xlfn.IFS(AE1053&gt;=10,"Veteran (10y+)",AE1053&gt;=3,"Established (3-10y)",AE1053&lt;3,"New Hire (&lt;3y)")</f>
        <v>Veteran (10y+)</v>
      </c>
      <c r="AG1053">
        <v>4</v>
      </c>
      <c r="AH1053">
        <v>4</v>
      </c>
      <c r="AI1053">
        <v>8</v>
      </c>
    </row>
    <row r="1054" spans="1:35">
      <c r="A1054">
        <v>42</v>
      </c>
      <c r="B1054" t="str">
        <f t="shared" si="16"/>
        <v>Middle Aged</v>
      </c>
      <c r="C1054">
        <v>0</v>
      </c>
      <c r="D1054" t="s">
        <v>36</v>
      </c>
      <c r="E1054">
        <v>810</v>
      </c>
      <c r="F1054" t="s">
        <v>45</v>
      </c>
      <c r="G1054">
        <v>23</v>
      </c>
      <c r="H1054" t="str" cm="1">
        <f t="array" ref="H1054">_xlfn.IFS(G1054&gt;15,"Long Commute",G1054&gt;5,"Moderate",G1054&lt;=5,"Near Office")</f>
        <v>Long Commute</v>
      </c>
      <c r="I1054" t="s">
        <v>84</v>
      </c>
      <c r="J1054" t="s">
        <v>38</v>
      </c>
      <c r="K1054">
        <v>1</v>
      </c>
      <c r="L1054" t="s">
        <v>39</v>
      </c>
      <c r="M1054">
        <v>44</v>
      </c>
      <c r="N1054">
        <v>3</v>
      </c>
      <c r="O1054">
        <v>4</v>
      </c>
      <c r="P1054" t="s">
        <v>58</v>
      </c>
      <c r="Q1054" t="s">
        <v>77</v>
      </c>
      <c r="R1054" t="s">
        <v>41</v>
      </c>
      <c r="S1054">
        <v>15992</v>
      </c>
      <c r="T1054" t="str" cm="1">
        <f t="array" ref="T1054">_xlfn.IFS(S1054&gt;=10000,"High (&gt;10k)",S1054&gt;=5000,"Medium (5k-10k)",S1054&lt;5000,"Low (&lt;5k)")</f>
        <v>High (&gt;10k)</v>
      </c>
      <c r="U1054">
        <v>15901</v>
      </c>
      <c r="V1054">
        <v>2</v>
      </c>
      <c r="W1054" t="s">
        <v>43</v>
      </c>
      <c r="X1054">
        <v>14</v>
      </c>
      <c r="Y1054">
        <v>3</v>
      </c>
      <c r="Z1054">
        <v>2</v>
      </c>
      <c r="AA1054">
        <v>0</v>
      </c>
      <c r="AB1054">
        <v>16</v>
      </c>
      <c r="AC1054">
        <v>2</v>
      </c>
      <c r="AD1054" t="s">
        <v>74</v>
      </c>
      <c r="AE1054">
        <v>1</v>
      </c>
      <c r="AF1054" t="str" cm="1">
        <f t="array" ref="AF1054">_xlfn.IFS(AE1054&gt;=10,"Veteran (10y+)",AE1054&gt;=3,"Established (3-10y)",AE1054&lt;3,"New Hire (&lt;3y)")</f>
        <v>New Hire (&lt;3y)</v>
      </c>
      <c r="AG1054">
        <v>0</v>
      </c>
      <c r="AH1054">
        <v>0</v>
      </c>
      <c r="AI1054">
        <v>0</v>
      </c>
    </row>
    <row r="1055" spans="1:35">
      <c r="A1055">
        <v>42</v>
      </c>
      <c r="B1055" t="str">
        <f t="shared" si="16"/>
        <v>Middle Aged</v>
      </c>
      <c r="C1055">
        <v>0</v>
      </c>
      <c r="D1055" t="s">
        <v>36</v>
      </c>
      <c r="E1055">
        <v>544</v>
      </c>
      <c r="F1055" t="s">
        <v>61</v>
      </c>
      <c r="G1055">
        <v>2</v>
      </c>
      <c r="H1055" t="str" cm="1">
        <f t="array" ref="H1055">_xlfn.IFS(G1055&gt;15,"Long Commute",G1055&gt;5,"Moderate",G1055&lt;=5,"Near Office")</f>
        <v>Near Office</v>
      </c>
      <c r="I1055" t="s">
        <v>78</v>
      </c>
      <c r="J1055" t="s">
        <v>60</v>
      </c>
      <c r="K1055">
        <v>3</v>
      </c>
      <c r="L1055" t="s">
        <v>46</v>
      </c>
      <c r="M1055">
        <v>52</v>
      </c>
      <c r="N1055">
        <v>3</v>
      </c>
      <c r="O1055">
        <v>1</v>
      </c>
      <c r="P1055" t="s">
        <v>61</v>
      </c>
      <c r="Q1055" t="s">
        <v>73</v>
      </c>
      <c r="R1055" t="s">
        <v>52</v>
      </c>
      <c r="S1055">
        <v>2696</v>
      </c>
      <c r="T1055" t="str" cm="1">
        <f t="array" ref="T1055">_xlfn.IFS(S1055&gt;=10000,"High (&gt;10k)",S1055&gt;=5000,"Medium (5k-10k)",S1055&lt;5000,"Low (&lt;5k)")</f>
        <v>Low (&lt;5k)</v>
      </c>
      <c r="U1055">
        <v>24017</v>
      </c>
      <c r="V1055">
        <v>0</v>
      </c>
      <c r="W1055" t="s">
        <v>35</v>
      </c>
      <c r="X1055">
        <v>11</v>
      </c>
      <c r="Y1055">
        <v>3</v>
      </c>
      <c r="Z1055">
        <v>3</v>
      </c>
      <c r="AA1055">
        <v>1</v>
      </c>
      <c r="AB1055">
        <v>4</v>
      </c>
      <c r="AC1055">
        <v>5</v>
      </c>
      <c r="AD1055" t="s">
        <v>74</v>
      </c>
      <c r="AE1055">
        <v>3</v>
      </c>
      <c r="AF1055" t="str" cm="1">
        <f t="array" ref="AF1055">_xlfn.IFS(AE1055&gt;=10,"Veteran (10y+)",AE1055&gt;=3,"Established (3-10y)",AE1055&lt;3,"New Hire (&lt;3y)")</f>
        <v>Established (3-10y)</v>
      </c>
      <c r="AG1055">
        <v>2</v>
      </c>
      <c r="AH1055">
        <v>1</v>
      </c>
      <c r="AI1055">
        <v>0</v>
      </c>
    </row>
    <row r="1056" spans="1:35">
      <c r="A1056">
        <v>42</v>
      </c>
      <c r="B1056" t="str">
        <f t="shared" si="16"/>
        <v>Middle Aged</v>
      </c>
      <c r="C1056">
        <v>0</v>
      </c>
      <c r="D1056" t="s">
        <v>36</v>
      </c>
      <c r="E1056">
        <v>1332</v>
      </c>
      <c r="F1056" t="s">
        <v>45</v>
      </c>
      <c r="G1056">
        <v>2</v>
      </c>
      <c r="H1056" t="str" cm="1">
        <f t="array" ref="H1056">_xlfn.IFS(G1056&gt;15,"Long Commute",G1056&gt;5,"Moderate",G1056&lt;=5,"Near Office")</f>
        <v>Near Office</v>
      </c>
      <c r="I1056" t="s">
        <v>83</v>
      </c>
      <c r="J1056" t="s">
        <v>49</v>
      </c>
      <c r="K1056">
        <v>1</v>
      </c>
      <c r="L1056" t="s">
        <v>46</v>
      </c>
      <c r="M1056">
        <v>98</v>
      </c>
      <c r="N1056">
        <v>2</v>
      </c>
      <c r="O1056">
        <v>2</v>
      </c>
      <c r="P1056" t="s">
        <v>54</v>
      </c>
      <c r="Q1056" t="s">
        <v>77</v>
      </c>
      <c r="R1056" t="s">
        <v>41</v>
      </c>
      <c r="S1056">
        <v>6781</v>
      </c>
      <c r="T1056" t="str" cm="1">
        <f t="array" ref="T1056">_xlfn.IFS(S1056&gt;=10000,"High (&gt;10k)",S1056&gt;=5000,"Medium (5k-10k)",S1056&lt;5000,"Low (&lt;5k)")</f>
        <v>Medium (5k-10k)</v>
      </c>
      <c r="U1056">
        <v>17078</v>
      </c>
      <c r="V1056">
        <v>3</v>
      </c>
      <c r="W1056" t="s">
        <v>43</v>
      </c>
      <c r="X1056">
        <v>23</v>
      </c>
      <c r="Y1056">
        <v>4</v>
      </c>
      <c r="Z1056">
        <v>2</v>
      </c>
      <c r="AA1056">
        <v>0</v>
      </c>
      <c r="AB1056">
        <v>14</v>
      </c>
      <c r="AC1056">
        <v>6</v>
      </c>
      <c r="AD1056" t="s">
        <v>74</v>
      </c>
      <c r="AE1056">
        <v>1</v>
      </c>
      <c r="AF1056" t="str" cm="1">
        <f t="array" ref="AF1056">_xlfn.IFS(AE1056&gt;=10,"Veteran (10y+)",AE1056&gt;=3,"Established (3-10y)",AE1056&lt;3,"New Hire (&lt;3y)")</f>
        <v>New Hire (&lt;3y)</v>
      </c>
      <c r="AG1056">
        <v>0</v>
      </c>
      <c r="AH1056">
        <v>0</v>
      </c>
      <c r="AI1056">
        <v>0</v>
      </c>
    </row>
    <row r="1057" spans="1:35">
      <c r="A1057">
        <v>42</v>
      </c>
      <c r="B1057" t="str">
        <f t="shared" si="16"/>
        <v>Middle Aged</v>
      </c>
      <c r="C1057">
        <v>0</v>
      </c>
      <c r="D1057" t="s">
        <v>36</v>
      </c>
      <c r="E1057">
        <v>201</v>
      </c>
      <c r="F1057" t="s">
        <v>45</v>
      </c>
      <c r="G1057">
        <v>1</v>
      </c>
      <c r="H1057" t="str" cm="1">
        <f t="array" ref="H1057">_xlfn.IFS(G1057&gt;15,"Long Commute",G1057&gt;5,"Moderate",G1057&lt;=5,"Near Office")</f>
        <v>Near Office</v>
      </c>
      <c r="I1057" t="s">
        <v>83</v>
      </c>
      <c r="J1057" t="s">
        <v>38</v>
      </c>
      <c r="K1057">
        <v>2</v>
      </c>
      <c r="L1057" t="s">
        <v>39</v>
      </c>
      <c r="M1057">
        <v>95</v>
      </c>
      <c r="N1057">
        <v>3</v>
      </c>
      <c r="O1057">
        <v>1</v>
      </c>
      <c r="P1057" t="s">
        <v>50</v>
      </c>
      <c r="Q1057" t="s">
        <v>82</v>
      </c>
      <c r="R1057" t="s">
        <v>52</v>
      </c>
      <c r="S1057">
        <v>2576</v>
      </c>
      <c r="T1057" t="str" cm="1">
        <f t="array" ref="T1057">_xlfn.IFS(S1057&gt;=10000,"High (&gt;10k)",S1057&gt;=5000,"Medium (5k-10k)",S1057&lt;5000,"Low (&lt;5k)")</f>
        <v>Low (&lt;5k)</v>
      </c>
      <c r="U1057">
        <v>20490</v>
      </c>
      <c r="V1057">
        <v>3</v>
      </c>
      <c r="W1057" t="s">
        <v>43</v>
      </c>
      <c r="X1057">
        <v>16</v>
      </c>
      <c r="Y1057">
        <v>3</v>
      </c>
      <c r="Z1057">
        <v>2</v>
      </c>
      <c r="AA1057">
        <v>1</v>
      </c>
      <c r="AB1057">
        <v>8</v>
      </c>
      <c r="AC1057">
        <v>5</v>
      </c>
      <c r="AD1057" t="s">
        <v>74</v>
      </c>
      <c r="AE1057">
        <v>5</v>
      </c>
      <c r="AF1057" t="str" cm="1">
        <f t="array" ref="AF1057">_xlfn.IFS(AE1057&gt;=10,"Veteran (10y+)",AE1057&gt;=3,"Established (3-10y)",AE1057&lt;3,"New Hire (&lt;3y)")</f>
        <v>Established (3-10y)</v>
      </c>
      <c r="AG1057">
        <v>2</v>
      </c>
      <c r="AH1057">
        <v>1</v>
      </c>
      <c r="AI1057">
        <v>2</v>
      </c>
    </row>
    <row r="1058" spans="1:35">
      <c r="A1058">
        <v>42</v>
      </c>
      <c r="B1058" t="str">
        <f t="shared" si="16"/>
        <v>Middle Aged</v>
      </c>
      <c r="C1058">
        <v>0</v>
      </c>
      <c r="D1058" t="s">
        <v>44</v>
      </c>
      <c r="E1058">
        <v>532</v>
      </c>
      <c r="F1058" t="s">
        <v>45</v>
      </c>
      <c r="G1058">
        <v>29</v>
      </c>
      <c r="H1058" t="str" cm="1">
        <f t="array" ref="H1058">_xlfn.IFS(G1058&gt;15,"Long Commute",G1058&gt;5,"Moderate",G1058&lt;=5,"Near Office")</f>
        <v>Long Commute</v>
      </c>
      <c r="I1058" t="s">
        <v>76</v>
      </c>
      <c r="J1058" t="s">
        <v>38</v>
      </c>
      <c r="K1058">
        <v>1</v>
      </c>
      <c r="L1058" t="s">
        <v>39</v>
      </c>
      <c r="M1058">
        <v>92</v>
      </c>
      <c r="N1058">
        <v>3</v>
      </c>
      <c r="O1058">
        <v>2</v>
      </c>
      <c r="P1058" t="s">
        <v>47</v>
      </c>
      <c r="Q1058" t="s">
        <v>73</v>
      </c>
      <c r="R1058" t="s">
        <v>52</v>
      </c>
      <c r="S1058">
        <v>4556</v>
      </c>
      <c r="T1058" t="str" cm="1">
        <f t="array" ref="T1058">_xlfn.IFS(S1058&gt;=10000,"High (&gt;10k)",S1058&gt;=5000,"Medium (5k-10k)",S1058&lt;5000,"Low (&lt;5k)")</f>
        <v>Low (&lt;5k)</v>
      </c>
      <c r="U1058">
        <v>12932</v>
      </c>
      <c r="V1058">
        <v>2</v>
      </c>
      <c r="W1058" t="s">
        <v>43</v>
      </c>
      <c r="X1058">
        <v>11</v>
      </c>
      <c r="Y1058">
        <v>3</v>
      </c>
      <c r="Z1058">
        <v>2</v>
      </c>
      <c r="AA1058">
        <v>1</v>
      </c>
      <c r="AB1058">
        <v>19</v>
      </c>
      <c r="AC1058">
        <v>3</v>
      </c>
      <c r="AD1058" t="s">
        <v>74</v>
      </c>
      <c r="AE1058">
        <v>5</v>
      </c>
      <c r="AF1058" t="str" cm="1">
        <f t="array" ref="AF1058">_xlfn.IFS(AE1058&gt;=10,"Veteran (10y+)",AE1058&gt;=3,"Established (3-10y)",AE1058&lt;3,"New Hire (&lt;3y)")</f>
        <v>Established (3-10y)</v>
      </c>
      <c r="AG1058">
        <v>4</v>
      </c>
      <c r="AH1058">
        <v>0</v>
      </c>
      <c r="AI1058">
        <v>2</v>
      </c>
    </row>
    <row r="1059" spans="1:35">
      <c r="A1059">
        <v>42</v>
      </c>
      <c r="B1059" t="str">
        <f t="shared" si="16"/>
        <v>Middle Aged</v>
      </c>
      <c r="C1059">
        <v>0</v>
      </c>
      <c r="D1059" t="s">
        <v>44</v>
      </c>
      <c r="E1059">
        <v>1368</v>
      </c>
      <c r="F1059" t="s">
        <v>45</v>
      </c>
      <c r="G1059">
        <v>28</v>
      </c>
      <c r="H1059" t="str" cm="1">
        <f t="array" ref="H1059">_xlfn.IFS(G1059&gt;15,"Long Commute",G1059&gt;5,"Moderate",G1059&lt;=5,"Near Office")</f>
        <v>Long Commute</v>
      </c>
      <c r="I1059" t="s">
        <v>83</v>
      </c>
      <c r="J1059" t="s">
        <v>60</v>
      </c>
      <c r="K1059">
        <v>4</v>
      </c>
      <c r="L1059" t="s">
        <v>39</v>
      </c>
      <c r="M1059">
        <v>88</v>
      </c>
      <c r="N1059">
        <v>2</v>
      </c>
      <c r="O1059">
        <v>2</v>
      </c>
      <c r="P1059" t="s">
        <v>54</v>
      </c>
      <c r="Q1059" t="s">
        <v>77</v>
      </c>
      <c r="R1059" t="s">
        <v>48</v>
      </c>
      <c r="S1059">
        <v>4523</v>
      </c>
      <c r="T1059" t="str" cm="1">
        <f t="array" ref="T1059">_xlfn.IFS(S1059&gt;=10000,"High (&gt;10k)",S1059&gt;=5000,"Medium (5k-10k)",S1059&lt;5000,"Low (&lt;5k)")</f>
        <v>Low (&lt;5k)</v>
      </c>
      <c r="U1059">
        <v>4386</v>
      </c>
      <c r="V1059">
        <v>0</v>
      </c>
      <c r="W1059" t="s">
        <v>43</v>
      </c>
      <c r="X1059">
        <v>11</v>
      </c>
      <c r="Y1059">
        <v>3</v>
      </c>
      <c r="Z1059">
        <v>4</v>
      </c>
      <c r="AA1059">
        <v>3</v>
      </c>
      <c r="AB1059">
        <v>7</v>
      </c>
      <c r="AC1059">
        <v>4</v>
      </c>
      <c r="AD1059" t="s">
        <v>79</v>
      </c>
      <c r="AE1059">
        <v>6</v>
      </c>
      <c r="AF1059" t="str" cm="1">
        <f t="array" ref="AF1059">_xlfn.IFS(AE1059&gt;=10,"Veteran (10y+)",AE1059&gt;=3,"Established (3-10y)",AE1059&lt;3,"New Hire (&lt;3y)")</f>
        <v>Established (3-10y)</v>
      </c>
      <c r="AG1059">
        <v>5</v>
      </c>
      <c r="AH1059">
        <v>0</v>
      </c>
      <c r="AI1059">
        <v>4</v>
      </c>
    </row>
    <row r="1060" spans="1:35">
      <c r="A1060">
        <v>42</v>
      </c>
      <c r="B1060" t="str">
        <f t="shared" si="16"/>
        <v>Middle Aged</v>
      </c>
      <c r="C1060">
        <v>0</v>
      </c>
      <c r="D1060" t="s">
        <v>44</v>
      </c>
      <c r="E1060">
        <v>1474</v>
      </c>
      <c r="F1060" t="s">
        <v>45</v>
      </c>
      <c r="G1060">
        <v>5</v>
      </c>
      <c r="H1060" t="str" cm="1">
        <f t="array" ref="H1060">_xlfn.IFS(G1060&gt;15,"Long Commute",G1060&gt;5,"Moderate",G1060&lt;=5,"Near Office")</f>
        <v>Near Office</v>
      </c>
      <c r="I1060" t="s">
        <v>76</v>
      </c>
      <c r="J1060" t="s">
        <v>49</v>
      </c>
      <c r="K1060">
        <v>2</v>
      </c>
      <c r="L1060" t="s">
        <v>46</v>
      </c>
      <c r="M1060">
        <v>97</v>
      </c>
      <c r="N1060">
        <v>3</v>
      </c>
      <c r="O1060">
        <v>1</v>
      </c>
      <c r="P1060" t="s">
        <v>50</v>
      </c>
      <c r="Q1060" t="s">
        <v>73</v>
      </c>
      <c r="R1060" t="s">
        <v>48</v>
      </c>
      <c r="S1060">
        <v>2093</v>
      </c>
      <c r="T1060" t="str" cm="1">
        <f t="array" ref="T1060">_xlfn.IFS(S1060&gt;=10000,"High (&gt;10k)",S1060&gt;=5000,"Medium (5k-10k)",S1060&lt;5000,"Low (&lt;5k)")</f>
        <v>Low (&lt;5k)</v>
      </c>
      <c r="U1060">
        <v>9260</v>
      </c>
      <c r="V1060">
        <v>4</v>
      </c>
      <c r="W1060" t="s">
        <v>43</v>
      </c>
      <c r="X1060">
        <v>17</v>
      </c>
      <c r="Y1060">
        <v>3</v>
      </c>
      <c r="Z1060">
        <v>4</v>
      </c>
      <c r="AA1060">
        <v>1</v>
      </c>
      <c r="AB1060">
        <v>8</v>
      </c>
      <c r="AC1060">
        <v>4</v>
      </c>
      <c r="AD1060" t="s">
        <v>74</v>
      </c>
      <c r="AE1060">
        <v>2</v>
      </c>
      <c r="AF1060" t="str" cm="1">
        <f t="array" ref="AF1060">_xlfn.IFS(AE1060&gt;=10,"Veteran (10y+)",AE1060&gt;=3,"Established (3-10y)",AE1060&lt;3,"New Hire (&lt;3y)")</f>
        <v>New Hire (&lt;3y)</v>
      </c>
      <c r="AG1060">
        <v>2</v>
      </c>
      <c r="AH1060">
        <v>2</v>
      </c>
      <c r="AI1060">
        <v>0</v>
      </c>
    </row>
    <row r="1061" spans="1:35">
      <c r="A1061">
        <v>42</v>
      </c>
      <c r="B1061" t="str">
        <f t="shared" si="16"/>
        <v>Middle Aged</v>
      </c>
      <c r="C1061">
        <v>0</v>
      </c>
      <c r="D1061" t="s">
        <v>36</v>
      </c>
      <c r="E1061">
        <v>319</v>
      </c>
      <c r="F1061" t="s">
        <v>45</v>
      </c>
      <c r="G1061">
        <v>24</v>
      </c>
      <c r="H1061" t="str" cm="1">
        <f t="array" ref="H1061">_xlfn.IFS(G1061&gt;15,"Long Commute",G1061&gt;5,"Moderate",G1061&lt;=5,"Near Office")</f>
        <v>Long Commute</v>
      </c>
      <c r="I1061" t="s">
        <v>72</v>
      </c>
      <c r="J1061" t="s">
        <v>51</v>
      </c>
      <c r="K1061">
        <v>4</v>
      </c>
      <c r="L1061" t="s">
        <v>46</v>
      </c>
      <c r="M1061">
        <v>56</v>
      </c>
      <c r="N1061">
        <v>3</v>
      </c>
      <c r="O1061">
        <v>3</v>
      </c>
      <c r="P1061" t="s">
        <v>53</v>
      </c>
      <c r="Q1061" t="s">
        <v>82</v>
      </c>
      <c r="R1061" t="s">
        <v>48</v>
      </c>
      <c r="S1061">
        <v>7406</v>
      </c>
      <c r="T1061" t="str" cm="1">
        <f t="array" ref="T1061">_xlfn.IFS(S1061&gt;=10000,"High (&gt;10k)",S1061&gt;=5000,"Medium (5k-10k)",S1061&lt;5000,"Low (&lt;5k)")</f>
        <v>Medium (5k-10k)</v>
      </c>
      <c r="U1061">
        <v>6950</v>
      </c>
      <c r="V1061">
        <v>1</v>
      </c>
      <c r="W1061" t="s">
        <v>35</v>
      </c>
      <c r="X1061">
        <v>21</v>
      </c>
      <c r="Y1061">
        <v>4</v>
      </c>
      <c r="Z1061">
        <v>4</v>
      </c>
      <c r="AA1061">
        <v>1</v>
      </c>
      <c r="AB1061">
        <v>10</v>
      </c>
      <c r="AC1061">
        <v>5</v>
      </c>
      <c r="AD1061" t="s">
        <v>81</v>
      </c>
      <c r="AE1061">
        <v>10</v>
      </c>
      <c r="AF1061" t="str" cm="1">
        <f t="array" ref="AF1061">_xlfn.IFS(AE1061&gt;=10,"Veteran (10y+)",AE1061&gt;=3,"Established (3-10y)",AE1061&lt;3,"New Hire (&lt;3y)")</f>
        <v>Veteran (10y+)</v>
      </c>
      <c r="AG1061">
        <v>9</v>
      </c>
      <c r="AH1061">
        <v>5</v>
      </c>
      <c r="AI1061">
        <v>8</v>
      </c>
    </row>
    <row r="1062" spans="1:35">
      <c r="A1062">
        <v>42</v>
      </c>
      <c r="B1062" t="str">
        <f t="shared" si="16"/>
        <v>Middle Aged</v>
      </c>
      <c r="C1062">
        <v>0</v>
      </c>
      <c r="D1062" t="s">
        <v>36</v>
      </c>
      <c r="E1062">
        <v>622</v>
      </c>
      <c r="F1062" t="s">
        <v>45</v>
      </c>
      <c r="G1062">
        <v>2</v>
      </c>
      <c r="H1062" t="str" cm="1">
        <f t="array" ref="H1062">_xlfn.IFS(G1062&gt;15,"Long Commute",G1062&gt;5,"Moderate",G1062&lt;=5,"Near Office")</f>
        <v>Near Office</v>
      </c>
      <c r="I1062" t="s">
        <v>83</v>
      </c>
      <c r="J1062" t="s">
        <v>38</v>
      </c>
      <c r="K1062">
        <v>3</v>
      </c>
      <c r="L1062" t="s">
        <v>39</v>
      </c>
      <c r="M1062">
        <v>81</v>
      </c>
      <c r="N1062">
        <v>3</v>
      </c>
      <c r="O1062">
        <v>2</v>
      </c>
      <c r="P1062" t="s">
        <v>54</v>
      </c>
      <c r="Q1062" t="s">
        <v>77</v>
      </c>
      <c r="R1062" t="s">
        <v>48</v>
      </c>
      <c r="S1062">
        <v>4089</v>
      </c>
      <c r="T1062" t="str" cm="1">
        <f t="array" ref="T1062">_xlfn.IFS(S1062&gt;=10000,"High (&gt;10k)",S1062&gt;=5000,"Medium (5k-10k)",S1062&lt;5000,"Low (&lt;5k)")</f>
        <v>Low (&lt;5k)</v>
      </c>
      <c r="U1062">
        <v>5718</v>
      </c>
      <c r="V1062">
        <v>1</v>
      </c>
      <c r="W1062" t="s">
        <v>43</v>
      </c>
      <c r="X1062">
        <v>13</v>
      </c>
      <c r="Y1062">
        <v>3</v>
      </c>
      <c r="Z1062">
        <v>2</v>
      </c>
      <c r="AA1062">
        <v>2</v>
      </c>
      <c r="AB1062">
        <v>10</v>
      </c>
      <c r="AC1062">
        <v>4</v>
      </c>
      <c r="AD1062" t="s">
        <v>74</v>
      </c>
      <c r="AE1062">
        <v>10</v>
      </c>
      <c r="AF1062" t="str" cm="1">
        <f t="array" ref="AF1062">_xlfn.IFS(AE1062&gt;=10,"Veteran (10y+)",AE1062&gt;=3,"Established (3-10y)",AE1062&lt;3,"New Hire (&lt;3y)")</f>
        <v>Veteran (10y+)</v>
      </c>
      <c r="AG1062">
        <v>2</v>
      </c>
      <c r="AH1062">
        <v>2</v>
      </c>
      <c r="AI1062">
        <v>2</v>
      </c>
    </row>
    <row r="1063" spans="1:35">
      <c r="A1063">
        <v>42</v>
      </c>
      <c r="B1063" t="str">
        <f t="shared" si="16"/>
        <v>Middle Aged</v>
      </c>
      <c r="C1063">
        <v>1</v>
      </c>
      <c r="D1063" t="s">
        <v>44</v>
      </c>
      <c r="E1063">
        <v>933</v>
      </c>
      <c r="F1063" t="s">
        <v>45</v>
      </c>
      <c r="G1063">
        <v>19</v>
      </c>
      <c r="H1063" t="str" cm="1">
        <f t="array" ref="H1063">_xlfn.IFS(G1063&gt;15,"Long Commute",G1063&gt;5,"Moderate",G1063&lt;=5,"Near Office")</f>
        <v>Long Commute</v>
      </c>
      <c r="I1063" t="s">
        <v>72</v>
      </c>
      <c r="J1063" t="s">
        <v>51</v>
      </c>
      <c r="K1063">
        <v>3</v>
      </c>
      <c r="L1063" t="s">
        <v>46</v>
      </c>
      <c r="M1063">
        <v>57</v>
      </c>
      <c r="N1063">
        <v>4</v>
      </c>
      <c r="O1063">
        <v>1</v>
      </c>
      <c r="P1063" t="s">
        <v>47</v>
      </c>
      <c r="Q1063" t="s">
        <v>73</v>
      </c>
      <c r="R1063" t="s">
        <v>52</v>
      </c>
      <c r="S1063">
        <v>2759</v>
      </c>
      <c r="T1063" t="str" cm="1">
        <f t="array" ref="T1063">_xlfn.IFS(S1063&gt;=10000,"High (&gt;10k)",S1063&gt;=5000,"Medium (5k-10k)",S1063&lt;5000,"Low (&lt;5k)")</f>
        <v>Low (&lt;5k)</v>
      </c>
      <c r="U1063">
        <v>20366</v>
      </c>
      <c r="V1063">
        <v>6</v>
      </c>
      <c r="W1063" t="s">
        <v>35</v>
      </c>
      <c r="X1063">
        <v>12</v>
      </c>
      <c r="Y1063">
        <v>3</v>
      </c>
      <c r="Z1063">
        <v>4</v>
      </c>
      <c r="AA1063">
        <v>0</v>
      </c>
      <c r="AB1063">
        <v>7</v>
      </c>
      <c r="AC1063">
        <v>2</v>
      </c>
      <c r="AD1063" t="s">
        <v>74</v>
      </c>
      <c r="AE1063">
        <v>2</v>
      </c>
      <c r="AF1063" t="str" cm="1">
        <f t="array" ref="AF1063">_xlfn.IFS(AE1063&gt;=10,"Veteran (10y+)",AE1063&gt;=3,"Established (3-10y)",AE1063&lt;3,"New Hire (&lt;3y)")</f>
        <v>New Hire (&lt;3y)</v>
      </c>
      <c r="AG1063">
        <v>2</v>
      </c>
      <c r="AH1063">
        <v>2</v>
      </c>
      <c r="AI1063">
        <v>2</v>
      </c>
    </row>
    <row r="1064" spans="1:35">
      <c r="A1064">
        <v>42</v>
      </c>
      <c r="B1064" t="str">
        <f t="shared" si="16"/>
        <v>Middle Aged</v>
      </c>
      <c r="C1064">
        <v>0</v>
      </c>
      <c r="D1064" t="s">
        <v>44</v>
      </c>
      <c r="E1064">
        <v>570</v>
      </c>
      <c r="F1064" t="s">
        <v>45</v>
      </c>
      <c r="G1064">
        <v>8</v>
      </c>
      <c r="H1064" t="str" cm="1">
        <f t="array" ref="H1064">_xlfn.IFS(G1064&gt;15,"Long Commute",G1064&gt;5,"Moderate",G1064&lt;=5,"Near Office")</f>
        <v>Moderate</v>
      </c>
      <c r="I1064" t="s">
        <v>72</v>
      </c>
      <c r="J1064" t="s">
        <v>38</v>
      </c>
      <c r="K1064">
        <v>2</v>
      </c>
      <c r="L1064" t="s">
        <v>46</v>
      </c>
      <c r="M1064">
        <v>66</v>
      </c>
      <c r="N1064">
        <v>3</v>
      </c>
      <c r="O1064">
        <v>5</v>
      </c>
      <c r="P1064" t="s">
        <v>56</v>
      </c>
      <c r="Q1064" t="s">
        <v>77</v>
      </c>
      <c r="R1064" t="s">
        <v>52</v>
      </c>
      <c r="S1064">
        <v>18430</v>
      </c>
      <c r="T1064" t="str" cm="1">
        <f t="array" ref="T1064">_xlfn.IFS(S1064&gt;=10000,"High (&gt;10k)",S1064&gt;=5000,"Medium (5k-10k)",S1064&lt;5000,"Low (&lt;5k)")</f>
        <v>High (&gt;10k)</v>
      </c>
      <c r="U1064">
        <v>16225</v>
      </c>
      <c r="V1064">
        <v>1</v>
      </c>
      <c r="W1064" t="s">
        <v>43</v>
      </c>
      <c r="X1064">
        <v>13</v>
      </c>
      <c r="Y1064">
        <v>3</v>
      </c>
      <c r="Z1064">
        <v>2</v>
      </c>
      <c r="AA1064">
        <v>1</v>
      </c>
      <c r="AB1064">
        <v>24</v>
      </c>
      <c r="AC1064">
        <v>4</v>
      </c>
      <c r="AD1064" t="s">
        <v>81</v>
      </c>
      <c r="AE1064">
        <v>24</v>
      </c>
      <c r="AF1064" t="str" cm="1">
        <f t="array" ref="AF1064">_xlfn.IFS(AE1064&gt;=10,"Veteran (10y+)",AE1064&gt;=3,"Established (3-10y)",AE1064&lt;3,"New Hire (&lt;3y)")</f>
        <v>Veteran (10y+)</v>
      </c>
      <c r="AG1064">
        <v>7</v>
      </c>
      <c r="AH1064">
        <v>14</v>
      </c>
      <c r="AI1064">
        <v>9</v>
      </c>
    </row>
    <row r="1065" spans="1:35">
      <c r="A1065">
        <v>42</v>
      </c>
      <c r="B1065" t="str">
        <f t="shared" si="16"/>
        <v>Middle Aged</v>
      </c>
      <c r="C1065">
        <v>0</v>
      </c>
      <c r="D1065" t="s">
        <v>36</v>
      </c>
      <c r="E1065">
        <v>932</v>
      </c>
      <c r="F1065" t="s">
        <v>45</v>
      </c>
      <c r="G1065">
        <v>1</v>
      </c>
      <c r="H1065" t="str" cm="1">
        <f t="array" ref="H1065">_xlfn.IFS(G1065&gt;15,"Long Commute",G1065&gt;5,"Moderate",G1065&lt;=5,"Near Office")</f>
        <v>Near Office</v>
      </c>
      <c r="I1065" t="s">
        <v>76</v>
      </c>
      <c r="J1065" t="s">
        <v>38</v>
      </c>
      <c r="K1065">
        <v>4</v>
      </c>
      <c r="L1065" t="s">
        <v>39</v>
      </c>
      <c r="M1065">
        <v>43</v>
      </c>
      <c r="N1065">
        <v>2</v>
      </c>
      <c r="O1065">
        <v>2</v>
      </c>
      <c r="P1065" t="s">
        <v>53</v>
      </c>
      <c r="Q1065" t="s">
        <v>77</v>
      </c>
      <c r="R1065" t="s">
        <v>48</v>
      </c>
      <c r="S1065">
        <v>6062</v>
      </c>
      <c r="T1065" t="str" cm="1">
        <f t="array" ref="T1065">_xlfn.IFS(S1065&gt;=10000,"High (&gt;10k)",S1065&gt;=5000,"Medium (5k-10k)",S1065&lt;5000,"Low (&lt;5k)")</f>
        <v>Medium (5k-10k)</v>
      </c>
      <c r="U1065">
        <v>4051</v>
      </c>
      <c r="V1065">
        <v>9</v>
      </c>
      <c r="W1065" t="s">
        <v>35</v>
      </c>
      <c r="X1065">
        <v>13</v>
      </c>
      <c r="Y1065">
        <v>3</v>
      </c>
      <c r="Z1065">
        <v>4</v>
      </c>
      <c r="AA1065">
        <v>1</v>
      </c>
      <c r="AB1065">
        <v>8</v>
      </c>
      <c r="AC1065">
        <v>4</v>
      </c>
      <c r="AD1065" t="s">
        <v>74</v>
      </c>
      <c r="AE1065">
        <v>4</v>
      </c>
      <c r="AF1065" t="str" cm="1">
        <f t="array" ref="AF1065">_xlfn.IFS(AE1065&gt;=10,"Veteran (10y+)",AE1065&gt;=3,"Established (3-10y)",AE1065&lt;3,"New Hire (&lt;3y)")</f>
        <v>Established (3-10y)</v>
      </c>
      <c r="AG1065">
        <v>3</v>
      </c>
      <c r="AH1065">
        <v>0</v>
      </c>
      <c r="AI1065">
        <v>2</v>
      </c>
    </row>
    <row r="1066" spans="1:35">
      <c r="A1066">
        <v>42</v>
      </c>
      <c r="B1066" t="str">
        <f t="shared" si="16"/>
        <v>Middle Aged</v>
      </c>
      <c r="C1066">
        <v>0</v>
      </c>
      <c r="D1066" t="s">
        <v>36</v>
      </c>
      <c r="E1066">
        <v>933</v>
      </c>
      <c r="F1066" t="s">
        <v>45</v>
      </c>
      <c r="G1066">
        <v>29</v>
      </c>
      <c r="H1066" t="str" cm="1">
        <f t="array" ref="H1066">_xlfn.IFS(G1066&gt;15,"Long Commute",G1066&gt;5,"Moderate",G1066&lt;=5,"Near Office")</f>
        <v>Long Commute</v>
      </c>
      <c r="I1066" t="s">
        <v>72</v>
      </c>
      <c r="J1066" t="s">
        <v>38</v>
      </c>
      <c r="K1066">
        <v>2</v>
      </c>
      <c r="L1066" t="s">
        <v>46</v>
      </c>
      <c r="M1066">
        <v>98</v>
      </c>
      <c r="N1066">
        <v>3</v>
      </c>
      <c r="O1066">
        <v>2</v>
      </c>
      <c r="P1066" t="s">
        <v>53</v>
      </c>
      <c r="Q1066" t="s">
        <v>75</v>
      </c>
      <c r="R1066" t="s">
        <v>48</v>
      </c>
      <c r="S1066">
        <v>4434</v>
      </c>
      <c r="T1066" t="str" cm="1">
        <f t="array" ref="T1066">_xlfn.IFS(S1066&gt;=10000,"High (&gt;10k)",S1066&gt;=5000,"Medium (5k-10k)",S1066&lt;5000,"Low (&lt;5k)")</f>
        <v>Low (&lt;5k)</v>
      </c>
      <c r="U1066">
        <v>11806</v>
      </c>
      <c r="V1066">
        <v>1</v>
      </c>
      <c r="W1066" t="s">
        <v>43</v>
      </c>
      <c r="X1066">
        <v>13</v>
      </c>
      <c r="Y1066">
        <v>3</v>
      </c>
      <c r="Z1066">
        <v>4</v>
      </c>
      <c r="AA1066">
        <v>1</v>
      </c>
      <c r="AB1066">
        <v>10</v>
      </c>
      <c r="AC1066">
        <v>3</v>
      </c>
      <c r="AD1066" t="s">
        <v>81</v>
      </c>
      <c r="AE1066">
        <v>9</v>
      </c>
      <c r="AF1066" t="str" cm="1">
        <f t="array" ref="AF1066">_xlfn.IFS(AE1066&gt;=10,"Veteran (10y+)",AE1066&gt;=3,"Established (3-10y)",AE1066&lt;3,"New Hire (&lt;3y)")</f>
        <v>Established (3-10y)</v>
      </c>
      <c r="AG1066">
        <v>8</v>
      </c>
      <c r="AH1066">
        <v>7</v>
      </c>
      <c r="AI1066">
        <v>8</v>
      </c>
    </row>
    <row r="1067" spans="1:35">
      <c r="A1067">
        <v>42</v>
      </c>
      <c r="B1067" t="str">
        <f t="shared" si="16"/>
        <v>Middle Aged</v>
      </c>
      <c r="C1067">
        <v>0</v>
      </c>
      <c r="D1067" t="s">
        <v>44</v>
      </c>
      <c r="E1067">
        <v>1271</v>
      </c>
      <c r="F1067" t="s">
        <v>45</v>
      </c>
      <c r="G1067">
        <v>2</v>
      </c>
      <c r="H1067" t="str" cm="1">
        <f t="array" ref="H1067">_xlfn.IFS(G1067&gt;15,"Long Commute",G1067&gt;5,"Moderate",G1067&lt;=5,"Near Office")</f>
        <v>Near Office</v>
      </c>
      <c r="I1067" t="s">
        <v>78</v>
      </c>
      <c r="J1067" t="s">
        <v>51</v>
      </c>
      <c r="K1067">
        <v>2</v>
      </c>
      <c r="L1067" t="s">
        <v>46</v>
      </c>
      <c r="M1067">
        <v>35</v>
      </c>
      <c r="N1067">
        <v>3</v>
      </c>
      <c r="O1067">
        <v>1</v>
      </c>
      <c r="P1067" t="s">
        <v>47</v>
      </c>
      <c r="Q1067" t="s">
        <v>77</v>
      </c>
      <c r="R1067" t="s">
        <v>41</v>
      </c>
      <c r="S1067">
        <v>2515</v>
      </c>
      <c r="T1067" t="str" cm="1">
        <f t="array" ref="T1067">_xlfn.IFS(S1067&gt;=10000,"High (&gt;10k)",S1067&gt;=5000,"Medium (5k-10k)",S1067&lt;5000,"Low (&lt;5k)")</f>
        <v>Low (&lt;5k)</v>
      </c>
      <c r="U1067">
        <v>9068</v>
      </c>
      <c r="V1067">
        <v>5</v>
      </c>
      <c r="W1067" t="s">
        <v>35</v>
      </c>
      <c r="X1067">
        <v>14</v>
      </c>
      <c r="Y1067">
        <v>3</v>
      </c>
      <c r="Z1067">
        <v>4</v>
      </c>
      <c r="AA1067">
        <v>0</v>
      </c>
      <c r="AB1067">
        <v>8</v>
      </c>
      <c r="AC1067">
        <v>2</v>
      </c>
      <c r="AD1067" t="s">
        <v>74</v>
      </c>
      <c r="AE1067">
        <v>2</v>
      </c>
      <c r="AF1067" t="str" cm="1">
        <f t="array" ref="AF1067">_xlfn.IFS(AE1067&gt;=10,"Veteran (10y+)",AE1067&gt;=3,"Established (3-10y)",AE1067&lt;3,"New Hire (&lt;3y)")</f>
        <v>New Hire (&lt;3y)</v>
      </c>
      <c r="AG1067">
        <v>1</v>
      </c>
      <c r="AH1067">
        <v>2</v>
      </c>
      <c r="AI1067">
        <v>2</v>
      </c>
    </row>
    <row r="1068" spans="1:35">
      <c r="A1068">
        <v>42</v>
      </c>
      <c r="B1068" t="str">
        <f t="shared" si="16"/>
        <v>Middle Aged</v>
      </c>
      <c r="C1068">
        <v>0</v>
      </c>
      <c r="D1068" t="s">
        <v>36</v>
      </c>
      <c r="E1068">
        <v>1265</v>
      </c>
      <c r="F1068" t="s">
        <v>45</v>
      </c>
      <c r="G1068">
        <v>3</v>
      </c>
      <c r="H1068" t="str" cm="1">
        <f t="array" ref="H1068">_xlfn.IFS(G1068&gt;15,"Long Commute",G1068&gt;5,"Moderate",G1068&lt;=5,"Near Office")</f>
        <v>Near Office</v>
      </c>
      <c r="I1068" t="s">
        <v>72</v>
      </c>
      <c r="J1068" t="s">
        <v>38</v>
      </c>
      <c r="K1068">
        <v>3</v>
      </c>
      <c r="L1068" t="s">
        <v>39</v>
      </c>
      <c r="M1068">
        <v>95</v>
      </c>
      <c r="N1068">
        <v>4</v>
      </c>
      <c r="O1068">
        <v>2</v>
      </c>
      <c r="P1068" t="s">
        <v>50</v>
      </c>
      <c r="Q1068" t="s">
        <v>77</v>
      </c>
      <c r="R1068" t="s">
        <v>48</v>
      </c>
      <c r="S1068">
        <v>5231</v>
      </c>
      <c r="T1068" t="str" cm="1">
        <f t="array" ref="T1068">_xlfn.IFS(S1068&gt;=10000,"High (&gt;10k)",S1068&gt;=5000,"Medium (5k-10k)",S1068&lt;5000,"Low (&lt;5k)")</f>
        <v>Medium (5k-10k)</v>
      </c>
      <c r="U1068">
        <v>23726</v>
      </c>
      <c r="V1068">
        <v>2</v>
      </c>
      <c r="W1068" t="s">
        <v>35</v>
      </c>
      <c r="X1068">
        <v>13</v>
      </c>
      <c r="Y1068">
        <v>3</v>
      </c>
      <c r="Z1068">
        <v>2</v>
      </c>
      <c r="AA1068">
        <v>1</v>
      </c>
      <c r="AB1068">
        <v>17</v>
      </c>
      <c r="AC1068">
        <v>1</v>
      </c>
      <c r="AD1068" t="s">
        <v>81</v>
      </c>
      <c r="AE1068">
        <v>5</v>
      </c>
      <c r="AF1068" t="str" cm="1">
        <f t="array" ref="AF1068">_xlfn.IFS(AE1068&gt;=10,"Veteran (10y+)",AE1068&gt;=3,"Established (3-10y)",AE1068&lt;3,"New Hire (&lt;3y)")</f>
        <v>Established (3-10y)</v>
      </c>
      <c r="AG1068">
        <v>3</v>
      </c>
      <c r="AH1068">
        <v>1</v>
      </c>
      <c r="AI1068">
        <v>3</v>
      </c>
    </row>
    <row r="1069" spans="1:35">
      <c r="A1069">
        <v>42</v>
      </c>
      <c r="B1069" t="str">
        <f t="shared" si="16"/>
        <v>Middle Aged</v>
      </c>
      <c r="C1069">
        <v>0</v>
      </c>
      <c r="D1069" t="s">
        <v>36</v>
      </c>
      <c r="E1069">
        <v>462</v>
      </c>
      <c r="F1069" t="s">
        <v>37</v>
      </c>
      <c r="G1069">
        <v>14</v>
      </c>
      <c r="H1069" t="str" cm="1">
        <f t="array" ref="H1069">_xlfn.IFS(G1069&gt;15,"Long Commute",G1069&gt;5,"Moderate",G1069&lt;=5,"Near Office")</f>
        <v>Moderate</v>
      </c>
      <c r="I1069" t="s">
        <v>76</v>
      </c>
      <c r="J1069" t="s">
        <v>51</v>
      </c>
      <c r="K1069">
        <v>3</v>
      </c>
      <c r="L1069" t="s">
        <v>39</v>
      </c>
      <c r="M1069">
        <v>68</v>
      </c>
      <c r="N1069">
        <v>2</v>
      </c>
      <c r="O1069">
        <v>2</v>
      </c>
      <c r="P1069" t="s">
        <v>40</v>
      </c>
      <c r="Q1069" t="s">
        <v>73</v>
      </c>
      <c r="R1069" t="s">
        <v>41</v>
      </c>
      <c r="S1069">
        <v>6244</v>
      </c>
      <c r="T1069" t="str" cm="1">
        <f t="array" ref="T1069">_xlfn.IFS(S1069&gt;=10000,"High (&gt;10k)",S1069&gt;=5000,"Medium (5k-10k)",S1069&lt;5000,"Low (&lt;5k)")</f>
        <v>Medium (5k-10k)</v>
      </c>
      <c r="U1069">
        <v>7824</v>
      </c>
      <c r="V1069">
        <v>7</v>
      </c>
      <c r="W1069" t="s">
        <v>43</v>
      </c>
      <c r="X1069">
        <v>17</v>
      </c>
      <c r="Y1069">
        <v>3</v>
      </c>
      <c r="Z1069">
        <v>1</v>
      </c>
      <c r="AA1069">
        <v>0</v>
      </c>
      <c r="AB1069">
        <v>10</v>
      </c>
      <c r="AC1069">
        <v>6</v>
      </c>
      <c r="AD1069" t="s">
        <v>74</v>
      </c>
      <c r="AE1069">
        <v>5</v>
      </c>
      <c r="AF1069" t="str" cm="1">
        <f t="array" ref="AF1069">_xlfn.IFS(AE1069&gt;=10,"Veteran (10y+)",AE1069&gt;=3,"Established (3-10y)",AE1069&lt;3,"New Hire (&lt;3y)")</f>
        <v>Established (3-10y)</v>
      </c>
      <c r="AG1069">
        <v>4</v>
      </c>
      <c r="AH1069">
        <v>0</v>
      </c>
      <c r="AI1069">
        <v>3</v>
      </c>
    </row>
    <row r="1070" spans="1:35">
      <c r="A1070">
        <v>42</v>
      </c>
      <c r="B1070" t="str">
        <f t="shared" si="16"/>
        <v>Middle Aged</v>
      </c>
      <c r="C1070">
        <v>0</v>
      </c>
      <c r="D1070" t="s">
        <v>36</v>
      </c>
      <c r="E1070">
        <v>265</v>
      </c>
      <c r="F1070" t="s">
        <v>37</v>
      </c>
      <c r="G1070">
        <v>5</v>
      </c>
      <c r="H1070" t="str" cm="1">
        <f t="array" ref="H1070">_xlfn.IFS(G1070&gt;15,"Long Commute",G1070&gt;5,"Moderate",G1070&lt;=5,"Near Office")</f>
        <v>Near Office</v>
      </c>
      <c r="I1070" t="s">
        <v>76</v>
      </c>
      <c r="J1070" t="s">
        <v>59</v>
      </c>
      <c r="K1070">
        <v>4</v>
      </c>
      <c r="L1070" t="s">
        <v>46</v>
      </c>
      <c r="M1070">
        <v>90</v>
      </c>
      <c r="N1070">
        <v>3</v>
      </c>
      <c r="O1070">
        <v>5</v>
      </c>
      <c r="P1070" t="s">
        <v>56</v>
      </c>
      <c r="Q1070" t="s">
        <v>73</v>
      </c>
      <c r="R1070" t="s">
        <v>48</v>
      </c>
      <c r="S1070">
        <v>18303</v>
      </c>
      <c r="T1070" t="str" cm="1">
        <f t="array" ref="T1070">_xlfn.IFS(S1070&gt;=10000,"High (&gt;10k)",S1070&gt;=5000,"Medium (5k-10k)",S1070&lt;5000,"Low (&lt;5k)")</f>
        <v>High (&gt;10k)</v>
      </c>
      <c r="U1070">
        <v>7770</v>
      </c>
      <c r="V1070">
        <v>6</v>
      </c>
      <c r="W1070" t="s">
        <v>43</v>
      </c>
      <c r="X1070">
        <v>13</v>
      </c>
      <c r="Y1070">
        <v>3</v>
      </c>
      <c r="Z1070">
        <v>2</v>
      </c>
      <c r="AA1070">
        <v>0</v>
      </c>
      <c r="AB1070">
        <v>21</v>
      </c>
      <c r="AC1070">
        <v>3</v>
      </c>
      <c r="AD1070" t="s">
        <v>79</v>
      </c>
      <c r="AE1070">
        <v>1</v>
      </c>
      <c r="AF1070" t="str" cm="1">
        <f t="array" ref="AF1070">_xlfn.IFS(AE1070&gt;=10,"Veteran (10y+)",AE1070&gt;=3,"Established (3-10y)",AE1070&lt;3,"New Hire (&lt;3y)")</f>
        <v>New Hire (&lt;3y)</v>
      </c>
      <c r="AG1070">
        <v>0</v>
      </c>
      <c r="AH1070">
        <v>0</v>
      </c>
      <c r="AI1070">
        <v>0</v>
      </c>
    </row>
    <row r="1071" spans="1:35">
      <c r="A1071">
        <v>42</v>
      </c>
      <c r="B1071" t="str">
        <f t="shared" si="16"/>
        <v>Middle Aged</v>
      </c>
      <c r="C1071">
        <v>0</v>
      </c>
      <c r="D1071" t="s">
        <v>36</v>
      </c>
      <c r="E1071">
        <v>469</v>
      </c>
      <c r="F1071" t="s">
        <v>45</v>
      </c>
      <c r="G1071">
        <v>2</v>
      </c>
      <c r="H1071" t="str" cm="1">
        <f t="array" ref="H1071">_xlfn.IFS(G1071&gt;15,"Long Commute",G1071&gt;5,"Moderate",G1071&lt;=5,"Near Office")</f>
        <v>Near Office</v>
      </c>
      <c r="I1071" t="s">
        <v>76</v>
      </c>
      <c r="J1071" t="s">
        <v>51</v>
      </c>
      <c r="K1071">
        <v>4</v>
      </c>
      <c r="L1071" t="s">
        <v>46</v>
      </c>
      <c r="M1071">
        <v>35</v>
      </c>
      <c r="N1071">
        <v>3</v>
      </c>
      <c r="O1071">
        <v>4</v>
      </c>
      <c r="P1071" t="s">
        <v>56</v>
      </c>
      <c r="Q1071" t="s">
        <v>82</v>
      </c>
      <c r="R1071" t="s">
        <v>48</v>
      </c>
      <c r="S1071">
        <v>17665</v>
      </c>
      <c r="T1071" t="str" cm="1">
        <f t="array" ref="T1071">_xlfn.IFS(S1071&gt;=10000,"High (&gt;10k)",S1071&gt;=5000,"Medium (5k-10k)",S1071&lt;5000,"Low (&lt;5k)")</f>
        <v>High (&gt;10k)</v>
      </c>
      <c r="U1071">
        <v>14399</v>
      </c>
      <c r="V1071">
        <v>0</v>
      </c>
      <c r="W1071" t="s">
        <v>43</v>
      </c>
      <c r="X1071">
        <v>17</v>
      </c>
      <c r="Y1071">
        <v>3</v>
      </c>
      <c r="Z1071">
        <v>4</v>
      </c>
      <c r="AA1071">
        <v>1</v>
      </c>
      <c r="AB1071">
        <v>23</v>
      </c>
      <c r="AC1071">
        <v>3</v>
      </c>
      <c r="AD1071" t="s">
        <v>74</v>
      </c>
      <c r="AE1071">
        <v>22</v>
      </c>
      <c r="AF1071" t="str" cm="1">
        <f t="array" ref="AF1071">_xlfn.IFS(AE1071&gt;=10,"Veteran (10y+)",AE1071&gt;=3,"Established (3-10y)",AE1071&lt;3,"New Hire (&lt;3y)")</f>
        <v>Veteran (10y+)</v>
      </c>
      <c r="AG1071">
        <v>6</v>
      </c>
      <c r="AH1071">
        <v>13</v>
      </c>
      <c r="AI1071">
        <v>7</v>
      </c>
    </row>
    <row r="1072" spans="1:35">
      <c r="A1072">
        <v>42</v>
      </c>
      <c r="B1072" t="str">
        <f t="shared" si="16"/>
        <v>Middle Aged</v>
      </c>
      <c r="C1072">
        <v>0</v>
      </c>
      <c r="D1072" t="s">
        <v>36</v>
      </c>
      <c r="E1072">
        <v>188</v>
      </c>
      <c r="F1072" t="s">
        <v>45</v>
      </c>
      <c r="G1072">
        <v>29</v>
      </c>
      <c r="H1072" t="str" cm="1">
        <f t="array" ref="H1072">_xlfn.IFS(G1072&gt;15,"Long Commute",G1072&gt;5,"Moderate",G1072&lt;=5,"Near Office")</f>
        <v>Long Commute</v>
      </c>
      <c r="I1072" t="s">
        <v>72</v>
      </c>
      <c r="J1072" t="s">
        <v>51</v>
      </c>
      <c r="K1072">
        <v>2</v>
      </c>
      <c r="L1072" t="s">
        <v>46</v>
      </c>
      <c r="M1072">
        <v>56</v>
      </c>
      <c r="N1072">
        <v>1</v>
      </c>
      <c r="O1072">
        <v>2</v>
      </c>
      <c r="P1072" t="s">
        <v>50</v>
      </c>
      <c r="Q1072" t="s">
        <v>77</v>
      </c>
      <c r="R1072" t="s">
        <v>41</v>
      </c>
      <c r="S1072">
        <v>4272</v>
      </c>
      <c r="T1072" t="str" cm="1">
        <f t="array" ref="T1072">_xlfn.IFS(S1072&gt;=10000,"High (&gt;10k)",S1072&gt;=5000,"Medium (5k-10k)",S1072&lt;5000,"Low (&lt;5k)")</f>
        <v>Low (&lt;5k)</v>
      </c>
      <c r="U1072">
        <v>9558</v>
      </c>
      <c r="V1072">
        <v>4</v>
      </c>
      <c r="W1072" t="s">
        <v>43</v>
      </c>
      <c r="X1072">
        <v>19</v>
      </c>
      <c r="Y1072">
        <v>3</v>
      </c>
      <c r="Z1072">
        <v>1</v>
      </c>
      <c r="AA1072">
        <v>0</v>
      </c>
      <c r="AB1072">
        <v>16</v>
      </c>
      <c r="AC1072">
        <v>3</v>
      </c>
      <c r="AD1072" t="s">
        <v>74</v>
      </c>
      <c r="AE1072">
        <v>1</v>
      </c>
      <c r="AF1072" t="str" cm="1">
        <f t="array" ref="AF1072">_xlfn.IFS(AE1072&gt;=10,"Veteran (10y+)",AE1072&gt;=3,"Established (3-10y)",AE1072&lt;3,"New Hire (&lt;3y)")</f>
        <v>New Hire (&lt;3y)</v>
      </c>
      <c r="AG1072">
        <v>0</v>
      </c>
      <c r="AH1072">
        <v>0</v>
      </c>
      <c r="AI1072">
        <v>0</v>
      </c>
    </row>
    <row r="1073" spans="1:35">
      <c r="A1073">
        <v>42</v>
      </c>
      <c r="B1073" t="str">
        <f t="shared" si="16"/>
        <v>Middle Aged</v>
      </c>
      <c r="C1073">
        <v>1</v>
      </c>
      <c r="D1073" t="s">
        <v>44</v>
      </c>
      <c r="E1073">
        <v>481</v>
      </c>
      <c r="F1073" t="s">
        <v>37</v>
      </c>
      <c r="G1073">
        <v>12</v>
      </c>
      <c r="H1073" t="str" cm="1">
        <f t="array" ref="H1073">_xlfn.IFS(G1073&gt;15,"Long Commute",G1073&gt;5,"Moderate",G1073&lt;=5,"Near Office")</f>
        <v>Moderate</v>
      </c>
      <c r="I1073" t="s">
        <v>72</v>
      </c>
      <c r="J1073" t="s">
        <v>38</v>
      </c>
      <c r="K1073">
        <v>3</v>
      </c>
      <c r="L1073" t="s">
        <v>46</v>
      </c>
      <c r="M1073">
        <v>44</v>
      </c>
      <c r="N1073">
        <v>3</v>
      </c>
      <c r="O1073">
        <v>4</v>
      </c>
      <c r="P1073" t="s">
        <v>40</v>
      </c>
      <c r="Q1073" t="s">
        <v>82</v>
      </c>
      <c r="R1073" t="s">
        <v>41</v>
      </c>
      <c r="S1073">
        <v>13758</v>
      </c>
      <c r="T1073" t="str" cm="1">
        <f t="array" ref="T1073">_xlfn.IFS(S1073&gt;=10000,"High (&gt;10k)",S1073&gt;=5000,"Medium (5k-10k)",S1073&lt;5000,"Low (&lt;5k)")</f>
        <v>High (&gt;10k)</v>
      </c>
      <c r="U1073">
        <v>2447</v>
      </c>
      <c r="V1073">
        <v>0</v>
      </c>
      <c r="W1073" t="s">
        <v>35</v>
      </c>
      <c r="X1073">
        <v>12</v>
      </c>
      <c r="Y1073">
        <v>3</v>
      </c>
      <c r="Z1073">
        <v>2</v>
      </c>
      <c r="AA1073">
        <v>0</v>
      </c>
      <c r="AB1073">
        <v>22</v>
      </c>
      <c r="AC1073">
        <v>2</v>
      </c>
      <c r="AD1073" t="s">
        <v>81</v>
      </c>
      <c r="AE1073">
        <v>21</v>
      </c>
      <c r="AF1073" t="str" cm="1">
        <f t="array" ref="AF1073">_xlfn.IFS(AE1073&gt;=10,"Veteran (10y+)",AE1073&gt;=3,"Established (3-10y)",AE1073&lt;3,"New Hire (&lt;3y)")</f>
        <v>Veteran (10y+)</v>
      </c>
      <c r="AG1073">
        <v>9</v>
      </c>
      <c r="AH1073">
        <v>13</v>
      </c>
      <c r="AI1073">
        <v>14</v>
      </c>
    </row>
    <row r="1074" spans="1:35">
      <c r="A1074">
        <v>42</v>
      </c>
      <c r="B1074" t="str">
        <f t="shared" si="16"/>
        <v>Middle Aged</v>
      </c>
      <c r="C1074">
        <v>0</v>
      </c>
      <c r="D1074" t="s">
        <v>36</v>
      </c>
      <c r="E1074">
        <v>647</v>
      </c>
      <c r="F1074" t="s">
        <v>37</v>
      </c>
      <c r="G1074">
        <v>4</v>
      </c>
      <c r="H1074" t="str" cm="1">
        <f t="array" ref="H1074">_xlfn.IFS(G1074&gt;15,"Long Commute",G1074&gt;5,"Moderate",G1074&lt;=5,"Near Office")</f>
        <v>Near Office</v>
      </c>
      <c r="I1074" t="s">
        <v>83</v>
      </c>
      <c r="J1074" t="s">
        <v>59</v>
      </c>
      <c r="K1074">
        <v>2</v>
      </c>
      <c r="L1074" t="s">
        <v>46</v>
      </c>
      <c r="M1074">
        <v>45</v>
      </c>
      <c r="N1074">
        <v>3</v>
      </c>
      <c r="O1074">
        <v>2</v>
      </c>
      <c r="P1074" t="s">
        <v>40</v>
      </c>
      <c r="Q1074" t="s">
        <v>82</v>
      </c>
      <c r="R1074" t="s">
        <v>41</v>
      </c>
      <c r="S1074">
        <v>5155</v>
      </c>
      <c r="T1074" t="str" cm="1">
        <f t="array" ref="T1074">_xlfn.IFS(S1074&gt;=10000,"High (&gt;10k)",S1074&gt;=5000,"Medium (5k-10k)",S1074&lt;5000,"Low (&lt;5k)")</f>
        <v>Medium (5k-10k)</v>
      </c>
      <c r="U1074">
        <v>2253</v>
      </c>
      <c r="V1074">
        <v>7</v>
      </c>
      <c r="W1074" t="s">
        <v>43</v>
      </c>
      <c r="X1074">
        <v>13</v>
      </c>
      <c r="Y1074">
        <v>3</v>
      </c>
      <c r="Z1074">
        <v>4</v>
      </c>
      <c r="AA1074">
        <v>0</v>
      </c>
      <c r="AB1074">
        <v>9</v>
      </c>
      <c r="AC1074">
        <v>3</v>
      </c>
      <c r="AD1074" t="s">
        <v>79</v>
      </c>
      <c r="AE1074">
        <v>6</v>
      </c>
      <c r="AF1074" t="str" cm="1">
        <f t="array" ref="AF1074">_xlfn.IFS(AE1074&gt;=10,"Veteran (10y+)",AE1074&gt;=3,"Established (3-10y)",AE1074&lt;3,"New Hire (&lt;3y)")</f>
        <v>Established (3-10y)</v>
      </c>
      <c r="AG1074">
        <v>4</v>
      </c>
      <c r="AH1074">
        <v>1</v>
      </c>
      <c r="AI1074">
        <v>5</v>
      </c>
    </row>
    <row r="1075" spans="1:35">
      <c r="A1075">
        <v>42</v>
      </c>
      <c r="B1075" t="str">
        <f t="shared" si="16"/>
        <v>Middle Aged</v>
      </c>
      <c r="C1075">
        <v>0</v>
      </c>
      <c r="D1075" t="s">
        <v>55</v>
      </c>
      <c r="E1075">
        <v>179</v>
      </c>
      <c r="F1075" t="s">
        <v>61</v>
      </c>
      <c r="G1075">
        <v>2</v>
      </c>
      <c r="H1075" t="str" cm="1">
        <f t="array" ref="H1075">_xlfn.IFS(G1075&gt;15,"Long Commute",G1075&gt;5,"Moderate",G1075&lt;=5,"Near Office")</f>
        <v>Near Office</v>
      </c>
      <c r="I1075" t="s">
        <v>84</v>
      </c>
      <c r="J1075" t="s">
        <v>51</v>
      </c>
      <c r="K1075">
        <v>4</v>
      </c>
      <c r="L1075" t="s">
        <v>46</v>
      </c>
      <c r="M1075">
        <v>79</v>
      </c>
      <c r="N1075">
        <v>4</v>
      </c>
      <c r="O1075">
        <v>2</v>
      </c>
      <c r="P1075" t="s">
        <v>61</v>
      </c>
      <c r="Q1075" t="s">
        <v>82</v>
      </c>
      <c r="R1075" t="s">
        <v>48</v>
      </c>
      <c r="S1075">
        <v>6272</v>
      </c>
      <c r="T1075" t="str" cm="1">
        <f t="array" ref="T1075">_xlfn.IFS(S1075&gt;=10000,"High (&gt;10k)",S1075&gt;=5000,"Medium (5k-10k)",S1075&lt;5000,"Low (&lt;5k)")</f>
        <v>Medium (5k-10k)</v>
      </c>
      <c r="U1075">
        <v>12858</v>
      </c>
      <c r="V1075">
        <v>7</v>
      </c>
      <c r="W1075" t="s">
        <v>43</v>
      </c>
      <c r="X1075">
        <v>16</v>
      </c>
      <c r="Y1075">
        <v>3</v>
      </c>
      <c r="Z1075">
        <v>1</v>
      </c>
      <c r="AA1075">
        <v>1</v>
      </c>
      <c r="AB1075">
        <v>10</v>
      </c>
      <c r="AC1075">
        <v>3</v>
      </c>
      <c r="AD1075" t="s">
        <v>79</v>
      </c>
      <c r="AE1075">
        <v>4</v>
      </c>
      <c r="AF1075" t="str" cm="1">
        <f t="array" ref="AF1075">_xlfn.IFS(AE1075&gt;=10,"Veteran (10y+)",AE1075&gt;=3,"Established (3-10y)",AE1075&lt;3,"New Hire (&lt;3y)")</f>
        <v>Established (3-10y)</v>
      </c>
      <c r="AG1075">
        <v>3</v>
      </c>
      <c r="AH1075">
        <v>0</v>
      </c>
      <c r="AI1075">
        <v>3</v>
      </c>
    </row>
    <row r="1076" spans="1:35">
      <c r="A1076">
        <v>42</v>
      </c>
      <c r="B1076" t="str">
        <f t="shared" si="16"/>
        <v>Middle Aged</v>
      </c>
      <c r="C1076">
        <v>0</v>
      </c>
      <c r="D1076" t="s">
        <v>44</v>
      </c>
      <c r="E1076">
        <v>458</v>
      </c>
      <c r="F1076" t="s">
        <v>45</v>
      </c>
      <c r="G1076">
        <v>26</v>
      </c>
      <c r="H1076" t="str" cm="1">
        <f t="array" ref="H1076">_xlfn.IFS(G1076&gt;15,"Long Commute",G1076&gt;5,"Moderate",G1076&lt;=5,"Near Office")</f>
        <v>Long Commute</v>
      </c>
      <c r="I1076" t="s">
        <v>84</v>
      </c>
      <c r="J1076" t="s">
        <v>51</v>
      </c>
      <c r="K1076">
        <v>1</v>
      </c>
      <c r="L1076" t="s">
        <v>39</v>
      </c>
      <c r="M1076">
        <v>60</v>
      </c>
      <c r="N1076">
        <v>3</v>
      </c>
      <c r="O1076">
        <v>3</v>
      </c>
      <c r="P1076" t="s">
        <v>58</v>
      </c>
      <c r="Q1076" t="s">
        <v>82</v>
      </c>
      <c r="R1076" t="s">
        <v>48</v>
      </c>
      <c r="S1076">
        <v>13191</v>
      </c>
      <c r="T1076" t="str" cm="1">
        <f t="array" ref="T1076">_xlfn.IFS(S1076&gt;=10000,"High (&gt;10k)",S1076&gt;=5000,"Medium (5k-10k)",S1076&lt;5000,"Low (&lt;5k)")</f>
        <v>High (&gt;10k)</v>
      </c>
      <c r="U1076">
        <v>23281</v>
      </c>
      <c r="V1076">
        <v>3</v>
      </c>
      <c r="W1076" t="s">
        <v>35</v>
      </c>
      <c r="X1076">
        <v>17</v>
      </c>
      <c r="Y1076">
        <v>3</v>
      </c>
      <c r="Z1076">
        <v>3</v>
      </c>
      <c r="AA1076">
        <v>0</v>
      </c>
      <c r="AB1076">
        <v>20</v>
      </c>
      <c r="AC1076">
        <v>6</v>
      </c>
      <c r="AD1076" t="s">
        <v>74</v>
      </c>
      <c r="AE1076">
        <v>1</v>
      </c>
      <c r="AF1076" t="str" cm="1">
        <f t="array" ref="AF1076">_xlfn.IFS(AE1076&gt;=10,"Veteran (10y+)",AE1076&gt;=3,"Established (3-10y)",AE1076&lt;3,"New Hire (&lt;3y)")</f>
        <v>New Hire (&lt;3y)</v>
      </c>
      <c r="AG1076">
        <v>0</v>
      </c>
      <c r="AH1076">
        <v>0</v>
      </c>
      <c r="AI1076">
        <v>0</v>
      </c>
    </row>
    <row r="1077" spans="1:35">
      <c r="A1077">
        <v>42</v>
      </c>
      <c r="B1077" t="str">
        <f t="shared" si="16"/>
        <v>Middle Aged</v>
      </c>
      <c r="C1077">
        <v>0</v>
      </c>
      <c r="D1077" t="s">
        <v>36</v>
      </c>
      <c r="E1077">
        <v>603</v>
      </c>
      <c r="F1077" t="s">
        <v>45</v>
      </c>
      <c r="G1077">
        <v>7</v>
      </c>
      <c r="H1077" t="str" cm="1">
        <f t="array" ref="H1077">_xlfn.IFS(G1077&gt;15,"Long Commute",G1077&gt;5,"Moderate",G1077&lt;=5,"Near Office")</f>
        <v>Moderate</v>
      </c>
      <c r="I1077" t="s">
        <v>83</v>
      </c>
      <c r="J1077" t="s">
        <v>51</v>
      </c>
      <c r="K1077">
        <v>2</v>
      </c>
      <c r="L1077" t="s">
        <v>39</v>
      </c>
      <c r="M1077">
        <v>78</v>
      </c>
      <c r="N1077">
        <v>4</v>
      </c>
      <c r="O1077">
        <v>2</v>
      </c>
      <c r="P1077" t="s">
        <v>47</v>
      </c>
      <c r="Q1077" t="s">
        <v>75</v>
      </c>
      <c r="R1077" t="s">
        <v>48</v>
      </c>
      <c r="S1077">
        <v>2372</v>
      </c>
      <c r="T1077" t="str" cm="1">
        <f t="array" ref="T1077">_xlfn.IFS(S1077&gt;=10000,"High (&gt;10k)",S1077&gt;=5000,"Medium (5k-10k)",S1077&lt;5000,"Low (&lt;5k)")</f>
        <v>Low (&lt;5k)</v>
      </c>
      <c r="U1077">
        <v>5628</v>
      </c>
      <c r="V1077">
        <v>6</v>
      </c>
      <c r="W1077" t="s">
        <v>35</v>
      </c>
      <c r="X1077">
        <v>16</v>
      </c>
      <c r="Y1077">
        <v>3</v>
      </c>
      <c r="Z1077">
        <v>4</v>
      </c>
      <c r="AA1077">
        <v>0</v>
      </c>
      <c r="AB1077">
        <v>18</v>
      </c>
      <c r="AC1077">
        <v>2</v>
      </c>
      <c r="AD1077" t="s">
        <v>74</v>
      </c>
      <c r="AE1077">
        <v>1</v>
      </c>
      <c r="AF1077" t="str" cm="1">
        <f t="array" ref="AF1077">_xlfn.IFS(AE1077&gt;=10,"Veteran (10y+)",AE1077&gt;=3,"Established (3-10y)",AE1077&lt;3,"New Hire (&lt;3y)")</f>
        <v>New Hire (&lt;3y)</v>
      </c>
      <c r="AG1077">
        <v>0</v>
      </c>
      <c r="AH1077">
        <v>0</v>
      </c>
      <c r="AI1077">
        <v>0</v>
      </c>
    </row>
    <row r="1078" spans="1:35">
      <c r="A1078">
        <v>42</v>
      </c>
      <c r="B1078" t="str">
        <f t="shared" si="16"/>
        <v>Middle Aged</v>
      </c>
      <c r="C1078">
        <v>0</v>
      </c>
      <c r="D1078" t="s">
        <v>55</v>
      </c>
      <c r="E1078">
        <v>495</v>
      </c>
      <c r="F1078" t="s">
        <v>45</v>
      </c>
      <c r="G1078">
        <v>2</v>
      </c>
      <c r="H1078" t="str" cm="1">
        <f t="array" ref="H1078">_xlfn.IFS(G1078&gt;15,"Long Commute",G1078&gt;5,"Moderate",G1078&lt;=5,"Near Office")</f>
        <v>Near Office</v>
      </c>
      <c r="I1078" t="s">
        <v>78</v>
      </c>
      <c r="J1078" t="s">
        <v>38</v>
      </c>
      <c r="K1078">
        <v>3</v>
      </c>
      <c r="L1078" t="s">
        <v>46</v>
      </c>
      <c r="M1078">
        <v>37</v>
      </c>
      <c r="N1078">
        <v>3</v>
      </c>
      <c r="O1078">
        <v>4</v>
      </c>
      <c r="P1078" t="s">
        <v>56</v>
      </c>
      <c r="Q1078" t="s">
        <v>73</v>
      </c>
      <c r="R1078" t="s">
        <v>48</v>
      </c>
      <c r="S1078">
        <v>17861</v>
      </c>
      <c r="T1078" t="str" cm="1">
        <f t="array" ref="T1078">_xlfn.IFS(S1078&gt;=10000,"High (&gt;10k)",S1078&gt;=5000,"Medium (5k-10k)",S1078&lt;5000,"Low (&lt;5k)")</f>
        <v>High (&gt;10k)</v>
      </c>
      <c r="U1078">
        <v>26582</v>
      </c>
      <c r="V1078">
        <v>0</v>
      </c>
      <c r="W1078" t="s">
        <v>35</v>
      </c>
      <c r="X1078">
        <v>13</v>
      </c>
      <c r="Y1078">
        <v>3</v>
      </c>
      <c r="Z1078">
        <v>4</v>
      </c>
      <c r="AA1078">
        <v>0</v>
      </c>
      <c r="AB1078">
        <v>21</v>
      </c>
      <c r="AC1078">
        <v>3</v>
      </c>
      <c r="AD1078" t="s">
        <v>81</v>
      </c>
      <c r="AE1078">
        <v>20</v>
      </c>
      <c r="AF1078" t="str" cm="1">
        <f t="array" ref="AF1078">_xlfn.IFS(AE1078&gt;=10,"Veteran (10y+)",AE1078&gt;=3,"Established (3-10y)",AE1078&lt;3,"New Hire (&lt;3y)")</f>
        <v>Veteran (10y+)</v>
      </c>
      <c r="AG1078">
        <v>8</v>
      </c>
      <c r="AH1078">
        <v>2</v>
      </c>
      <c r="AI1078">
        <v>10</v>
      </c>
    </row>
    <row r="1079" spans="1:35">
      <c r="A1079">
        <v>42</v>
      </c>
      <c r="B1079" t="str">
        <f t="shared" si="16"/>
        <v>Middle Aged</v>
      </c>
      <c r="C1079">
        <v>0</v>
      </c>
      <c r="D1079" t="s">
        <v>36</v>
      </c>
      <c r="E1079">
        <v>1147</v>
      </c>
      <c r="F1079" t="s">
        <v>61</v>
      </c>
      <c r="G1079">
        <v>10</v>
      </c>
      <c r="H1079" t="str" cm="1">
        <f t="array" ref="H1079">_xlfn.IFS(G1079&gt;15,"Long Commute",G1079&gt;5,"Moderate",G1079&lt;=5,"Near Office")</f>
        <v>Moderate</v>
      </c>
      <c r="I1079" t="s">
        <v>72</v>
      </c>
      <c r="J1079" t="s">
        <v>61</v>
      </c>
      <c r="K1079">
        <v>3</v>
      </c>
      <c r="L1079" t="s">
        <v>39</v>
      </c>
      <c r="M1079">
        <v>31</v>
      </c>
      <c r="N1079">
        <v>3</v>
      </c>
      <c r="O1079">
        <v>4</v>
      </c>
      <c r="P1079" t="s">
        <v>56</v>
      </c>
      <c r="Q1079" t="s">
        <v>82</v>
      </c>
      <c r="R1079" t="s">
        <v>48</v>
      </c>
      <c r="S1079">
        <v>16799</v>
      </c>
      <c r="T1079" t="str" cm="1">
        <f t="array" ref="T1079">_xlfn.IFS(S1079&gt;=10000,"High (&gt;10k)",S1079&gt;=5000,"Medium (5k-10k)",S1079&lt;5000,"Low (&lt;5k)")</f>
        <v>High (&gt;10k)</v>
      </c>
      <c r="U1079">
        <v>16616</v>
      </c>
      <c r="V1079">
        <v>0</v>
      </c>
      <c r="W1079" t="s">
        <v>43</v>
      </c>
      <c r="X1079">
        <v>14</v>
      </c>
      <c r="Y1079">
        <v>3</v>
      </c>
      <c r="Z1079">
        <v>3</v>
      </c>
      <c r="AA1079">
        <v>1</v>
      </c>
      <c r="AB1079">
        <v>21</v>
      </c>
      <c r="AC1079">
        <v>5</v>
      </c>
      <c r="AD1079" t="s">
        <v>74</v>
      </c>
      <c r="AE1079">
        <v>20</v>
      </c>
      <c r="AF1079" t="str" cm="1">
        <f t="array" ref="AF1079">_xlfn.IFS(AE1079&gt;=10,"Veteran (10y+)",AE1079&gt;=3,"Established (3-10y)",AE1079&lt;3,"New Hire (&lt;3y)")</f>
        <v>Veteran (10y+)</v>
      </c>
      <c r="AG1079">
        <v>7</v>
      </c>
      <c r="AH1079">
        <v>0</v>
      </c>
      <c r="AI1079">
        <v>9</v>
      </c>
    </row>
    <row r="1080" spans="1:35">
      <c r="A1080">
        <v>42</v>
      </c>
      <c r="B1080" t="str">
        <f t="shared" si="16"/>
        <v>Middle Aged</v>
      </c>
      <c r="C1080">
        <v>0</v>
      </c>
      <c r="D1080" t="s">
        <v>44</v>
      </c>
      <c r="E1080">
        <v>748</v>
      </c>
      <c r="F1080" t="s">
        <v>45</v>
      </c>
      <c r="G1080">
        <v>9</v>
      </c>
      <c r="H1080" t="str" cm="1">
        <f t="array" ref="H1080">_xlfn.IFS(G1080&gt;15,"Long Commute",G1080&gt;5,"Moderate",G1080&lt;=5,"Near Office")</f>
        <v>Moderate</v>
      </c>
      <c r="I1080" t="s">
        <v>76</v>
      </c>
      <c r="J1080" t="s">
        <v>51</v>
      </c>
      <c r="K1080">
        <v>1</v>
      </c>
      <c r="L1080" t="s">
        <v>39</v>
      </c>
      <c r="M1080">
        <v>74</v>
      </c>
      <c r="N1080">
        <v>3</v>
      </c>
      <c r="O1080">
        <v>1</v>
      </c>
      <c r="P1080" t="s">
        <v>50</v>
      </c>
      <c r="Q1080" t="s">
        <v>77</v>
      </c>
      <c r="R1080" t="s">
        <v>41</v>
      </c>
      <c r="S1080">
        <v>3673</v>
      </c>
      <c r="T1080" t="str" cm="1">
        <f t="array" ref="T1080">_xlfn.IFS(S1080&gt;=10000,"High (&gt;10k)",S1080&gt;=5000,"Medium (5k-10k)",S1080&lt;5000,"Low (&lt;5k)")</f>
        <v>Low (&lt;5k)</v>
      </c>
      <c r="U1080">
        <v>16458</v>
      </c>
      <c r="V1080">
        <v>1</v>
      </c>
      <c r="W1080" t="s">
        <v>43</v>
      </c>
      <c r="X1080">
        <v>13</v>
      </c>
      <c r="Y1080">
        <v>3</v>
      </c>
      <c r="Z1080">
        <v>3</v>
      </c>
      <c r="AA1080">
        <v>0</v>
      </c>
      <c r="AB1080">
        <v>12</v>
      </c>
      <c r="AC1080">
        <v>3</v>
      </c>
      <c r="AD1080" t="s">
        <v>74</v>
      </c>
      <c r="AE1080">
        <v>12</v>
      </c>
      <c r="AF1080" t="str" cm="1">
        <f t="array" ref="AF1080">_xlfn.IFS(AE1080&gt;=10,"Veteran (10y+)",AE1080&gt;=3,"Established (3-10y)",AE1080&lt;3,"New Hire (&lt;3y)")</f>
        <v>Veteran (10y+)</v>
      </c>
      <c r="AG1080">
        <v>9</v>
      </c>
      <c r="AH1080">
        <v>5</v>
      </c>
      <c r="AI1080">
        <v>8</v>
      </c>
    </row>
    <row r="1081" spans="1:35">
      <c r="A1081">
        <v>42</v>
      </c>
      <c r="B1081" t="str">
        <f t="shared" si="16"/>
        <v>Middle Aged</v>
      </c>
      <c r="C1081">
        <v>0</v>
      </c>
      <c r="D1081" t="s">
        <v>36</v>
      </c>
      <c r="E1081">
        <v>1210</v>
      </c>
      <c r="F1081" t="s">
        <v>45</v>
      </c>
      <c r="G1081">
        <v>2</v>
      </c>
      <c r="H1081" t="str" cm="1">
        <f t="array" ref="H1081">_xlfn.IFS(G1081&gt;15,"Long Commute",G1081&gt;5,"Moderate",G1081&lt;=5,"Near Office")</f>
        <v>Near Office</v>
      </c>
      <c r="I1081" t="s">
        <v>72</v>
      </c>
      <c r="J1081" t="s">
        <v>51</v>
      </c>
      <c r="K1081">
        <v>3</v>
      </c>
      <c r="L1081" t="s">
        <v>46</v>
      </c>
      <c r="M1081">
        <v>68</v>
      </c>
      <c r="N1081">
        <v>2</v>
      </c>
      <c r="O1081">
        <v>1</v>
      </c>
      <c r="P1081" t="s">
        <v>50</v>
      </c>
      <c r="Q1081" t="s">
        <v>75</v>
      </c>
      <c r="R1081" t="s">
        <v>48</v>
      </c>
      <c r="S1081">
        <v>4841</v>
      </c>
      <c r="T1081" t="str" cm="1">
        <f t="array" ref="T1081">_xlfn.IFS(S1081&gt;=10000,"High (&gt;10k)",S1081&gt;=5000,"Medium (5k-10k)",S1081&lt;5000,"Low (&lt;5k)")</f>
        <v>Low (&lt;5k)</v>
      </c>
      <c r="U1081">
        <v>24052</v>
      </c>
      <c r="V1081">
        <v>4</v>
      </c>
      <c r="W1081" t="s">
        <v>43</v>
      </c>
      <c r="X1081">
        <v>14</v>
      </c>
      <c r="Y1081">
        <v>3</v>
      </c>
      <c r="Z1081">
        <v>2</v>
      </c>
      <c r="AA1081">
        <v>1</v>
      </c>
      <c r="AB1081">
        <v>4</v>
      </c>
      <c r="AC1081">
        <v>3</v>
      </c>
      <c r="AD1081" t="s">
        <v>74</v>
      </c>
      <c r="AE1081">
        <v>1</v>
      </c>
      <c r="AF1081" t="str" cm="1">
        <f t="array" ref="AF1081">_xlfn.IFS(AE1081&gt;=10,"Veteran (10y+)",AE1081&gt;=3,"Established (3-10y)",AE1081&lt;3,"New Hire (&lt;3y)")</f>
        <v>New Hire (&lt;3y)</v>
      </c>
      <c r="AG1081">
        <v>0</v>
      </c>
      <c r="AH1081">
        <v>0</v>
      </c>
      <c r="AI1081">
        <v>0</v>
      </c>
    </row>
    <row r="1082" spans="1:35">
      <c r="A1082">
        <v>42</v>
      </c>
      <c r="B1082" t="str">
        <f t="shared" si="16"/>
        <v>Middle Aged</v>
      </c>
      <c r="C1082">
        <v>0</v>
      </c>
      <c r="D1082" t="s">
        <v>44</v>
      </c>
      <c r="E1082">
        <v>288</v>
      </c>
      <c r="F1082" t="s">
        <v>45</v>
      </c>
      <c r="G1082">
        <v>2</v>
      </c>
      <c r="H1082" t="str" cm="1">
        <f t="array" ref="H1082">_xlfn.IFS(G1082&gt;15,"Long Commute",G1082&gt;5,"Moderate",G1082&lt;=5,"Near Office")</f>
        <v>Near Office</v>
      </c>
      <c r="I1082" t="s">
        <v>72</v>
      </c>
      <c r="J1082" t="s">
        <v>38</v>
      </c>
      <c r="K1082">
        <v>4</v>
      </c>
      <c r="L1082" t="s">
        <v>46</v>
      </c>
      <c r="M1082">
        <v>40</v>
      </c>
      <c r="N1082">
        <v>3</v>
      </c>
      <c r="O1082">
        <v>3</v>
      </c>
      <c r="P1082" t="s">
        <v>54</v>
      </c>
      <c r="Q1082" t="s">
        <v>77</v>
      </c>
      <c r="R1082" t="s">
        <v>48</v>
      </c>
      <c r="S1082">
        <v>10124</v>
      </c>
      <c r="T1082" t="str" cm="1">
        <f t="array" ref="T1082">_xlfn.IFS(S1082&gt;=10000,"High (&gt;10k)",S1082&gt;=5000,"Medium (5k-10k)",S1082&lt;5000,"Low (&lt;5k)")</f>
        <v>High (&gt;10k)</v>
      </c>
      <c r="U1082">
        <v>18611</v>
      </c>
      <c r="V1082">
        <v>2</v>
      </c>
      <c r="W1082" t="s">
        <v>35</v>
      </c>
      <c r="X1082">
        <v>14</v>
      </c>
      <c r="Y1082">
        <v>3</v>
      </c>
      <c r="Z1082">
        <v>3</v>
      </c>
      <c r="AA1082">
        <v>1</v>
      </c>
      <c r="AB1082">
        <v>24</v>
      </c>
      <c r="AC1082">
        <v>3</v>
      </c>
      <c r="AD1082" t="s">
        <v>80</v>
      </c>
      <c r="AE1082">
        <v>20</v>
      </c>
      <c r="AF1082" t="str" cm="1">
        <f t="array" ref="AF1082">_xlfn.IFS(AE1082&gt;=10,"Veteran (10y+)",AE1082&gt;=3,"Established (3-10y)",AE1082&lt;3,"New Hire (&lt;3y)")</f>
        <v>Veteran (10y+)</v>
      </c>
      <c r="AG1082">
        <v>8</v>
      </c>
      <c r="AH1082">
        <v>13</v>
      </c>
      <c r="AI1082">
        <v>9</v>
      </c>
    </row>
    <row r="1083" spans="1:35">
      <c r="A1083">
        <v>42</v>
      </c>
      <c r="B1083" t="str">
        <f t="shared" si="16"/>
        <v>Middle Aged</v>
      </c>
      <c r="C1083">
        <v>0</v>
      </c>
      <c r="D1083" t="s">
        <v>36</v>
      </c>
      <c r="E1083">
        <v>1059</v>
      </c>
      <c r="F1083" t="s">
        <v>45</v>
      </c>
      <c r="G1083">
        <v>9</v>
      </c>
      <c r="H1083" t="str" cm="1">
        <f t="array" ref="H1083">_xlfn.IFS(G1083&gt;15,"Long Commute",G1083&gt;5,"Moderate",G1083&lt;=5,"Near Office")</f>
        <v>Moderate</v>
      </c>
      <c r="I1083" t="s">
        <v>76</v>
      </c>
      <c r="J1083" t="s">
        <v>49</v>
      </c>
      <c r="K1083">
        <v>4</v>
      </c>
      <c r="L1083" t="s">
        <v>46</v>
      </c>
      <c r="M1083">
        <v>93</v>
      </c>
      <c r="N1083">
        <v>2</v>
      </c>
      <c r="O1083">
        <v>5</v>
      </c>
      <c r="P1083" t="s">
        <v>56</v>
      </c>
      <c r="Q1083" t="s">
        <v>77</v>
      </c>
      <c r="R1083" t="s">
        <v>41</v>
      </c>
      <c r="S1083">
        <v>19613</v>
      </c>
      <c r="T1083" t="str" cm="1">
        <f t="array" ref="T1083">_xlfn.IFS(S1083&gt;=10000,"High (&gt;10k)",S1083&gt;=5000,"Medium (5k-10k)",S1083&lt;5000,"Low (&lt;5k)")</f>
        <v>High (&gt;10k)</v>
      </c>
      <c r="U1083">
        <v>26362</v>
      </c>
      <c r="V1083">
        <v>8</v>
      </c>
      <c r="W1083" t="s">
        <v>43</v>
      </c>
      <c r="X1083">
        <v>22</v>
      </c>
      <c r="Y1083">
        <v>4</v>
      </c>
      <c r="Z1083">
        <v>4</v>
      </c>
      <c r="AA1083">
        <v>0</v>
      </c>
      <c r="AB1083">
        <v>24</v>
      </c>
      <c r="AC1083">
        <v>2</v>
      </c>
      <c r="AD1083" t="s">
        <v>74</v>
      </c>
      <c r="AE1083">
        <v>1</v>
      </c>
      <c r="AF1083" t="str" cm="1">
        <f t="array" ref="AF1083">_xlfn.IFS(AE1083&gt;=10,"Veteran (10y+)",AE1083&gt;=3,"Established (3-10y)",AE1083&lt;3,"New Hire (&lt;3y)")</f>
        <v>New Hire (&lt;3y)</v>
      </c>
      <c r="AG1083">
        <v>0</v>
      </c>
      <c r="AH1083">
        <v>0</v>
      </c>
      <c r="AI1083">
        <v>1</v>
      </c>
    </row>
    <row r="1084" spans="1:35">
      <c r="A1084">
        <v>42</v>
      </c>
      <c r="B1084" t="str">
        <f t="shared" si="16"/>
        <v>Middle Aged</v>
      </c>
      <c r="C1084">
        <v>0</v>
      </c>
      <c r="D1084" t="s">
        <v>36</v>
      </c>
      <c r="E1084">
        <v>855</v>
      </c>
      <c r="F1084" t="s">
        <v>45</v>
      </c>
      <c r="G1084">
        <v>12</v>
      </c>
      <c r="H1084" t="str" cm="1">
        <f t="array" ref="H1084">_xlfn.IFS(G1084&gt;15,"Long Commute",G1084&gt;5,"Moderate",G1084&lt;=5,"Near Office")</f>
        <v>Moderate</v>
      </c>
      <c r="I1084" t="s">
        <v>72</v>
      </c>
      <c r="J1084" t="s">
        <v>51</v>
      </c>
      <c r="K1084">
        <v>2</v>
      </c>
      <c r="L1084" t="s">
        <v>46</v>
      </c>
      <c r="M1084">
        <v>57</v>
      </c>
      <c r="N1084">
        <v>3</v>
      </c>
      <c r="O1084">
        <v>1</v>
      </c>
      <c r="P1084" t="s">
        <v>50</v>
      </c>
      <c r="Q1084" t="s">
        <v>75</v>
      </c>
      <c r="R1084" t="s">
        <v>52</v>
      </c>
      <c r="S1084">
        <v>2766</v>
      </c>
      <c r="T1084" t="str" cm="1">
        <f t="array" ref="T1084">_xlfn.IFS(S1084&gt;=10000,"High (&gt;10k)",S1084&gt;=5000,"Medium (5k-10k)",S1084&lt;5000,"Low (&lt;5k)")</f>
        <v>Low (&lt;5k)</v>
      </c>
      <c r="U1084">
        <v>8952</v>
      </c>
      <c r="V1084">
        <v>8</v>
      </c>
      <c r="W1084" t="s">
        <v>43</v>
      </c>
      <c r="X1084">
        <v>22</v>
      </c>
      <c r="Y1084">
        <v>4</v>
      </c>
      <c r="Z1084">
        <v>2</v>
      </c>
      <c r="AA1084">
        <v>3</v>
      </c>
      <c r="AB1084">
        <v>7</v>
      </c>
      <c r="AC1084">
        <v>6</v>
      </c>
      <c r="AD1084" t="s">
        <v>81</v>
      </c>
      <c r="AE1084">
        <v>5</v>
      </c>
      <c r="AF1084" t="str" cm="1">
        <f t="array" ref="AF1084">_xlfn.IFS(AE1084&gt;=10,"Veteran (10y+)",AE1084&gt;=3,"Established (3-10y)",AE1084&lt;3,"New Hire (&lt;3y)")</f>
        <v>Established (3-10y)</v>
      </c>
      <c r="AG1084">
        <v>3</v>
      </c>
      <c r="AH1084">
        <v>0</v>
      </c>
      <c r="AI1084">
        <v>4</v>
      </c>
    </row>
    <row r="1085" spans="1:35">
      <c r="A1085">
        <v>42</v>
      </c>
      <c r="B1085" t="str">
        <f t="shared" si="16"/>
        <v>Middle Aged</v>
      </c>
      <c r="C1085">
        <v>0</v>
      </c>
      <c r="D1085" t="s">
        <v>36</v>
      </c>
      <c r="E1085">
        <v>1128</v>
      </c>
      <c r="F1085" t="s">
        <v>45</v>
      </c>
      <c r="G1085">
        <v>13</v>
      </c>
      <c r="H1085" t="str" cm="1">
        <f t="array" ref="H1085">_xlfn.IFS(G1085&gt;15,"Long Commute",G1085&gt;5,"Moderate",G1085&lt;=5,"Near Office")</f>
        <v>Moderate</v>
      </c>
      <c r="I1085" t="s">
        <v>72</v>
      </c>
      <c r="J1085" t="s">
        <v>51</v>
      </c>
      <c r="K1085">
        <v>2</v>
      </c>
      <c r="L1085" t="s">
        <v>46</v>
      </c>
      <c r="M1085">
        <v>95</v>
      </c>
      <c r="N1085">
        <v>4</v>
      </c>
      <c r="O1085">
        <v>2</v>
      </c>
      <c r="P1085" t="s">
        <v>54</v>
      </c>
      <c r="Q1085" t="s">
        <v>82</v>
      </c>
      <c r="R1085" t="s">
        <v>48</v>
      </c>
      <c r="S1085">
        <v>5538</v>
      </c>
      <c r="T1085" t="str" cm="1">
        <f t="array" ref="T1085">_xlfn.IFS(S1085&gt;=10000,"High (&gt;10k)",S1085&gt;=5000,"Medium (5k-10k)",S1085&lt;5000,"Low (&lt;5k)")</f>
        <v>Medium (5k-10k)</v>
      </c>
      <c r="U1085">
        <v>5696</v>
      </c>
      <c r="V1085">
        <v>5</v>
      </c>
      <c r="W1085" t="s">
        <v>43</v>
      </c>
      <c r="X1085">
        <v>18</v>
      </c>
      <c r="Y1085">
        <v>3</v>
      </c>
      <c r="Z1085">
        <v>3</v>
      </c>
      <c r="AA1085">
        <v>2</v>
      </c>
      <c r="AB1085">
        <v>10</v>
      </c>
      <c r="AC1085">
        <v>2</v>
      </c>
      <c r="AD1085" t="s">
        <v>81</v>
      </c>
      <c r="AE1085">
        <v>0</v>
      </c>
      <c r="AF1085" t="str" cm="1">
        <f t="array" ref="AF1085">_xlfn.IFS(AE1085&gt;=10,"Veteran (10y+)",AE1085&gt;=3,"Established (3-10y)",AE1085&lt;3,"New Hire (&lt;3y)")</f>
        <v>New Hire (&lt;3y)</v>
      </c>
      <c r="AG1085">
        <v>0</v>
      </c>
      <c r="AH1085">
        <v>0</v>
      </c>
      <c r="AI1085">
        <v>0</v>
      </c>
    </row>
    <row r="1086" spans="1:35">
      <c r="A1086">
        <v>42</v>
      </c>
      <c r="B1086" t="str">
        <f t="shared" si="16"/>
        <v>Middle Aged</v>
      </c>
      <c r="C1086">
        <v>0</v>
      </c>
      <c r="D1086" t="s">
        <v>55</v>
      </c>
      <c r="E1086">
        <v>355</v>
      </c>
      <c r="F1086" t="s">
        <v>45</v>
      </c>
      <c r="G1086">
        <v>10</v>
      </c>
      <c r="H1086" t="str" cm="1">
        <f t="array" ref="H1086">_xlfn.IFS(G1086&gt;15,"Long Commute",G1086&gt;5,"Moderate",G1086&lt;=5,"Near Office")</f>
        <v>Moderate</v>
      </c>
      <c r="I1086" t="s">
        <v>83</v>
      </c>
      <c r="J1086" t="s">
        <v>60</v>
      </c>
      <c r="K1086">
        <v>3</v>
      </c>
      <c r="L1086" t="s">
        <v>46</v>
      </c>
      <c r="M1086">
        <v>38</v>
      </c>
      <c r="N1086">
        <v>3</v>
      </c>
      <c r="O1086">
        <v>1</v>
      </c>
      <c r="P1086" t="s">
        <v>47</v>
      </c>
      <c r="Q1086" t="s">
        <v>73</v>
      </c>
      <c r="R1086" t="s">
        <v>48</v>
      </c>
      <c r="S1086">
        <v>2936</v>
      </c>
      <c r="T1086" t="str" cm="1">
        <f t="array" ref="T1086">_xlfn.IFS(S1086&gt;=10000,"High (&gt;10k)",S1086&gt;=5000,"Medium (5k-10k)",S1086&lt;5000,"Low (&lt;5k)")</f>
        <v>Low (&lt;5k)</v>
      </c>
      <c r="U1086">
        <v>6161</v>
      </c>
      <c r="V1086">
        <v>3</v>
      </c>
      <c r="W1086" t="s">
        <v>43</v>
      </c>
      <c r="X1086">
        <v>22</v>
      </c>
      <c r="Y1086">
        <v>4</v>
      </c>
      <c r="Z1086">
        <v>2</v>
      </c>
      <c r="AA1086">
        <v>2</v>
      </c>
      <c r="AB1086">
        <v>10</v>
      </c>
      <c r="AC1086">
        <v>1</v>
      </c>
      <c r="AD1086" t="s">
        <v>81</v>
      </c>
      <c r="AE1086">
        <v>6</v>
      </c>
      <c r="AF1086" t="str" cm="1">
        <f t="array" ref="AF1086">_xlfn.IFS(AE1086&gt;=10,"Veteran (10y+)",AE1086&gt;=3,"Established (3-10y)",AE1086&lt;3,"New Hire (&lt;3y)")</f>
        <v>Established (3-10y)</v>
      </c>
      <c r="AG1086">
        <v>3</v>
      </c>
      <c r="AH1086">
        <v>3</v>
      </c>
      <c r="AI1086">
        <v>3</v>
      </c>
    </row>
    <row r="1087" spans="1:35">
      <c r="A1087">
        <v>42</v>
      </c>
      <c r="B1087" t="str">
        <f t="shared" si="16"/>
        <v>Middle Aged</v>
      </c>
      <c r="C1087">
        <v>0</v>
      </c>
      <c r="D1087" t="s">
        <v>36</v>
      </c>
      <c r="E1087">
        <v>1142</v>
      </c>
      <c r="F1087" t="s">
        <v>45</v>
      </c>
      <c r="G1087">
        <v>8</v>
      </c>
      <c r="H1087" t="str" cm="1">
        <f t="array" ref="H1087">_xlfn.IFS(G1087&gt;15,"Long Commute",G1087&gt;5,"Moderate",G1087&lt;=5,"Near Office")</f>
        <v>Moderate</v>
      </c>
      <c r="I1087" t="s">
        <v>72</v>
      </c>
      <c r="J1087" t="s">
        <v>38</v>
      </c>
      <c r="K1087">
        <v>4</v>
      </c>
      <c r="L1087" t="s">
        <v>46</v>
      </c>
      <c r="M1087">
        <v>81</v>
      </c>
      <c r="N1087">
        <v>3</v>
      </c>
      <c r="O1087">
        <v>1</v>
      </c>
      <c r="P1087" t="s">
        <v>50</v>
      </c>
      <c r="Q1087" t="s">
        <v>73</v>
      </c>
      <c r="R1087" t="s">
        <v>41</v>
      </c>
      <c r="S1087">
        <v>3968</v>
      </c>
      <c r="T1087" t="str" cm="1">
        <f t="array" ref="T1087">_xlfn.IFS(S1087&gt;=10000,"High (&gt;10k)",S1087&gt;=5000,"Medium (5k-10k)",S1087&lt;5000,"Low (&lt;5k)")</f>
        <v>Low (&lt;5k)</v>
      </c>
      <c r="U1087">
        <v>13624</v>
      </c>
      <c r="V1087">
        <v>4</v>
      </c>
      <c r="W1087" t="s">
        <v>43</v>
      </c>
      <c r="X1087">
        <v>13</v>
      </c>
      <c r="Y1087">
        <v>3</v>
      </c>
      <c r="Z1087">
        <v>4</v>
      </c>
      <c r="AA1087">
        <v>0</v>
      </c>
      <c r="AB1087">
        <v>8</v>
      </c>
      <c r="AC1087">
        <v>3</v>
      </c>
      <c r="AD1087" t="s">
        <v>74</v>
      </c>
      <c r="AE1087">
        <v>0</v>
      </c>
      <c r="AF1087" t="str" cm="1">
        <f t="array" ref="AF1087">_xlfn.IFS(AE1087&gt;=10,"Veteran (10y+)",AE1087&gt;=3,"Established (3-10y)",AE1087&lt;3,"New Hire (&lt;3y)")</f>
        <v>New Hire (&lt;3y)</v>
      </c>
      <c r="AG1087">
        <v>0</v>
      </c>
      <c r="AH1087">
        <v>0</v>
      </c>
      <c r="AI1087">
        <v>0</v>
      </c>
    </row>
    <row r="1088" spans="1:35">
      <c r="A1088">
        <v>42</v>
      </c>
      <c r="B1088" t="str">
        <f t="shared" si="16"/>
        <v>Middle Aged</v>
      </c>
      <c r="C1088">
        <v>0</v>
      </c>
      <c r="D1088" t="s">
        <v>36</v>
      </c>
      <c r="E1088">
        <v>1396</v>
      </c>
      <c r="F1088" t="s">
        <v>45</v>
      </c>
      <c r="G1088">
        <v>6</v>
      </c>
      <c r="H1088" t="str" cm="1">
        <f t="array" ref="H1088">_xlfn.IFS(G1088&gt;15,"Long Commute",G1088&gt;5,"Moderate",G1088&lt;=5,"Near Office")</f>
        <v>Moderate</v>
      </c>
      <c r="I1088" t="s">
        <v>72</v>
      </c>
      <c r="J1088" t="s">
        <v>51</v>
      </c>
      <c r="K1088">
        <v>3</v>
      </c>
      <c r="L1088" t="s">
        <v>46</v>
      </c>
      <c r="M1088">
        <v>83</v>
      </c>
      <c r="N1088">
        <v>3</v>
      </c>
      <c r="O1088">
        <v>3</v>
      </c>
      <c r="P1088" t="s">
        <v>58</v>
      </c>
      <c r="Q1088" t="s">
        <v>82</v>
      </c>
      <c r="R1088" t="s">
        <v>48</v>
      </c>
      <c r="S1088">
        <v>13348</v>
      </c>
      <c r="T1088" t="str" cm="1">
        <f t="array" ref="T1088">_xlfn.IFS(S1088&gt;=10000,"High (&gt;10k)",S1088&gt;=5000,"Medium (5k-10k)",S1088&lt;5000,"Low (&lt;5k)")</f>
        <v>High (&gt;10k)</v>
      </c>
      <c r="U1088">
        <v>14842</v>
      </c>
      <c r="V1088">
        <v>9</v>
      </c>
      <c r="W1088" t="s">
        <v>43</v>
      </c>
      <c r="X1088">
        <v>13</v>
      </c>
      <c r="Y1088">
        <v>3</v>
      </c>
      <c r="Z1088">
        <v>2</v>
      </c>
      <c r="AA1088">
        <v>1</v>
      </c>
      <c r="AB1088">
        <v>18</v>
      </c>
      <c r="AC1088">
        <v>3</v>
      </c>
      <c r="AD1088" t="s">
        <v>79</v>
      </c>
      <c r="AE1088">
        <v>13</v>
      </c>
      <c r="AF1088" t="str" cm="1">
        <f t="array" ref="AF1088">_xlfn.IFS(AE1088&gt;=10,"Veteran (10y+)",AE1088&gt;=3,"Established (3-10y)",AE1088&lt;3,"New Hire (&lt;3y)")</f>
        <v>Veteran (10y+)</v>
      </c>
      <c r="AG1088">
        <v>7</v>
      </c>
      <c r="AH1088">
        <v>5</v>
      </c>
      <c r="AI1088">
        <v>7</v>
      </c>
    </row>
    <row r="1089" spans="1:35">
      <c r="A1089">
        <v>42</v>
      </c>
      <c r="B1089" t="str">
        <f t="shared" si="16"/>
        <v>Middle Aged</v>
      </c>
      <c r="C1089">
        <v>0</v>
      </c>
      <c r="D1089" t="s">
        <v>36</v>
      </c>
      <c r="E1089">
        <v>419</v>
      </c>
      <c r="F1089" t="s">
        <v>37</v>
      </c>
      <c r="G1089">
        <v>12</v>
      </c>
      <c r="H1089" t="str" cm="1">
        <f t="array" ref="H1089">_xlfn.IFS(G1089&gt;15,"Long Commute",G1089&gt;5,"Moderate",G1089&lt;=5,"Near Office")</f>
        <v>Moderate</v>
      </c>
      <c r="I1089" t="s">
        <v>83</v>
      </c>
      <c r="J1089" t="s">
        <v>59</v>
      </c>
      <c r="K1089">
        <v>2</v>
      </c>
      <c r="L1089" t="s">
        <v>46</v>
      </c>
      <c r="M1089">
        <v>77</v>
      </c>
      <c r="N1089">
        <v>3</v>
      </c>
      <c r="O1089">
        <v>2</v>
      </c>
      <c r="P1089" t="s">
        <v>40</v>
      </c>
      <c r="Q1089" t="s">
        <v>77</v>
      </c>
      <c r="R1089" t="s">
        <v>52</v>
      </c>
      <c r="S1089">
        <v>5087</v>
      </c>
      <c r="T1089" t="str" cm="1">
        <f t="array" ref="T1089">_xlfn.IFS(S1089&gt;=10000,"High (&gt;10k)",S1089&gt;=5000,"Medium (5k-10k)",S1089&lt;5000,"Low (&lt;5k)")</f>
        <v>Medium (5k-10k)</v>
      </c>
      <c r="U1089">
        <v>2900</v>
      </c>
      <c r="V1089">
        <v>3</v>
      </c>
      <c r="W1089" t="s">
        <v>35</v>
      </c>
      <c r="X1089">
        <v>12</v>
      </c>
      <c r="Y1089">
        <v>3</v>
      </c>
      <c r="Z1089">
        <v>3</v>
      </c>
      <c r="AA1089">
        <v>2</v>
      </c>
      <c r="AB1089">
        <v>14</v>
      </c>
      <c r="AC1089">
        <v>4</v>
      </c>
      <c r="AD1089" t="s">
        <v>74</v>
      </c>
      <c r="AE1089">
        <v>0</v>
      </c>
      <c r="AF1089" t="str" cm="1">
        <f t="array" ref="AF1089">_xlfn.IFS(AE1089&gt;=10,"Veteran (10y+)",AE1089&gt;=3,"Established (3-10y)",AE1089&lt;3,"New Hire (&lt;3y)")</f>
        <v>New Hire (&lt;3y)</v>
      </c>
      <c r="AG1089">
        <v>0</v>
      </c>
      <c r="AH1089">
        <v>0</v>
      </c>
      <c r="AI1089">
        <v>0</v>
      </c>
    </row>
    <row r="1090" spans="1:35">
      <c r="A1090">
        <v>42</v>
      </c>
      <c r="B1090" t="str">
        <f t="shared" si="16"/>
        <v>Middle Aged</v>
      </c>
      <c r="C1090">
        <v>0</v>
      </c>
      <c r="D1090" t="s">
        <v>55</v>
      </c>
      <c r="E1090">
        <v>335</v>
      </c>
      <c r="F1090" t="s">
        <v>45</v>
      </c>
      <c r="G1090">
        <v>23</v>
      </c>
      <c r="H1090" t="str" cm="1">
        <f t="array" ref="H1090">_xlfn.IFS(G1090&gt;15,"Long Commute",G1090&gt;5,"Moderate",G1090&lt;=5,"Near Office")</f>
        <v>Long Commute</v>
      </c>
      <c r="I1090" t="s">
        <v>76</v>
      </c>
      <c r="J1090" t="s">
        <v>38</v>
      </c>
      <c r="K1090">
        <v>4</v>
      </c>
      <c r="L1090" t="s">
        <v>46</v>
      </c>
      <c r="M1090">
        <v>37</v>
      </c>
      <c r="N1090">
        <v>2</v>
      </c>
      <c r="O1090">
        <v>2</v>
      </c>
      <c r="P1090" t="s">
        <v>47</v>
      </c>
      <c r="Q1090" t="s">
        <v>73</v>
      </c>
      <c r="R1090" t="s">
        <v>41</v>
      </c>
      <c r="S1090">
        <v>4332</v>
      </c>
      <c r="T1090" t="str" cm="1">
        <f t="array" ref="T1090">_xlfn.IFS(S1090&gt;=10000,"High (&gt;10k)",S1090&gt;=5000,"Medium (5k-10k)",S1090&lt;5000,"Low (&lt;5k)")</f>
        <v>Low (&lt;5k)</v>
      </c>
      <c r="U1090">
        <v>14811</v>
      </c>
      <c r="V1090">
        <v>1</v>
      </c>
      <c r="W1090" t="s">
        <v>43</v>
      </c>
      <c r="X1090">
        <v>12</v>
      </c>
      <c r="Y1090">
        <v>3</v>
      </c>
      <c r="Z1090">
        <v>4</v>
      </c>
      <c r="AA1090">
        <v>0</v>
      </c>
      <c r="AB1090">
        <v>20</v>
      </c>
      <c r="AC1090">
        <v>2</v>
      </c>
      <c r="AD1090" t="s">
        <v>74</v>
      </c>
      <c r="AE1090">
        <v>20</v>
      </c>
      <c r="AF1090" t="str" cm="1">
        <f t="array" ref="AF1090">_xlfn.IFS(AE1090&gt;=10,"Veteran (10y+)",AE1090&gt;=3,"Established (3-10y)",AE1090&lt;3,"New Hire (&lt;3y)")</f>
        <v>Veteran (10y+)</v>
      </c>
      <c r="AG1090">
        <v>9</v>
      </c>
      <c r="AH1090">
        <v>3</v>
      </c>
      <c r="AI1090">
        <v>7</v>
      </c>
    </row>
    <row r="1091" spans="1:35">
      <c r="A1091">
        <v>42</v>
      </c>
      <c r="B1091" t="str">
        <f t="shared" ref="B1091:B1154" si="17">IF(A1091&gt;=46,"Senior",IF(A1091&gt;=30,"Middle Aged","Young Adults"))</f>
        <v>Middle Aged</v>
      </c>
      <c r="C1091">
        <v>0</v>
      </c>
      <c r="D1091" t="s">
        <v>36</v>
      </c>
      <c r="E1091">
        <v>557</v>
      </c>
      <c r="F1091" t="s">
        <v>45</v>
      </c>
      <c r="G1091">
        <v>18</v>
      </c>
      <c r="H1091" t="str" cm="1">
        <f t="array" ref="H1091">_xlfn.IFS(G1091&gt;15,"Long Commute",G1091&gt;5,"Moderate",G1091&lt;=5,"Near Office")</f>
        <v>Long Commute</v>
      </c>
      <c r="I1091" t="s">
        <v>83</v>
      </c>
      <c r="J1091" t="s">
        <v>38</v>
      </c>
      <c r="K1091">
        <v>4</v>
      </c>
      <c r="L1091" t="s">
        <v>46</v>
      </c>
      <c r="M1091">
        <v>35</v>
      </c>
      <c r="N1091">
        <v>3</v>
      </c>
      <c r="O1091">
        <v>2</v>
      </c>
      <c r="P1091" t="s">
        <v>47</v>
      </c>
      <c r="Q1091" t="s">
        <v>82</v>
      </c>
      <c r="R1091" t="s">
        <v>52</v>
      </c>
      <c r="S1091">
        <v>5410</v>
      </c>
      <c r="T1091" t="str" cm="1">
        <f t="array" ref="T1091">_xlfn.IFS(S1091&gt;=10000,"High (&gt;10k)",S1091&gt;=5000,"Medium (5k-10k)",S1091&lt;5000,"Low (&lt;5k)")</f>
        <v>Medium (5k-10k)</v>
      </c>
      <c r="U1091">
        <v>11189</v>
      </c>
      <c r="V1091">
        <v>6</v>
      </c>
      <c r="W1091" t="s">
        <v>35</v>
      </c>
      <c r="X1091">
        <v>17</v>
      </c>
      <c r="Y1091">
        <v>3</v>
      </c>
      <c r="Z1091">
        <v>3</v>
      </c>
      <c r="AA1091">
        <v>1</v>
      </c>
      <c r="AB1091">
        <v>9</v>
      </c>
      <c r="AC1091">
        <v>3</v>
      </c>
      <c r="AD1091" t="s">
        <v>81</v>
      </c>
      <c r="AE1091">
        <v>4</v>
      </c>
      <c r="AF1091" t="str" cm="1">
        <f t="array" ref="AF1091">_xlfn.IFS(AE1091&gt;=10,"Veteran (10y+)",AE1091&gt;=3,"Established (3-10y)",AE1091&lt;3,"New Hire (&lt;3y)")</f>
        <v>Established (3-10y)</v>
      </c>
      <c r="AG1091">
        <v>3</v>
      </c>
      <c r="AH1091">
        <v>1</v>
      </c>
      <c r="AI1091">
        <v>2</v>
      </c>
    </row>
    <row r="1092" spans="1:35">
      <c r="A1092">
        <v>42</v>
      </c>
      <c r="B1092" t="str">
        <f t="shared" si="17"/>
        <v>Middle Aged</v>
      </c>
      <c r="C1092">
        <v>0</v>
      </c>
      <c r="D1092" t="s">
        <v>36</v>
      </c>
      <c r="E1092">
        <v>300</v>
      </c>
      <c r="F1092" t="s">
        <v>45</v>
      </c>
      <c r="G1092">
        <v>2</v>
      </c>
      <c r="H1092" t="str" cm="1">
        <f t="array" ref="H1092">_xlfn.IFS(G1092&gt;15,"Long Commute",G1092&gt;5,"Moderate",G1092&lt;=5,"Near Office")</f>
        <v>Near Office</v>
      </c>
      <c r="I1092" t="s">
        <v>72</v>
      </c>
      <c r="J1092" t="s">
        <v>38</v>
      </c>
      <c r="K1092">
        <v>1</v>
      </c>
      <c r="L1092" t="s">
        <v>46</v>
      </c>
      <c r="M1092">
        <v>56</v>
      </c>
      <c r="N1092">
        <v>3</v>
      </c>
      <c r="O1092">
        <v>5</v>
      </c>
      <c r="P1092" t="s">
        <v>56</v>
      </c>
      <c r="Q1092" t="s">
        <v>73</v>
      </c>
      <c r="R1092" t="s">
        <v>48</v>
      </c>
      <c r="S1092">
        <v>18880</v>
      </c>
      <c r="T1092" t="str" cm="1">
        <f t="array" ref="T1092">_xlfn.IFS(S1092&gt;=10000,"High (&gt;10k)",S1092&gt;=5000,"Medium (5k-10k)",S1092&lt;5000,"Low (&lt;5k)")</f>
        <v>High (&gt;10k)</v>
      </c>
      <c r="U1092">
        <v>17312</v>
      </c>
      <c r="V1092">
        <v>5</v>
      </c>
      <c r="W1092" t="s">
        <v>43</v>
      </c>
      <c r="X1092">
        <v>11</v>
      </c>
      <c r="Y1092">
        <v>3</v>
      </c>
      <c r="Z1092">
        <v>1</v>
      </c>
      <c r="AA1092">
        <v>0</v>
      </c>
      <c r="AB1092">
        <v>24</v>
      </c>
      <c r="AC1092">
        <v>2</v>
      </c>
      <c r="AD1092" t="s">
        <v>81</v>
      </c>
      <c r="AE1092">
        <v>22</v>
      </c>
      <c r="AF1092" t="str" cm="1">
        <f t="array" ref="AF1092">_xlfn.IFS(AE1092&gt;=10,"Veteran (10y+)",AE1092&gt;=3,"Established (3-10y)",AE1092&lt;3,"New Hire (&lt;3y)")</f>
        <v>Veteran (10y+)</v>
      </c>
      <c r="AG1092">
        <v>6</v>
      </c>
      <c r="AH1092">
        <v>4</v>
      </c>
      <c r="AI1092">
        <v>14</v>
      </c>
    </row>
    <row r="1093" spans="1:35">
      <c r="A1093">
        <v>43</v>
      </c>
      <c r="B1093" t="str">
        <f t="shared" si="17"/>
        <v>Middle Aged</v>
      </c>
      <c r="C1093">
        <v>0</v>
      </c>
      <c r="D1093" t="s">
        <v>36</v>
      </c>
      <c r="E1093">
        <v>1273</v>
      </c>
      <c r="F1093" t="s">
        <v>45</v>
      </c>
      <c r="G1093">
        <v>2</v>
      </c>
      <c r="H1093" t="str" cm="1">
        <f t="array" ref="H1093">_xlfn.IFS(G1093&gt;15,"Long Commute",G1093&gt;5,"Moderate",G1093&lt;=5,"Near Office")</f>
        <v>Near Office</v>
      </c>
      <c r="I1093" t="s">
        <v>76</v>
      </c>
      <c r="J1093" t="s">
        <v>51</v>
      </c>
      <c r="K1093">
        <v>4</v>
      </c>
      <c r="L1093" t="s">
        <v>39</v>
      </c>
      <c r="M1093">
        <v>72</v>
      </c>
      <c r="N1093">
        <v>4</v>
      </c>
      <c r="O1093">
        <v>1</v>
      </c>
      <c r="P1093" t="s">
        <v>47</v>
      </c>
      <c r="Q1093" t="s">
        <v>73</v>
      </c>
      <c r="R1093" t="s">
        <v>52</v>
      </c>
      <c r="S1093">
        <v>2645</v>
      </c>
      <c r="T1093" t="str" cm="1">
        <f t="array" ref="T1093">_xlfn.IFS(S1093&gt;=10000,"High (&gt;10k)",S1093&gt;=5000,"Medium (5k-10k)",S1093&lt;5000,"Low (&lt;5k)")</f>
        <v>Low (&lt;5k)</v>
      </c>
      <c r="U1093">
        <v>21923</v>
      </c>
      <c r="V1093">
        <v>1</v>
      </c>
      <c r="W1093" t="s">
        <v>43</v>
      </c>
      <c r="X1093">
        <v>12</v>
      </c>
      <c r="Y1093">
        <v>3</v>
      </c>
      <c r="Z1093">
        <v>4</v>
      </c>
      <c r="AA1093">
        <v>2</v>
      </c>
      <c r="AB1093">
        <v>6</v>
      </c>
      <c r="AC1093">
        <v>3</v>
      </c>
      <c r="AD1093" t="s">
        <v>81</v>
      </c>
      <c r="AE1093">
        <v>5</v>
      </c>
      <c r="AF1093" t="str" cm="1">
        <f t="array" ref="AF1093">_xlfn.IFS(AE1093&gt;=10,"Veteran (10y+)",AE1093&gt;=3,"Established (3-10y)",AE1093&lt;3,"New Hire (&lt;3y)")</f>
        <v>Established (3-10y)</v>
      </c>
      <c r="AG1093">
        <v>3</v>
      </c>
      <c r="AH1093">
        <v>1</v>
      </c>
      <c r="AI1093">
        <v>4</v>
      </c>
    </row>
    <row r="1094" spans="1:35">
      <c r="A1094">
        <v>43</v>
      </c>
      <c r="B1094" t="str">
        <f t="shared" si="17"/>
        <v>Middle Aged</v>
      </c>
      <c r="C1094">
        <v>0</v>
      </c>
      <c r="D1094" t="s">
        <v>44</v>
      </c>
      <c r="E1094">
        <v>394</v>
      </c>
      <c r="F1094" t="s">
        <v>37</v>
      </c>
      <c r="G1094">
        <v>26</v>
      </c>
      <c r="H1094" t="str" cm="1">
        <f t="array" ref="H1094">_xlfn.IFS(G1094&gt;15,"Long Commute",G1094&gt;5,"Moderate",G1094&lt;=5,"Near Office")</f>
        <v>Long Commute</v>
      </c>
      <c r="I1094" t="s">
        <v>76</v>
      </c>
      <c r="J1094" t="s">
        <v>38</v>
      </c>
      <c r="K1094">
        <v>3</v>
      </c>
      <c r="L1094" t="s">
        <v>46</v>
      </c>
      <c r="M1094">
        <v>92</v>
      </c>
      <c r="N1094">
        <v>3</v>
      </c>
      <c r="O1094">
        <v>4</v>
      </c>
      <c r="P1094" t="s">
        <v>56</v>
      </c>
      <c r="Q1094" t="s">
        <v>77</v>
      </c>
      <c r="R1094" t="s">
        <v>48</v>
      </c>
      <c r="S1094">
        <v>16959</v>
      </c>
      <c r="T1094" t="str" cm="1">
        <f t="array" ref="T1094">_xlfn.IFS(S1094&gt;=10000,"High (&gt;10k)",S1094&gt;=5000,"Medium (5k-10k)",S1094&lt;5000,"Low (&lt;5k)")</f>
        <v>High (&gt;10k)</v>
      </c>
      <c r="U1094">
        <v>19494</v>
      </c>
      <c r="V1094">
        <v>1</v>
      </c>
      <c r="W1094" t="s">
        <v>35</v>
      </c>
      <c r="X1094">
        <v>12</v>
      </c>
      <c r="Y1094">
        <v>3</v>
      </c>
      <c r="Z1094">
        <v>4</v>
      </c>
      <c r="AA1094">
        <v>2</v>
      </c>
      <c r="AB1094">
        <v>25</v>
      </c>
      <c r="AC1094">
        <v>3</v>
      </c>
      <c r="AD1094" t="s">
        <v>79</v>
      </c>
      <c r="AE1094">
        <v>25</v>
      </c>
      <c r="AF1094" t="str" cm="1">
        <f t="array" ref="AF1094">_xlfn.IFS(AE1094&gt;=10,"Veteran (10y+)",AE1094&gt;=3,"Established (3-10y)",AE1094&lt;3,"New Hire (&lt;3y)")</f>
        <v>Veteran (10y+)</v>
      </c>
      <c r="AG1094">
        <v>12</v>
      </c>
      <c r="AH1094">
        <v>4</v>
      </c>
      <c r="AI1094">
        <v>12</v>
      </c>
    </row>
    <row r="1095" spans="1:35">
      <c r="A1095">
        <v>43</v>
      </c>
      <c r="B1095" t="str">
        <f t="shared" si="17"/>
        <v>Middle Aged</v>
      </c>
      <c r="C1095">
        <v>0</v>
      </c>
      <c r="D1095" t="s">
        <v>44</v>
      </c>
      <c r="E1095">
        <v>957</v>
      </c>
      <c r="F1095" t="s">
        <v>45</v>
      </c>
      <c r="G1095">
        <v>28</v>
      </c>
      <c r="H1095" t="str" cm="1">
        <f t="array" ref="H1095">_xlfn.IFS(G1095&gt;15,"Long Commute",G1095&gt;5,"Moderate",G1095&lt;=5,"Near Office")</f>
        <v>Long Commute</v>
      </c>
      <c r="I1095" t="s">
        <v>72</v>
      </c>
      <c r="J1095" t="s">
        <v>51</v>
      </c>
      <c r="K1095">
        <v>2</v>
      </c>
      <c r="L1095" t="s">
        <v>39</v>
      </c>
      <c r="M1095">
        <v>72</v>
      </c>
      <c r="N1095">
        <v>4</v>
      </c>
      <c r="O1095">
        <v>1</v>
      </c>
      <c r="P1095" t="s">
        <v>47</v>
      </c>
      <c r="Q1095" t="s">
        <v>73</v>
      </c>
      <c r="R1095" t="s">
        <v>41</v>
      </c>
      <c r="S1095">
        <v>4739</v>
      </c>
      <c r="T1095" t="str" cm="1">
        <f t="array" ref="T1095">_xlfn.IFS(S1095&gt;=10000,"High (&gt;10k)",S1095&gt;=5000,"Medium (5k-10k)",S1095&lt;5000,"Low (&lt;5k)")</f>
        <v>Low (&lt;5k)</v>
      </c>
      <c r="U1095">
        <v>16090</v>
      </c>
      <c r="V1095">
        <v>4</v>
      </c>
      <c r="W1095" t="s">
        <v>43</v>
      </c>
      <c r="X1095">
        <v>12</v>
      </c>
      <c r="Y1095">
        <v>3</v>
      </c>
      <c r="Z1095">
        <v>4</v>
      </c>
      <c r="AA1095">
        <v>0</v>
      </c>
      <c r="AB1095">
        <v>18</v>
      </c>
      <c r="AC1095">
        <v>2</v>
      </c>
      <c r="AD1095" t="s">
        <v>74</v>
      </c>
      <c r="AE1095">
        <v>3</v>
      </c>
      <c r="AF1095" t="str" cm="1">
        <f t="array" ref="AF1095">_xlfn.IFS(AE1095&gt;=10,"Veteran (10y+)",AE1095&gt;=3,"Established (3-10y)",AE1095&lt;3,"New Hire (&lt;3y)")</f>
        <v>Established (3-10y)</v>
      </c>
      <c r="AG1095">
        <v>2</v>
      </c>
      <c r="AH1095">
        <v>1</v>
      </c>
      <c r="AI1095">
        <v>2</v>
      </c>
    </row>
    <row r="1096" spans="1:35">
      <c r="A1096">
        <v>43</v>
      </c>
      <c r="B1096" t="str">
        <f t="shared" si="17"/>
        <v>Middle Aged</v>
      </c>
      <c r="C1096">
        <v>0</v>
      </c>
      <c r="D1096" t="s">
        <v>55</v>
      </c>
      <c r="E1096">
        <v>1344</v>
      </c>
      <c r="F1096" t="s">
        <v>45</v>
      </c>
      <c r="G1096">
        <v>7</v>
      </c>
      <c r="H1096" t="str" cm="1">
        <f t="array" ref="H1096">_xlfn.IFS(G1096&gt;15,"Long Commute",G1096&gt;5,"Moderate",G1096&lt;=5,"Near Office")</f>
        <v>Moderate</v>
      </c>
      <c r="I1096" t="s">
        <v>72</v>
      </c>
      <c r="J1096" t="s">
        <v>51</v>
      </c>
      <c r="K1096">
        <v>4</v>
      </c>
      <c r="L1096" t="s">
        <v>46</v>
      </c>
      <c r="M1096">
        <v>37</v>
      </c>
      <c r="N1096">
        <v>4</v>
      </c>
      <c r="O1096">
        <v>1</v>
      </c>
      <c r="P1096" t="s">
        <v>47</v>
      </c>
      <c r="Q1096" t="s">
        <v>77</v>
      </c>
      <c r="R1096" t="s">
        <v>52</v>
      </c>
      <c r="S1096">
        <v>2089</v>
      </c>
      <c r="T1096" t="str" cm="1">
        <f t="array" ref="T1096">_xlfn.IFS(S1096&gt;=10000,"High (&gt;10k)",S1096&gt;=5000,"Medium (5k-10k)",S1096&lt;5000,"Low (&lt;5k)")</f>
        <v>Low (&lt;5k)</v>
      </c>
      <c r="U1096">
        <v>5228</v>
      </c>
      <c r="V1096">
        <v>4</v>
      </c>
      <c r="W1096" t="s">
        <v>43</v>
      </c>
      <c r="X1096">
        <v>14</v>
      </c>
      <c r="Y1096">
        <v>3</v>
      </c>
      <c r="Z1096">
        <v>4</v>
      </c>
      <c r="AA1096">
        <v>3</v>
      </c>
      <c r="AB1096">
        <v>7</v>
      </c>
      <c r="AC1096">
        <v>3</v>
      </c>
      <c r="AD1096" t="s">
        <v>79</v>
      </c>
      <c r="AE1096">
        <v>5</v>
      </c>
      <c r="AF1096" t="str" cm="1">
        <f t="array" ref="AF1096">_xlfn.IFS(AE1096&gt;=10,"Veteran (10y+)",AE1096&gt;=3,"Established (3-10y)",AE1096&lt;3,"New Hire (&lt;3y)")</f>
        <v>Established (3-10y)</v>
      </c>
      <c r="AG1096">
        <v>4</v>
      </c>
      <c r="AH1096">
        <v>2</v>
      </c>
      <c r="AI1096">
        <v>2</v>
      </c>
    </row>
    <row r="1097" spans="1:35">
      <c r="A1097">
        <v>43</v>
      </c>
      <c r="B1097" t="str">
        <f t="shared" si="17"/>
        <v>Middle Aged</v>
      </c>
      <c r="C1097">
        <v>0</v>
      </c>
      <c r="D1097" t="s">
        <v>36</v>
      </c>
      <c r="E1097">
        <v>1034</v>
      </c>
      <c r="F1097" t="s">
        <v>37</v>
      </c>
      <c r="G1097">
        <v>16</v>
      </c>
      <c r="H1097" t="str" cm="1">
        <f t="array" ref="H1097">_xlfn.IFS(G1097&gt;15,"Long Commute",G1097&gt;5,"Moderate",G1097&lt;=5,"Near Office")</f>
        <v>Long Commute</v>
      </c>
      <c r="I1097" t="s">
        <v>72</v>
      </c>
      <c r="J1097" t="s">
        <v>59</v>
      </c>
      <c r="K1097">
        <v>4</v>
      </c>
      <c r="L1097" t="s">
        <v>39</v>
      </c>
      <c r="M1097">
        <v>80</v>
      </c>
      <c r="N1097">
        <v>3</v>
      </c>
      <c r="O1097">
        <v>4</v>
      </c>
      <c r="P1097" t="s">
        <v>56</v>
      </c>
      <c r="Q1097" t="s">
        <v>77</v>
      </c>
      <c r="R1097" t="s">
        <v>48</v>
      </c>
      <c r="S1097">
        <v>16064</v>
      </c>
      <c r="T1097" t="str" cm="1">
        <f t="array" ref="T1097">_xlfn.IFS(S1097&gt;=10000,"High (&gt;10k)",S1097&gt;=5000,"Medium (5k-10k)",S1097&lt;5000,"Low (&lt;5k)")</f>
        <v>High (&gt;10k)</v>
      </c>
      <c r="U1097">
        <v>7744</v>
      </c>
      <c r="V1097">
        <v>5</v>
      </c>
      <c r="W1097" t="s">
        <v>35</v>
      </c>
      <c r="X1097">
        <v>22</v>
      </c>
      <c r="Y1097">
        <v>4</v>
      </c>
      <c r="Z1097">
        <v>3</v>
      </c>
      <c r="AA1097">
        <v>1</v>
      </c>
      <c r="AB1097">
        <v>22</v>
      </c>
      <c r="AC1097">
        <v>3</v>
      </c>
      <c r="AD1097" t="s">
        <v>74</v>
      </c>
      <c r="AE1097">
        <v>17</v>
      </c>
      <c r="AF1097" t="str" cm="1">
        <f t="array" ref="AF1097">_xlfn.IFS(AE1097&gt;=10,"Veteran (10y+)",AE1097&gt;=3,"Established (3-10y)",AE1097&lt;3,"New Hire (&lt;3y)")</f>
        <v>Veteran (10y+)</v>
      </c>
      <c r="AG1097">
        <v>13</v>
      </c>
      <c r="AH1097">
        <v>1</v>
      </c>
      <c r="AI1097">
        <v>9</v>
      </c>
    </row>
    <row r="1098" spans="1:35">
      <c r="A1098">
        <v>43</v>
      </c>
      <c r="B1098" t="str">
        <f t="shared" si="17"/>
        <v>Middle Aged</v>
      </c>
      <c r="C1098">
        <v>0</v>
      </c>
      <c r="D1098" t="s">
        <v>44</v>
      </c>
      <c r="E1098">
        <v>185</v>
      </c>
      <c r="F1098" t="s">
        <v>45</v>
      </c>
      <c r="G1098">
        <v>10</v>
      </c>
      <c r="H1098" t="str" cm="1">
        <f t="array" ref="H1098">_xlfn.IFS(G1098&gt;15,"Long Commute",G1098&gt;5,"Moderate",G1098&lt;=5,"Near Office")</f>
        <v>Moderate</v>
      </c>
      <c r="I1098" t="s">
        <v>83</v>
      </c>
      <c r="J1098" t="s">
        <v>38</v>
      </c>
      <c r="K1098">
        <v>3</v>
      </c>
      <c r="L1098" t="s">
        <v>39</v>
      </c>
      <c r="M1098">
        <v>33</v>
      </c>
      <c r="N1098">
        <v>3</v>
      </c>
      <c r="O1098">
        <v>1</v>
      </c>
      <c r="P1098" t="s">
        <v>50</v>
      </c>
      <c r="Q1098" t="s">
        <v>77</v>
      </c>
      <c r="R1098" t="s">
        <v>41</v>
      </c>
      <c r="S1098">
        <v>2455</v>
      </c>
      <c r="T1098" t="str" cm="1">
        <f t="array" ref="T1098">_xlfn.IFS(S1098&gt;=10000,"High (&gt;10k)",S1098&gt;=5000,"Medium (5k-10k)",S1098&lt;5000,"Low (&lt;5k)")</f>
        <v>Low (&lt;5k)</v>
      </c>
      <c r="U1098">
        <v>10675</v>
      </c>
      <c r="V1098">
        <v>0</v>
      </c>
      <c r="W1098" t="s">
        <v>43</v>
      </c>
      <c r="X1098">
        <v>19</v>
      </c>
      <c r="Y1098">
        <v>3</v>
      </c>
      <c r="Z1098">
        <v>1</v>
      </c>
      <c r="AA1098">
        <v>0</v>
      </c>
      <c r="AB1098">
        <v>9</v>
      </c>
      <c r="AC1098">
        <v>5</v>
      </c>
      <c r="AD1098" t="s">
        <v>74</v>
      </c>
      <c r="AE1098">
        <v>8</v>
      </c>
      <c r="AF1098" t="str" cm="1">
        <f t="array" ref="AF1098">_xlfn.IFS(AE1098&gt;=10,"Veteran (10y+)",AE1098&gt;=3,"Established (3-10y)",AE1098&lt;3,"New Hire (&lt;3y)")</f>
        <v>Established (3-10y)</v>
      </c>
      <c r="AG1098">
        <v>7</v>
      </c>
      <c r="AH1098">
        <v>1</v>
      </c>
      <c r="AI1098">
        <v>7</v>
      </c>
    </row>
    <row r="1099" spans="1:35">
      <c r="A1099">
        <v>43</v>
      </c>
      <c r="B1099" t="str">
        <f t="shared" si="17"/>
        <v>Middle Aged</v>
      </c>
      <c r="C1099">
        <v>0</v>
      </c>
      <c r="D1099" t="s">
        <v>44</v>
      </c>
      <c r="E1099">
        <v>559</v>
      </c>
      <c r="F1099" t="s">
        <v>45</v>
      </c>
      <c r="G1099">
        <v>10</v>
      </c>
      <c r="H1099" t="str" cm="1">
        <f t="array" ref="H1099">_xlfn.IFS(G1099&gt;15,"Long Commute",G1099&gt;5,"Moderate",G1099&lt;=5,"Near Office")</f>
        <v>Moderate</v>
      </c>
      <c r="I1099" t="s">
        <v>83</v>
      </c>
      <c r="J1099" t="s">
        <v>38</v>
      </c>
      <c r="K1099">
        <v>3</v>
      </c>
      <c r="L1099" t="s">
        <v>39</v>
      </c>
      <c r="M1099">
        <v>82</v>
      </c>
      <c r="N1099">
        <v>2</v>
      </c>
      <c r="O1099">
        <v>2</v>
      </c>
      <c r="P1099" t="s">
        <v>50</v>
      </c>
      <c r="Q1099" t="s">
        <v>73</v>
      </c>
      <c r="R1099" t="s">
        <v>52</v>
      </c>
      <c r="S1099">
        <v>5257</v>
      </c>
      <c r="T1099" t="str" cm="1">
        <f t="array" ref="T1099">_xlfn.IFS(S1099&gt;=10000,"High (&gt;10k)",S1099&gt;=5000,"Medium (5k-10k)",S1099&lt;5000,"Low (&lt;5k)")</f>
        <v>Medium (5k-10k)</v>
      </c>
      <c r="U1099">
        <v>6227</v>
      </c>
      <c r="V1099">
        <v>1</v>
      </c>
      <c r="W1099" t="s">
        <v>43</v>
      </c>
      <c r="X1099">
        <v>11</v>
      </c>
      <c r="Y1099">
        <v>3</v>
      </c>
      <c r="Z1099">
        <v>2</v>
      </c>
      <c r="AA1099">
        <v>1</v>
      </c>
      <c r="AB1099">
        <v>9</v>
      </c>
      <c r="AC1099">
        <v>3</v>
      </c>
      <c r="AD1099" t="s">
        <v>79</v>
      </c>
      <c r="AE1099">
        <v>9</v>
      </c>
      <c r="AF1099" t="str" cm="1">
        <f t="array" ref="AF1099">_xlfn.IFS(AE1099&gt;=10,"Veteran (10y+)",AE1099&gt;=3,"Established (3-10y)",AE1099&lt;3,"New Hire (&lt;3y)")</f>
        <v>Established (3-10y)</v>
      </c>
      <c r="AG1099">
        <v>7</v>
      </c>
      <c r="AH1099">
        <v>0</v>
      </c>
      <c r="AI1099">
        <v>0</v>
      </c>
    </row>
    <row r="1100" spans="1:35">
      <c r="A1100">
        <v>43</v>
      </c>
      <c r="B1100" t="str">
        <f t="shared" si="17"/>
        <v>Middle Aged</v>
      </c>
      <c r="C1100">
        <v>0</v>
      </c>
      <c r="D1100" t="s">
        <v>36</v>
      </c>
      <c r="E1100">
        <v>1001</v>
      </c>
      <c r="F1100" t="s">
        <v>45</v>
      </c>
      <c r="G1100">
        <v>7</v>
      </c>
      <c r="H1100" t="str" cm="1">
        <f t="array" ref="H1100">_xlfn.IFS(G1100&gt;15,"Long Commute",G1100&gt;5,"Moderate",G1100&lt;=5,"Near Office")</f>
        <v>Moderate</v>
      </c>
      <c r="I1100" t="s">
        <v>72</v>
      </c>
      <c r="J1100" t="s">
        <v>38</v>
      </c>
      <c r="K1100">
        <v>3</v>
      </c>
      <c r="L1100" t="s">
        <v>39</v>
      </c>
      <c r="M1100">
        <v>43</v>
      </c>
      <c r="N1100">
        <v>3</v>
      </c>
      <c r="O1100">
        <v>3</v>
      </c>
      <c r="P1100" t="s">
        <v>54</v>
      </c>
      <c r="Q1100" t="s">
        <v>82</v>
      </c>
      <c r="R1100" t="s">
        <v>48</v>
      </c>
      <c r="S1100">
        <v>9985</v>
      </c>
      <c r="T1100" t="str" cm="1">
        <f t="array" ref="T1100">_xlfn.IFS(S1100&gt;=10000,"High (&gt;10k)",S1100&gt;=5000,"Medium (5k-10k)",S1100&lt;5000,"Low (&lt;5k)")</f>
        <v>Medium (5k-10k)</v>
      </c>
      <c r="U1100">
        <v>9262</v>
      </c>
      <c r="V1100">
        <v>8</v>
      </c>
      <c r="W1100" t="s">
        <v>43</v>
      </c>
      <c r="X1100">
        <v>16</v>
      </c>
      <c r="Y1100">
        <v>3</v>
      </c>
      <c r="Z1100">
        <v>1</v>
      </c>
      <c r="AA1100">
        <v>1</v>
      </c>
      <c r="AB1100">
        <v>10</v>
      </c>
      <c r="AC1100">
        <v>1</v>
      </c>
      <c r="AD1100" t="s">
        <v>81</v>
      </c>
      <c r="AE1100">
        <v>1</v>
      </c>
      <c r="AF1100" t="str" cm="1">
        <f t="array" ref="AF1100">_xlfn.IFS(AE1100&gt;=10,"Veteran (10y+)",AE1100&gt;=3,"Established (3-10y)",AE1100&lt;3,"New Hire (&lt;3y)")</f>
        <v>New Hire (&lt;3y)</v>
      </c>
      <c r="AG1100">
        <v>0</v>
      </c>
      <c r="AH1100">
        <v>0</v>
      </c>
      <c r="AI1100">
        <v>0</v>
      </c>
    </row>
    <row r="1101" spans="1:35">
      <c r="A1101">
        <v>43</v>
      </c>
      <c r="B1101" t="str">
        <f t="shared" si="17"/>
        <v>Middle Aged</v>
      </c>
      <c r="C1101">
        <v>0</v>
      </c>
      <c r="D1101" t="s">
        <v>36</v>
      </c>
      <c r="E1101">
        <v>982</v>
      </c>
      <c r="F1101" t="s">
        <v>45</v>
      </c>
      <c r="G1101">
        <v>12</v>
      </c>
      <c r="H1101" t="str" cm="1">
        <f t="array" ref="H1101">_xlfn.IFS(G1101&gt;15,"Long Commute",G1101&gt;5,"Moderate",G1101&lt;=5,"Near Office")</f>
        <v>Moderate</v>
      </c>
      <c r="I1101" t="s">
        <v>72</v>
      </c>
      <c r="J1101" t="s">
        <v>38</v>
      </c>
      <c r="K1101">
        <v>1</v>
      </c>
      <c r="L1101" t="s">
        <v>46</v>
      </c>
      <c r="M1101">
        <v>59</v>
      </c>
      <c r="N1101">
        <v>2</v>
      </c>
      <c r="O1101">
        <v>4</v>
      </c>
      <c r="P1101" t="s">
        <v>58</v>
      </c>
      <c r="Q1101" t="s">
        <v>75</v>
      </c>
      <c r="R1101" t="s">
        <v>52</v>
      </c>
      <c r="S1101">
        <v>14336</v>
      </c>
      <c r="T1101" t="str" cm="1">
        <f t="array" ref="T1101">_xlfn.IFS(S1101&gt;=10000,"High (&gt;10k)",S1101&gt;=5000,"Medium (5k-10k)",S1101&lt;5000,"Low (&lt;5k)")</f>
        <v>High (&gt;10k)</v>
      </c>
      <c r="U1101">
        <v>4345</v>
      </c>
      <c r="V1101">
        <v>1</v>
      </c>
      <c r="W1101" t="s">
        <v>43</v>
      </c>
      <c r="X1101">
        <v>11</v>
      </c>
      <c r="Y1101">
        <v>3</v>
      </c>
      <c r="Z1101">
        <v>3</v>
      </c>
      <c r="AA1101">
        <v>1</v>
      </c>
      <c r="AB1101">
        <v>25</v>
      </c>
      <c r="AC1101">
        <v>3</v>
      </c>
      <c r="AD1101" t="s">
        <v>74</v>
      </c>
      <c r="AE1101">
        <v>25</v>
      </c>
      <c r="AF1101" t="str" cm="1">
        <f t="array" ref="AF1101">_xlfn.IFS(AE1101&gt;=10,"Veteran (10y+)",AE1101&gt;=3,"Established (3-10y)",AE1101&lt;3,"New Hire (&lt;3y)")</f>
        <v>Veteran (10y+)</v>
      </c>
      <c r="AG1101">
        <v>10</v>
      </c>
      <c r="AH1101">
        <v>3</v>
      </c>
      <c r="AI1101">
        <v>9</v>
      </c>
    </row>
    <row r="1102" spans="1:35">
      <c r="A1102">
        <v>43</v>
      </c>
      <c r="B1102" t="str">
        <f t="shared" si="17"/>
        <v>Middle Aged</v>
      </c>
      <c r="C1102">
        <v>0</v>
      </c>
      <c r="D1102" t="s">
        <v>44</v>
      </c>
      <c r="E1102">
        <v>313</v>
      </c>
      <c r="F1102" t="s">
        <v>45</v>
      </c>
      <c r="G1102">
        <v>21</v>
      </c>
      <c r="H1102" t="str" cm="1">
        <f t="array" ref="H1102">_xlfn.IFS(G1102&gt;15,"Long Commute",G1102&gt;5,"Moderate",G1102&lt;=5,"Near Office")</f>
        <v>Long Commute</v>
      </c>
      <c r="I1102" t="s">
        <v>72</v>
      </c>
      <c r="J1102" t="s">
        <v>51</v>
      </c>
      <c r="K1102">
        <v>4</v>
      </c>
      <c r="L1102" t="s">
        <v>46</v>
      </c>
      <c r="M1102">
        <v>61</v>
      </c>
      <c r="N1102">
        <v>3</v>
      </c>
      <c r="O1102">
        <v>1</v>
      </c>
      <c r="P1102" t="s">
        <v>50</v>
      </c>
      <c r="Q1102" t="s">
        <v>77</v>
      </c>
      <c r="R1102" t="s">
        <v>48</v>
      </c>
      <c r="S1102">
        <v>2258</v>
      </c>
      <c r="T1102" t="str" cm="1">
        <f t="array" ref="T1102">_xlfn.IFS(S1102&gt;=10000,"High (&gt;10k)",S1102&gt;=5000,"Medium (5k-10k)",S1102&lt;5000,"Low (&lt;5k)")</f>
        <v>Low (&lt;5k)</v>
      </c>
      <c r="U1102">
        <v>15238</v>
      </c>
      <c r="V1102">
        <v>7</v>
      </c>
      <c r="W1102" t="s">
        <v>43</v>
      </c>
      <c r="X1102">
        <v>20</v>
      </c>
      <c r="Y1102">
        <v>4</v>
      </c>
      <c r="Z1102">
        <v>1</v>
      </c>
      <c r="AA1102">
        <v>1</v>
      </c>
      <c r="AB1102">
        <v>8</v>
      </c>
      <c r="AC1102">
        <v>1</v>
      </c>
      <c r="AD1102" t="s">
        <v>74</v>
      </c>
      <c r="AE1102">
        <v>3</v>
      </c>
      <c r="AF1102" t="str" cm="1">
        <f t="array" ref="AF1102">_xlfn.IFS(AE1102&gt;=10,"Veteran (10y+)",AE1102&gt;=3,"Established (3-10y)",AE1102&lt;3,"New Hire (&lt;3y)")</f>
        <v>Established (3-10y)</v>
      </c>
      <c r="AG1102">
        <v>2</v>
      </c>
      <c r="AH1102">
        <v>1</v>
      </c>
      <c r="AI1102">
        <v>2</v>
      </c>
    </row>
    <row r="1103" spans="1:35">
      <c r="A1103">
        <v>43</v>
      </c>
      <c r="B1103" t="str">
        <f t="shared" si="17"/>
        <v>Middle Aged</v>
      </c>
      <c r="C1103">
        <v>0</v>
      </c>
      <c r="D1103" t="s">
        <v>36</v>
      </c>
      <c r="E1103">
        <v>1473</v>
      </c>
      <c r="F1103" t="s">
        <v>45</v>
      </c>
      <c r="G1103">
        <v>8</v>
      </c>
      <c r="H1103" t="str" cm="1">
        <f t="array" ref="H1103">_xlfn.IFS(G1103&gt;15,"Long Commute",G1103&gt;5,"Moderate",G1103&lt;=5,"Near Office")</f>
        <v>Moderate</v>
      </c>
      <c r="I1103" t="s">
        <v>83</v>
      </c>
      <c r="J1103" t="s">
        <v>49</v>
      </c>
      <c r="K1103">
        <v>3</v>
      </c>
      <c r="L1103" t="s">
        <v>39</v>
      </c>
      <c r="M1103">
        <v>74</v>
      </c>
      <c r="N1103">
        <v>3</v>
      </c>
      <c r="O1103">
        <v>2</v>
      </c>
      <c r="P1103" t="s">
        <v>54</v>
      </c>
      <c r="Q1103" t="s">
        <v>73</v>
      </c>
      <c r="R1103" t="s">
        <v>52</v>
      </c>
      <c r="S1103">
        <v>4522</v>
      </c>
      <c r="T1103" t="str" cm="1">
        <f t="array" ref="T1103">_xlfn.IFS(S1103&gt;=10000,"High (&gt;10k)",S1103&gt;=5000,"Medium (5k-10k)",S1103&lt;5000,"Low (&lt;5k)")</f>
        <v>Low (&lt;5k)</v>
      </c>
      <c r="U1103">
        <v>2227</v>
      </c>
      <c r="V1103">
        <v>4</v>
      </c>
      <c r="W1103" t="s">
        <v>35</v>
      </c>
      <c r="X1103">
        <v>14</v>
      </c>
      <c r="Y1103">
        <v>3</v>
      </c>
      <c r="Z1103">
        <v>4</v>
      </c>
      <c r="AA1103">
        <v>0</v>
      </c>
      <c r="AB1103">
        <v>8</v>
      </c>
      <c r="AC1103">
        <v>3</v>
      </c>
      <c r="AD1103" t="s">
        <v>74</v>
      </c>
      <c r="AE1103">
        <v>5</v>
      </c>
      <c r="AF1103" t="str" cm="1">
        <f t="array" ref="AF1103">_xlfn.IFS(AE1103&gt;=10,"Veteran (10y+)",AE1103&gt;=3,"Established (3-10y)",AE1103&lt;3,"New Hire (&lt;3y)")</f>
        <v>Established (3-10y)</v>
      </c>
      <c r="AG1103">
        <v>2</v>
      </c>
      <c r="AH1103">
        <v>0</v>
      </c>
      <c r="AI1103">
        <v>2</v>
      </c>
    </row>
    <row r="1104" spans="1:35">
      <c r="A1104">
        <v>43</v>
      </c>
      <c r="B1104" t="str">
        <f t="shared" si="17"/>
        <v>Middle Aged</v>
      </c>
      <c r="C1104">
        <v>0</v>
      </c>
      <c r="D1104" t="s">
        <v>36</v>
      </c>
      <c r="E1104">
        <v>782</v>
      </c>
      <c r="F1104" t="s">
        <v>45</v>
      </c>
      <c r="G1104">
        <v>6</v>
      </c>
      <c r="H1104" t="str" cm="1">
        <f t="array" ref="H1104">_xlfn.IFS(G1104&gt;15,"Long Commute",G1104&gt;5,"Moderate",G1104&lt;=5,"Near Office")</f>
        <v>Moderate</v>
      </c>
      <c r="I1104" t="s">
        <v>83</v>
      </c>
      <c r="J1104" t="s">
        <v>49</v>
      </c>
      <c r="K1104">
        <v>2</v>
      </c>
      <c r="L1104" t="s">
        <v>46</v>
      </c>
      <c r="M1104">
        <v>50</v>
      </c>
      <c r="N1104">
        <v>2</v>
      </c>
      <c r="O1104">
        <v>4</v>
      </c>
      <c r="P1104" t="s">
        <v>58</v>
      </c>
      <c r="Q1104" t="s">
        <v>77</v>
      </c>
      <c r="R1104" t="s">
        <v>52</v>
      </c>
      <c r="S1104">
        <v>16627</v>
      </c>
      <c r="T1104" t="str" cm="1">
        <f t="array" ref="T1104">_xlfn.IFS(S1104&gt;=10000,"High (&gt;10k)",S1104&gt;=5000,"Medium (5k-10k)",S1104&lt;5000,"Low (&lt;5k)")</f>
        <v>High (&gt;10k)</v>
      </c>
      <c r="U1104">
        <v>2671</v>
      </c>
      <c r="V1104">
        <v>4</v>
      </c>
      <c r="W1104" t="s">
        <v>35</v>
      </c>
      <c r="X1104">
        <v>14</v>
      </c>
      <c r="Y1104">
        <v>3</v>
      </c>
      <c r="Z1104">
        <v>3</v>
      </c>
      <c r="AA1104">
        <v>1</v>
      </c>
      <c r="AB1104">
        <v>21</v>
      </c>
      <c r="AC1104">
        <v>3</v>
      </c>
      <c r="AD1104" t="s">
        <v>81</v>
      </c>
      <c r="AE1104">
        <v>1</v>
      </c>
      <c r="AF1104" t="str" cm="1">
        <f t="array" ref="AF1104">_xlfn.IFS(AE1104&gt;=10,"Veteran (10y+)",AE1104&gt;=3,"Established (3-10y)",AE1104&lt;3,"New Hire (&lt;3y)")</f>
        <v>New Hire (&lt;3y)</v>
      </c>
      <c r="AG1104">
        <v>0</v>
      </c>
      <c r="AH1104">
        <v>0</v>
      </c>
      <c r="AI1104">
        <v>0</v>
      </c>
    </row>
    <row r="1105" spans="1:35">
      <c r="A1105">
        <v>43</v>
      </c>
      <c r="B1105" t="str">
        <f t="shared" si="17"/>
        <v>Middle Aged</v>
      </c>
      <c r="C1105">
        <v>0</v>
      </c>
      <c r="D1105" t="s">
        <v>44</v>
      </c>
      <c r="E1105">
        <v>1001</v>
      </c>
      <c r="F1105" t="s">
        <v>45</v>
      </c>
      <c r="G1105">
        <v>9</v>
      </c>
      <c r="H1105" t="str" cm="1">
        <f t="array" ref="H1105">_xlfn.IFS(G1105&gt;15,"Long Commute",G1105&gt;5,"Moderate",G1105&lt;=5,"Near Office")</f>
        <v>Moderate</v>
      </c>
      <c r="I1105" t="s">
        <v>84</v>
      </c>
      <c r="J1105" t="s">
        <v>51</v>
      </c>
      <c r="K1105">
        <v>4</v>
      </c>
      <c r="L1105" t="s">
        <v>46</v>
      </c>
      <c r="M1105">
        <v>72</v>
      </c>
      <c r="N1105">
        <v>3</v>
      </c>
      <c r="O1105">
        <v>2</v>
      </c>
      <c r="P1105" t="s">
        <v>50</v>
      </c>
      <c r="Q1105" t="s">
        <v>73</v>
      </c>
      <c r="R1105" t="s">
        <v>52</v>
      </c>
      <c r="S1105">
        <v>5679</v>
      </c>
      <c r="T1105" t="str" cm="1">
        <f t="array" ref="T1105">_xlfn.IFS(S1105&gt;=10000,"High (&gt;10k)",S1105&gt;=5000,"Medium (5k-10k)",S1105&lt;5000,"Low (&lt;5k)")</f>
        <v>Medium (5k-10k)</v>
      </c>
      <c r="U1105">
        <v>19627</v>
      </c>
      <c r="V1105">
        <v>3</v>
      </c>
      <c r="W1105" t="s">
        <v>35</v>
      </c>
      <c r="X1105">
        <v>13</v>
      </c>
      <c r="Y1105">
        <v>3</v>
      </c>
      <c r="Z1105">
        <v>2</v>
      </c>
      <c r="AA1105">
        <v>1</v>
      </c>
      <c r="AB1105">
        <v>10</v>
      </c>
      <c r="AC1105">
        <v>3</v>
      </c>
      <c r="AD1105" t="s">
        <v>74</v>
      </c>
      <c r="AE1105">
        <v>8</v>
      </c>
      <c r="AF1105" t="str" cm="1">
        <f t="array" ref="AF1105">_xlfn.IFS(AE1105&gt;=10,"Veteran (10y+)",AE1105&gt;=3,"Established (3-10y)",AE1105&lt;3,"New Hire (&lt;3y)")</f>
        <v>Established (3-10y)</v>
      </c>
      <c r="AG1105">
        <v>7</v>
      </c>
      <c r="AH1105">
        <v>4</v>
      </c>
      <c r="AI1105">
        <v>7</v>
      </c>
    </row>
    <row r="1106" spans="1:35">
      <c r="A1106">
        <v>43</v>
      </c>
      <c r="B1106" t="str">
        <f t="shared" si="17"/>
        <v>Middle Aged</v>
      </c>
      <c r="C1106">
        <v>0</v>
      </c>
      <c r="D1106" t="s">
        <v>44</v>
      </c>
      <c r="E1106">
        <v>775</v>
      </c>
      <c r="F1106" t="s">
        <v>37</v>
      </c>
      <c r="G1106">
        <v>15</v>
      </c>
      <c r="H1106" t="str" cm="1">
        <f t="array" ref="H1106">_xlfn.IFS(G1106&gt;15,"Long Commute",G1106&gt;5,"Moderate",G1106&lt;=5,"Near Office")</f>
        <v>Moderate</v>
      </c>
      <c r="I1106" t="s">
        <v>72</v>
      </c>
      <c r="J1106" t="s">
        <v>38</v>
      </c>
      <c r="K1106">
        <v>4</v>
      </c>
      <c r="L1106" t="s">
        <v>46</v>
      </c>
      <c r="M1106">
        <v>47</v>
      </c>
      <c r="N1106">
        <v>2</v>
      </c>
      <c r="O1106">
        <v>2</v>
      </c>
      <c r="P1106" t="s">
        <v>40</v>
      </c>
      <c r="Q1106" t="s">
        <v>77</v>
      </c>
      <c r="R1106" t="s">
        <v>48</v>
      </c>
      <c r="S1106">
        <v>6804</v>
      </c>
      <c r="T1106" t="str" cm="1">
        <f t="array" ref="T1106">_xlfn.IFS(S1106&gt;=10000,"High (&gt;10k)",S1106&gt;=5000,"Medium (5k-10k)",S1106&lt;5000,"Low (&lt;5k)")</f>
        <v>Medium (5k-10k)</v>
      </c>
      <c r="U1106">
        <v>23683</v>
      </c>
      <c r="V1106">
        <v>3</v>
      </c>
      <c r="W1106" t="s">
        <v>43</v>
      </c>
      <c r="X1106">
        <v>18</v>
      </c>
      <c r="Y1106">
        <v>3</v>
      </c>
      <c r="Z1106">
        <v>3</v>
      </c>
      <c r="AA1106">
        <v>1</v>
      </c>
      <c r="AB1106">
        <v>7</v>
      </c>
      <c r="AC1106">
        <v>5</v>
      </c>
      <c r="AD1106" t="s">
        <v>74</v>
      </c>
      <c r="AE1106">
        <v>2</v>
      </c>
      <c r="AF1106" t="str" cm="1">
        <f t="array" ref="AF1106">_xlfn.IFS(AE1106&gt;=10,"Veteran (10y+)",AE1106&gt;=3,"Established (3-10y)",AE1106&lt;3,"New Hire (&lt;3y)")</f>
        <v>New Hire (&lt;3y)</v>
      </c>
      <c r="AG1106">
        <v>2</v>
      </c>
      <c r="AH1106">
        <v>2</v>
      </c>
      <c r="AI1106">
        <v>2</v>
      </c>
    </row>
    <row r="1107" spans="1:35">
      <c r="A1107">
        <v>43</v>
      </c>
      <c r="B1107" t="str">
        <f t="shared" si="17"/>
        <v>Middle Aged</v>
      </c>
      <c r="C1107">
        <v>0</v>
      </c>
      <c r="D1107" t="s">
        <v>36</v>
      </c>
      <c r="E1107">
        <v>589</v>
      </c>
      <c r="F1107" t="s">
        <v>45</v>
      </c>
      <c r="G1107">
        <v>14</v>
      </c>
      <c r="H1107" t="str" cm="1">
        <f t="array" ref="H1107">_xlfn.IFS(G1107&gt;15,"Long Commute",G1107&gt;5,"Moderate",G1107&lt;=5,"Near Office")</f>
        <v>Moderate</v>
      </c>
      <c r="I1107" t="s">
        <v>76</v>
      </c>
      <c r="J1107" t="s">
        <v>38</v>
      </c>
      <c r="K1107">
        <v>2</v>
      </c>
      <c r="L1107" t="s">
        <v>46</v>
      </c>
      <c r="M1107">
        <v>94</v>
      </c>
      <c r="N1107">
        <v>3</v>
      </c>
      <c r="O1107">
        <v>4</v>
      </c>
      <c r="P1107" t="s">
        <v>58</v>
      </c>
      <c r="Q1107" t="s">
        <v>82</v>
      </c>
      <c r="R1107" t="s">
        <v>48</v>
      </c>
      <c r="S1107">
        <v>17159</v>
      </c>
      <c r="T1107" t="str" cm="1">
        <f t="array" ref="T1107">_xlfn.IFS(S1107&gt;=10000,"High (&gt;10k)",S1107&gt;=5000,"Medium (5k-10k)",S1107&lt;5000,"Low (&lt;5k)")</f>
        <v>High (&gt;10k)</v>
      </c>
      <c r="U1107">
        <v>5200</v>
      </c>
      <c r="V1107">
        <v>6</v>
      </c>
      <c r="W1107" t="s">
        <v>43</v>
      </c>
      <c r="X1107">
        <v>24</v>
      </c>
      <c r="Y1107">
        <v>4</v>
      </c>
      <c r="Z1107">
        <v>3</v>
      </c>
      <c r="AA1107">
        <v>1</v>
      </c>
      <c r="AB1107">
        <v>22</v>
      </c>
      <c r="AC1107">
        <v>3</v>
      </c>
      <c r="AD1107" t="s">
        <v>74</v>
      </c>
      <c r="AE1107">
        <v>4</v>
      </c>
      <c r="AF1107" t="str" cm="1">
        <f t="array" ref="AF1107">_xlfn.IFS(AE1107&gt;=10,"Veteran (10y+)",AE1107&gt;=3,"Established (3-10y)",AE1107&lt;3,"New Hire (&lt;3y)")</f>
        <v>Established (3-10y)</v>
      </c>
      <c r="AG1107">
        <v>1</v>
      </c>
      <c r="AH1107">
        <v>1</v>
      </c>
      <c r="AI1107">
        <v>0</v>
      </c>
    </row>
    <row r="1108" spans="1:35">
      <c r="A1108">
        <v>43</v>
      </c>
      <c r="B1108" t="str">
        <f t="shared" si="17"/>
        <v>Middle Aged</v>
      </c>
      <c r="C1108">
        <v>0</v>
      </c>
      <c r="D1108" t="s">
        <v>44</v>
      </c>
      <c r="E1108">
        <v>422</v>
      </c>
      <c r="F1108" t="s">
        <v>45</v>
      </c>
      <c r="G1108">
        <v>1</v>
      </c>
      <c r="H1108" t="str" cm="1">
        <f t="array" ref="H1108">_xlfn.IFS(G1108&gt;15,"Long Commute",G1108&gt;5,"Moderate",G1108&lt;=5,"Near Office")</f>
        <v>Near Office</v>
      </c>
      <c r="I1108" t="s">
        <v>72</v>
      </c>
      <c r="J1108" t="s">
        <v>38</v>
      </c>
      <c r="K1108">
        <v>4</v>
      </c>
      <c r="L1108" t="s">
        <v>39</v>
      </c>
      <c r="M1108">
        <v>33</v>
      </c>
      <c r="N1108">
        <v>3</v>
      </c>
      <c r="O1108">
        <v>2</v>
      </c>
      <c r="P1108" t="s">
        <v>54</v>
      </c>
      <c r="Q1108" t="s">
        <v>77</v>
      </c>
      <c r="R1108" t="s">
        <v>48</v>
      </c>
      <c r="S1108">
        <v>5562</v>
      </c>
      <c r="T1108" t="str" cm="1">
        <f t="array" ref="T1108">_xlfn.IFS(S1108&gt;=10000,"High (&gt;10k)",S1108&gt;=5000,"Medium (5k-10k)",S1108&lt;5000,"Low (&lt;5k)")</f>
        <v>Medium (5k-10k)</v>
      </c>
      <c r="U1108">
        <v>21782</v>
      </c>
      <c r="V1108">
        <v>4</v>
      </c>
      <c r="W1108" t="s">
        <v>43</v>
      </c>
      <c r="X1108">
        <v>13</v>
      </c>
      <c r="Y1108">
        <v>3</v>
      </c>
      <c r="Z1108">
        <v>2</v>
      </c>
      <c r="AA1108">
        <v>1</v>
      </c>
      <c r="AB1108">
        <v>12</v>
      </c>
      <c r="AC1108">
        <v>2</v>
      </c>
      <c r="AD1108" t="s">
        <v>81</v>
      </c>
      <c r="AE1108">
        <v>5</v>
      </c>
      <c r="AF1108" t="str" cm="1">
        <f t="array" ref="AF1108">_xlfn.IFS(AE1108&gt;=10,"Veteran (10y+)",AE1108&gt;=3,"Established (3-10y)",AE1108&lt;3,"New Hire (&lt;3y)")</f>
        <v>Established (3-10y)</v>
      </c>
      <c r="AG1108">
        <v>2</v>
      </c>
      <c r="AH1108">
        <v>2</v>
      </c>
      <c r="AI1108">
        <v>2</v>
      </c>
    </row>
    <row r="1109" spans="1:35">
      <c r="A1109">
        <v>43</v>
      </c>
      <c r="B1109" t="str">
        <f t="shared" si="17"/>
        <v>Middle Aged</v>
      </c>
      <c r="C1109">
        <v>0</v>
      </c>
      <c r="D1109" t="s">
        <v>36</v>
      </c>
      <c r="E1109">
        <v>177</v>
      </c>
      <c r="F1109" t="s">
        <v>45</v>
      </c>
      <c r="G1109">
        <v>8</v>
      </c>
      <c r="H1109" t="str" cm="1">
        <f t="array" ref="H1109">_xlfn.IFS(G1109&gt;15,"Long Commute",G1109&gt;5,"Moderate",G1109&lt;=5,"Near Office")</f>
        <v>Moderate</v>
      </c>
      <c r="I1109" t="s">
        <v>72</v>
      </c>
      <c r="J1109" t="s">
        <v>38</v>
      </c>
      <c r="K1109">
        <v>1</v>
      </c>
      <c r="L1109" t="s">
        <v>39</v>
      </c>
      <c r="M1109">
        <v>55</v>
      </c>
      <c r="N1109">
        <v>3</v>
      </c>
      <c r="O1109">
        <v>2</v>
      </c>
      <c r="P1109" t="s">
        <v>53</v>
      </c>
      <c r="Q1109" t="s">
        <v>75</v>
      </c>
      <c r="R1109" t="s">
        <v>52</v>
      </c>
      <c r="S1109">
        <v>4765</v>
      </c>
      <c r="T1109" t="str" cm="1">
        <f t="array" ref="T1109">_xlfn.IFS(S1109&gt;=10000,"High (&gt;10k)",S1109&gt;=5000,"Medium (5k-10k)",S1109&lt;5000,"Low (&lt;5k)")</f>
        <v>Low (&lt;5k)</v>
      </c>
      <c r="U1109">
        <v>23814</v>
      </c>
      <c r="V1109">
        <v>4</v>
      </c>
      <c r="W1109" t="s">
        <v>43</v>
      </c>
      <c r="X1109">
        <v>21</v>
      </c>
      <c r="Y1109">
        <v>4</v>
      </c>
      <c r="Z1109">
        <v>3</v>
      </c>
      <c r="AA1109">
        <v>1</v>
      </c>
      <c r="AB1109">
        <v>4</v>
      </c>
      <c r="AC1109">
        <v>2</v>
      </c>
      <c r="AD1109" t="s">
        <v>79</v>
      </c>
      <c r="AE1109">
        <v>1</v>
      </c>
      <c r="AF1109" t="str" cm="1">
        <f t="array" ref="AF1109">_xlfn.IFS(AE1109&gt;=10,"Veteran (10y+)",AE1109&gt;=3,"Established (3-10y)",AE1109&lt;3,"New Hire (&lt;3y)")</f>
        <v>New Hire (&lt;3y)</v>
      </c>
      <c r="AG1109">
        <v>0</v>
      </c>
      <c r="AH1109">
        <v>0</v>
      </c>
      <c r="AI1109">
        <v>0</v>
      </c>
    </row>
    <row r="1110" spans="1:35">
      <c r="A1110">
        <v>43</v>
      </c>
      <c r="B1110" t="str">
        <f t="shared" si="17"/>
        <v>Middle Aged</v>
      </c>
      <c r="C1110">
        <v>0</v>
      </c>
      <c r="D1110" t="s">
        <v>36</v>
      </c>
      <c r="E1110">
        <v>415</v>
      </c>
      <c r="F1110" t="s">
        <v>37</v>
      </c>
      <c r="G1110">
        <v>25</v>
      </c>
      <c r="H1110" t="str" cm="1">
        <f t="array" ref="H1110">_xlfn.IFS(G1110&gt;15,"Long Commute",G1110&gt;5,"Moderate",G1110&lt;=5,"Near Office")</f>
        <v>Long Commute</v>
      </c>
      <c r="I1110" t="s">
        <v>72</v>
      </c>
      <c r="J1110" t="s">
        <v>51</v>
      </c>
      <c r="K1110">
        <v>3</v>
      </c>
      <c r="L1110" t="s">
        <v>46</v>
      </c>
      <c r="M1110">
        <v>79</v>
      </c>
      <c r="N1110">
        <v>2</v>
      </c>
      <c r="O1110">
        <v>3</v>
      </c>
      <c r="P1110" t="s">
        <v>40</v>
      </c>
      <c r="Q1110" t="s">
        <v>77</v>
      </c>
      <c r="R1110" t="s">
        <v>52</v>
      </c>
      <c r="S1110">
        <v>10798</v>
      </c>
      <c r="T1110" t="str" cm="1">
        <f t="array" ref="T1110">_xlfn.IFS(S1110&gt;=10000,"High (&gt;10k)",S1110&gt;=5000,"Medium (5k-10k)",S1110&lt;5000,"Low (&lt;5k)")</f>
        <v>High (&gt;10k)</v>
      </c>
      <c r="U1110">
        <v>5268</v>
      </c>
      <c r="V1110">
        <v>5</v>
      </c>
      <c r="W1110" t="s">
        <v>43</v>
      </c>
      <c r="X1110">
        <v>13</v>
      </c>
      <c r="Y1110">
        <v>3</v>
      </c>
      <c r="Z1110">
        <v>3</v>
      </c>
      <c r="AA1110">
        <v>1</v>
      </c>
      <c r="AB1110">
        <v>18</v>
      </c>
      <c r="AC1110">
        <v>5</v>
      </c>
      <c r="AD1110" t="s">
        <v>74</v>
      </c>
      <c r="AE1110">
        <v>1</v>
      </c>
      <c r="AF1110" t="str" cm="1">
        <f t="array" ref="AF1110">_xlfn.IFS(AE1110&gt;=10,"Veteran (10y+)",AE1110&gt;=3,"Established (3-10y)",AE1110&lt;3,"New Hire (&lt;3y)")</f>
        <v>New Hire (&lt;3y)</v>
      </c>
      <c r="AG1110">
        <v>0</v>
      </c>
      <c r="AH1110">
        <v>0</v>
      </c>
      <c r="AI1110">
        <v>0</v>
      </c>
    </row>
    <row r="1111" spans="1:35">
      <c r="A1111">
        <v>43</v>
      </c>
      <c r="B1111" t="str">
        <f t="shared" si="17"/>
        <v>Middle Aged</v>
      </c>
      <c r="C1111">
        <v>0</v>
      </c>
      <c r="D1111" t="s">
        <v>44</v>
      </c>
      <c r="E1111">
        <v>1082</v>
      </c>
      <c r="F1111" t="s">
        <v>45</v>
      </c>
      <c r="G1111">
        <v>27</v>
      </c>
      <c r="H1111" t="str" cm="1">
        <f t="array" ref="H1111">_xlfn.IFS(G1111&gt;15,"Long Commute",G1111&gt;5,"Moderate",G1111&lt;=5,"Near Office")</f>
        <v>Long Commute</v>
      </c>
      <c r="I1111" t="s">
        <v>72</v>
      </c>
      <c r="J1111" t="s">
        <v>38</v>
      </c>
      <c r="K1111">
        <v>3</v>
      </c>
      <c r="L1111" t="s">
        <v>39</v>
      </c>
      <c r="M1111">
        <v>83</v>
      </c>
      <c r="N1111">
        <v>3</v>
      </c>
      <c r="O1111">
        <v>3</v>
      </c>
      <c r="P1111" t="s">
        <v>53</v>
      </c>
      <c r="Q1111" t="s">
        <v>82</v>
      </c>
      <c r="R1111" t="s">
        <v>48</v>
      </c>
      <c r="S1111">
        <v>10820</v>
      </c>
      <c r="T1111" t="str" cm="1">
        <f t="array" ref="T1111">_xlfn.IFS(S1111&gt;=10000,"High (&gt;10k)",S1111&gt;=5000,"Medium (5k-10k)",S1111&lt;5000,"Low (&lt;5k)")</f>
        <v>High (&gt;10k)</v>
      </c>
      <c r="U1111">
        <v>11535</v>
      </c>
      <c r="V1111">
        <v>8</v>
      </c>
      <c r="W1111" t="s">
        <v>43</v>
      </c>
      <c r="X1111">
        <v>11</v>
      </c>
      <c r="Y1111">
        <v>3</v>
      </c>
      <c r="Z1111">
        <v>3</v>
      </c>
      <c r="AA1111">
        <v>1</v>
      </c>
      <c r="AB1111">
        <v>18</v>
      </c>
      <c r="AC1111">
        <v>1</v>
      </c>
      <c r="AD1111" t="s">
        <v>74</v>
      </c>
      <c r="AE1111">
        <v>8</v>
      </c>
      <c r="AF1111" t="str" cm="1">
        <f t="array" ref="AF1111">_xlfn.IFS(AE1111&gt;=10,"Veteran (10y+)",AE1111&gt;=3,"Established (3-10y)",AE1111&lt;3,"New Hire (&lt;3y)")</f>
        <v>Established (3-10y)</v>
      </c>
      <c r="AG1111">
        <v>7</v>
      </c>
      <c r="AH1111">
        <v>0</v>
      </c>
      <c r="AI1111">
        <v>1</v>
      </c>
    </row>
    <row r="1112" spans="1:35">
      <c r="A1112">
        <v>43</v>
      </c>
      <c r="B1112" t="str">
        <f t="shared" si="17"/>
        <v>Middle Aged</v>
      </c>
      <c r="C1112">
        <v>1</v>
      </c>
      <c r="D1112" t="s">
        <v>36</v>
      </c>
      <c r="E1112">
        <v>1372</v>
      </c>
      <c r="F1112" t="s">
        <v>37</v>
      </c>
      <c r="G1112">
        <v>9</v>
      </c>
      <c r="H1112" t="str" cm="1">
        <f t="array" ref="H1112">_xlfn.IFS(G1112&gt;15,"Long Commute",G1112&gt;5,"Moderate",G1112&lt;=5,"Near Office")</f>
        <v>Moderate</v>
      </c>
      <c r="I1112" t="s">
        <v>72</v>
      </c>
      <c r="J1112" t="s">
        <v>59</v>
      </c>
      <c r="K1112">
        <v>1</v>
      </c>
      <c r="L1112" t="s">
        <v>39</v>
      </c>
      <c r="M1112">
        <v>85</v>
      </c>
      <c r="N1112">
        <v>1</v>
      </c>
      <c r="O1112">
        <v>2</v>
      </c>
      <c r="P1112" t="s">
        <v>40</v>
      </c>
      <c r="Q1112" t="s">
        <v>73</v>
      </c>
      <c r="R1112" t="s">
        <v>41</v>
      </c>
      <c r="S1112">
        <v>5346</v>
      </c>
      <c r="T1112" t="str" cm="1">
        <f t="array" ref="T1112">_xlfn.IFS(S1112&gt;=10000,"High (&gt;10k)",S1112&gt;=5000,"Medium (5k-10k)",S1112&lt;5000,"Low (&lt;5k)")</f>
        <v>Medium (5k-10k)</v>
      </c>
      <c r="U1112">
        <v>9489</v>
      </c>
      <c r="V1112">
        <v>8</v>
      </c>
      <c r="W1112" t="s">
        <v>43</v>
      </c>
      <c r="X1112">
        <v>13</v>
      </c>
      <c r="Y1112">
        <v>3</v>
      </c>
      <c r="Z1112">
        <v>2</v>
      </c>
      <c r="AA1112">
        <v>0</v>
      </c>
      <c r="AB1112">
        <v>7</v>
      </c>
      <c r="AC1112">
        <v>2</v>
      </c>
      <c r="AD1112" t="s">
        <v>81</v>
      </c>
      <c r="AE1112">
        <v>4</v>
      </c>
      <c r="AF1112" t="str" cm="1">
        <f t="array" ref="AF1112">_xlfn.IFS(AE1112&gt;=10,"Veteran (10y+)",AE1112&gt;=3,"Established (3-10y)",AE1112&lt;3,"New Hire (&lt;3y)")</f>
        <v>Established (3-10y)</v>
      </c>
      <c r="AG1112">
        <v>3</v>
      </c>
      <c r="AH1112">
        <v>1</v>
      </c>
      <c r="AI1112">
        <v>3</v>
      </c>
    </row>
    <row r="1113" spans="1:35">
      <c r="A1113">
        <v>43</v>
      </c>
      <c r="B1113" t="str">
        <f t="shared" si="17"/>
        <v>Middle Aged</v>
      </c>
      <c r="C1113">
        <v>0</v>
      </c>
      <c r="D1113" t="s">
        <v>36</v>
      </c>
      <c r="E1113">
        <v>920</v>
      </c>
      <c r="F1113" t="s">
        <v>45</v>
      </c>
      <c r="G1113">
        <v>3</v>
      </c>
      <c r="H1113" t="str" cm="1">
        <f t="array" ref="H1113">_xlfn.IFS(G1113&gt;15,"Long Commute",G1113&gt;5,"Moderate",G1113&lt;=5,"Near Office")</f>
        <v>Near Office</v>
      </c>
      <c r="I1113" t="s">
        <v>72</v>
      </c>
      <c r="J1113" t="s">
        <v>38</v>
      </c>
      <c r="K1113">
        <v>3</v>
      </c>
      <c r="L1113" t="s">
        <v>46</v>
      </c>
      <c r="M1113">
        <v>96</v>
      </c>
      <c r="N1113">
        <v>1</v>
      </c>
      <c r="O1113">
        <v>5</v>
      </c>
      <c r="P1113" t="s">
        <v>58</v>
      </c>
      <c r="Q1113" t="s">
        <v>77</v>
      </c>
      <c r="R1113" t="s">
        <v>48</v>
      </c>
      <c r="S1113">
        <v>19740</v>
      </c>
      <c r="T1113" t="str" cm="1">
        <f t="array" ref="T1113">_xlfn.IFS(S1113&gt;=10000,"High (&gt;10k)",S1113&gt;=5000,"Medium (5k-10k)",S1113&lt;5000,"Low (&lt;5k)")</f>
        <v>High (&gt;10k)</v>
      </c>
      <c r="U1113">
        <v>18625</v>
      </c>
      <c r="V1113">
        <v>3</v>
      </c>
      <c r="W1113" t="s">
        <v>43</v>
      </c>
      <c r="X1113">
        <v>14</v>
      </c>
      <c r="Y1113">
        <v>3</v>
      </c>
      <c r="Z1113">
        <v>2</v>
      </c>
      <c r="AA1113">
        <v>1</v>
      </c>
      <c r="AB1113">
        <v>25</v>
      </c>
      <c r="AC1113">
        <v>2</v>
      </c>
      <c r="AD1113" t="s">
        <v>74</v>
      </c>
      <c r="AE1113">
        <v>8</v>
      </c>
      <c r="AF1113" t="str" cm="1">
        <f t="array" ref="AF1113">_xlfn.IFS(AE1113&gt;=10,"Veteran (10y+)",AE1113&gt;=3,"Established (3-10y)",AE1113&lt;3,"New Hire (&lt;3y)")</f>
        <v>Established (3-10y)</v>
      </c>
      <c r="AG1113">
        <v>7</v>
      </c>
      <c r="AH1113">
        <v>0</v>
      </c>
      <c r="AI1113">
        <v>7</v>
      </c>
    </row>
    <row r="1114" spans="1:35">
      <c r="A1114">
        <v>43</v>
      </c>
      <c r="B1114" t="str">
        <f t="shared" si="17"/>
        <v>Middle Aged</v>
      </c>
      <c r="C1114">
        <v>0</v>
      </c>
      <c r="D1114" t="s">
        <v>36</v>
      </c>
      <c r="E1114">
        <v>531</v>
      </c>
      <c r="F1114" t="s">
        <v>37</v>
      </c>
      <c r="G1114">
        <v>4</v>
      </c>
      <c r="H1114" t="str" cm="1">
        <f t="array" ref="H1114">_xlfn.IFS(G1114&gt;15,"Long Commute",G1114&gt;5,"Moderate",G1114&lt;=5,"Near Office")</f>
        <v>Near Office</v>
      </c>
      <c r="I1114" t="s">
        <v>83</v>
      </c>
      <c r="J1114" t="s">
        <v>59</v>
      </c>
      <c r="K1114">
        <v>4</v>
      </c>
      <c r="L1114" t="s">
        <v>39</v>
      </c>
      <c r="M1114">
        <v>56</v>
      </c>
      <c r="N1114">
        <v>2</v>
      </c>
      <c r="O1114">
        <v>3</v>
      </c>
      <c r="P1114" t="s">
        <v>40</v>
      </c>
      <c r="Q1114" t="s">
        <v>77</v>
      </c>
      <c r="R1114" t="s">
        <v>41</v>
      </c>
      <c r="S1114">
        <v>10231</v>
      </c>
      <c r="T1114" t="str" cm="1">
        <f t="array" ref="T1114">_xlfn.IFS(S1114&gt;=10000,"High (&gt;10k)",S1114&gt;=5000,"Medium (5k-10k)",S1114&lt;5000,"Low (&lt;5k)")</f>
        <v>High (&gt;10k)</v>
      </c>
      <c r="U1114">
        <v>20364</v>
      </c>
      <c r="V1114">
        <v>3</v>
      </c>
      <c r="W1114" t="s">
        <v>43</v>
      </c>
      <c r="X1114">
        <v>14</v>
      </c>
      <c r="Y1114">
        <v>3</v>
      </c>
      <c r="Z1114">
        <v>4</v>
      </c>
      <c r="AA1114">
        <v>0</v>
      </c>
      <c r="AB1114">
        <v>23</v>
      </c>
      <c r="AC1114">
        <v>3</v>
      </c>
      <c r="AD1114" t="s">
        <v>79</v>
      </c>
      <c r="AE1114">
        <v>21</v>
      </c>
      <c r="AF1114" t="str" cm="1">
        <f t="array" ref="AF1114">_xlfn.IFS(AE1114&gt;=10,"Veteran (10y+)",AE1114&gt;=3,"Established (3-10y)",AE1114&lt;3,"New Hire (&lt;3y)")</f>
        <v>Veteran (10y+)</v>
      </c>
      <c r="AG1114">
        <v>7</v>
      </c>
      <c r="AH1114">
        <v>15</v>
      </c>
      <c r="AI1114">
        <v>17</v>
      </c>
    </row>
    <row r="1115" spans="1:35">
      <c r="A1115">
        <v>43</v>
      </c>
      <c r="B1115" t="str">
        <f t="shared" si="17"/>
        <v>Middle Aged</v>
      </c>
      <c r="C1115">
        <v>0</v>
      </c>
      <c r="D1115" t="s">
        <v>36</v>
      </c>
      <c r="E1115">
        <v>930</v>
      </c>
      <c r="F1115" t="s">
        <v>45</v>
      </c>
      <c r="G1115">
        <v>6</v>
      </c>
      <c r="H1115" t="str" cm="1">
        <f t="array" ref="H1115">_xlfn.IFS(G1115&gt;15,"Long Commute",G1115&gt;5,"Moderate",G1115&lt;=5,"Near Office")</f>
        <v>Moderate</v>
      </c>
      <c r="I1115" t="s">
        <v>72</v>
      </c>
      <c r="J1115" t="s">
        <v>51</v>
      </c>
      <c r="K1115">
        <v>1</v>
      </c>
      <c r="L1115" t="s">
        <v>39</v>
      </c>
      <c r="M1115">
        <v>73</v>
      </c>
      <c r="N1115">
        <v>2</v>
      </c>
      <c r="O1115">
        <v>2</v>
      </c>
      <c r="P1115" t="s">
        <v>47</v>
      </c>
      <c r="Q1115" t="s">
        <v>73</v>
      </c>
      <c r="R1115" t="s">
        <v>41</v>
      </c>
      <c r="S1115">
        <v>4081</v>
      </c>
      <c r="T1115" t="str" cm="1">
        <f t="array" ref="T1115">_xlfn.IFS(S1115&gt;=10000,"High (&gt;10k)",S1115&gt;=5000,"Medium (5k-10k)",S1115&lt;5000,"Low (&lt;5k)")</f>
        <v>Low (&lt;5k)</v>
      </c>
      <c r="U1115">
        <v>20003</v>
      </c>
      <c r="V1115">
        <v>1</v>
      </c>
      <c r="W1115" t="s">
        <v>35</v>
      </c>
      <c r="X1115">
        <v>14</v>
      </c>
      <c r="Y1115">
        <v>3</v>
      </c>
      <c r="Z1115">
        <v>1</v>
      </c>
      <c r="AA1115">
        <v>0</v>
      </c>
      <c r="AB1115">
        <v>20</v>
      </c>
      <c r="AC1115">
        <v>3</v>
      </c>
      <c r="AD1115" t="s">
        <v>80</v>
      </c>
      <c r="AE1115">
        <v>20</v>
      </c>
      <c r="AF1115" t="str" cm="1">
        <f t="array" ref="AF1115">_xlfn.IFS(AE1115&gt;=10,"Veteran (10y+)",AE1115&gt;=3,"Established (3-10y)",AE1115&lt;3,"New Hire (&lt;3y)")</f>
        <v>Veteran (10y+)</v>
      </c>
      <c r="AG1115">
        <v>7</v>
      </c>
      <c r="AH1115">
        <v>1</v>
      </c>
      <c r="AI1115">
        <v>8</v>
      </c>
    </row>
    <row r="1116" spans="1:35">
      <c r="A1116">
        <v>43</v>
      </c>
      <c r="B1116" t="str">
        <f t="shared" si="17"/>
        <v>Middle Aged</v>
      </c>
      <c r="C1116">
        <v>0</v>
      </c>
      <c r="D1116" t="s">
        <v>36</v>
      </c>
      <c r="E1116">
        <v>990</v>
      </c>
      <c r="F1116" t="s">
        <v>45</v>
      </c>
      <c r="G1116">
        <v>27</v>
      </c>
      <c r="H1116" t="str" cm="1">
        <f t="array" ref="H1116">_xlfn.IFS(G1116&gt;15,"Long Commute",G1116&gt;5,"Moderate",G1116&lt;=5,"Near Office")</f>
        <v>Long Commute</v>
      </c>
      <c r="I1116" t="s">
        <v>72</v>
      </c>
      <c r="J1116" t="s">
        <v>60</v>
      </c>
      <c r="K1116">
        <v>4</v>
      </c>
      <c r="L1116" t="s">
        <v>46</v>
      </c>
      <c r="M1116">
        <v>87</v>
      </c>
      <c r="N1116">
        <v>4</v>
      </c>
      <c r="O1116">
        <v>1</v>
      </c>
      <c r="P1116" t="s">
        <v>50</v>
      </c>
      <c r="Q1116" t="s">
        <v>75</v>
      </c>
      <c r="R1116" t="s">
        <v>52</v>
      </c>
      <c r="S1116">
        <v>4876</v>
      </c>
      <c r="T1116" t="str" cm="1">
        <f t="array" ref="T1116">_xlfn.IFS(S1116&gt;=10000,"High (&gt;10k)",S1116&gt;=5000,"Medium (5k-10k)",S1116&lt;5000,"Low (&lt;5k)")</f>
        <v>Low (&lt;5k)</v>
      </c>
      <c r="U1116">
        <v>5855</v>
      </c>
      <c r="V1116">
        <v>5</v>
      </c>
      <c r="W1116" t="s">
        <v>43</v>
      </c>
      <c r="X1116">
        <v>12</v>
      </c>
      <c r="Y1116">
        <v>3</v>
      </c>
      <c r="Z1116">
        <v>3</v>
      </c>
      <c r="AA1116">
        <v>1</v>
      </c>
      <c r="AB1116">
        <v>8</v>
      </c>
      <c r="AC1116">
        <v>0</v>
      </c>
      <c r="AD1116" t="s">
        <v>74</v>
      </c>
      <c r="AE1116">
        <v>6</v>
      </c>
      <c r="AF1116" t="str" cm="1">
        <f t="array" ref="AF1116">_xlfn.IFS(AE1116&gt;=10,"Veteran (10y+)",AE1116&gt;=3,"Established (3-10y)",AE1116&lt;3,"New Hire (&lt;3y)")</f>
        <v>Established (3-10y)</v>
      </c>
      <c r="AG1116">
        <v>4</v>
      </c>
      <c r="AH1116">
        <v>0</v>
      </c>
      <c r="AI1116">
        <v>2</v>
      </c>
    </row>
    <row r="1117" spans="1:35">
      <c r="A1117">
        <v>43</v>
      </c>
      <c r="B1117" t="str">
        <f t="shared" si="17"/>
        <v>Middle Aged</v>
      </c>
      <c r="C1117">
        <v>0</v>
      </c>
      <c r="D1117" t="s">
        <v>36</v>
      </c>
      <c r="E1117">
        <v>1291</v>
      </c>
      <c r="F1117" t="s">
        <v>45</v>
      </c>
      <c r="G1117">
        <v>15</v>
      </c>
      <c r="H1117" t="str" cm="1">
        <f t="array" ref="H1117">_xlfn.IFS(G1117&gt;15,"Long Commute",G1117&gt;5,"Moderate",G1117&lt;=5,"Near Office")</f>
        <v>Moderate</v>
      </c>
      <c r="I1117" t="s">
        <v>76</v>
      </c>
      <c r="J1117" t="s">
        <v>38</v>
      </c>
      <c r="K1117">
        <v>3</v>
      </c>
      <c r="L1117" t="s">
        <v>46</v>
      </c>
      <c r="M1117">
        <v>65</v>
      </c>
      <c r="N1117">
        <v>2</v>
      </c>
      <c r="O1117">
        <v>4</v>
      </c>
      <c r="P1117" t="s">
        <v>58</v>
      </c>
      <c r="Q1117" t="s">
        <v>73</v>
      </c>
      <c r="R1117" t="s">
        <v>48</v>
      </c>
      <c r="S1117">
        <v>17603</v>
      </c>
      <c r="T1117" t="str" cm="1">
        <f t="array" ref="T1117">_xlfn.IFS(S1117&gt;=10000,"High (&gt;10k)",S1117&gt;=5000,"Medium (5k-10k)",S1117&lt;5000,"Low (&lt;5k)")</f>
        <v>High (&gt;10k)</v>
      </c>
      <c r="U1117">
        <v>3525</v>
      </c>
      <c r="V1117">
        <v>1</v>
      </c>
      <c r="W1117" t="s">
        <v>43</v>
      </c>
      <c r="X1117">
        <v>24</v>
      </c>
      <c r="Y1117">
        <v>4</v>
      </c>
      <c r="Z1117">
        <v>1</v>
      </c>
      <c r="AA1117">
        <v>1</v>
      </c>
      <c r="AB1117">
        <v>14</v>
      </c>
      <c r="AC1117">
        <v>3</v>
      </c>
      <c r="AD1117" t="s">
        <v>74</v>
      </c>
      <c r="AE1117">
        <v>14</v>
      </c>
      <c r="AF1117" t="str" cm="1">
        <f t="array" ref="AF1117">_xlfn.IFS(AE1117&gt;=10,"Veteran (10y+)",AE1117&gt;=3,"Established (3-10y)",AE1117&lt;3,"New Hire (&lt;3y)")</f>
        <v>Veteran (10y+)</v>
      </c>
      <c r="AG1117">
        <v>10</v>
      </c>
      <c r="AH1117">
        <v>6</v>
      </c>
      <c r="AI1117">
        <v>11</v>
      </c>
    </row>
    <row r="1118" spans="1:35">
      <c r="A1118">
        <v>43</v>
      </c>
      <c r="B1118" t="str">
        <f t="shared" si="17"/>
        <v>Middle Aged</v>
      </c>
      <c r="C1118">
        <v>0</v>
      </c>
      <c r="D1118" t="s">
        <v>36</v>
      </c>
      <c r="E1118">
        <v>1179</v>
      </c>
      <c r="F1118" t="s">
        <v>37</v>
      </c>
      <c r="G1118">
        <v>2</v>
      </c>
      <c r="H1118" t="str" cm="1">
        <f t="array" ref="H1118">_xlfn.IFS(G1118&gt;15,"Long Commute",G1118&gt;5,"Moderate",G1118&lt;=5,"Near Office")</f>
        <v>Near Office</v>
      </c>
      <c r="I1118" t="s">
        <v>72</v>
      </c>
      <c r="J1118" t="s">
        <v>51</v>
      </c>
      <c r="K1118">
        <v>4</v>
      </c>
      <c r="L1118" t="s">
        <v>46</v>
      </c>
      <c r="M1118">
        <v>73</v>
      </c>
      <c r="N1118">
        <v>3</v>
      </c>
      <c r="O1118">
        <v>2</v>
      </c>
      <c r="P1118" t="s">
        <v>40</v>
      </c>
      <c r="Q1118" t="s">
        <v>77</v>
      </c>
      <c r="R1118" t="s">
        <v>48</v>
      </c>
      <c r="S1118">
        <v>7847</v>
      </c>
      <c r="T1118" t="str" cm="1">
        <f t="array" ref="T1118">_xlfn.IFS(S1118&gt;=10000,"High (&gt;10k)",S1118&gt;=5000,"Medium (5k-10k)",S1118&lt;5000,"Low (&lt;5k)")</f>
        <v>Medium (5k-10k)</v>
      </c>
      <c r="U1118">
        <v>6069</v>
      </c>
      <c r="V1118">
        <v>1</v>
      </c>
      <c r="W1118" t="s">
        <v>35</v>
      </c>
      <c r="X1118">
        <v>17</v>
      </c>
      <c r="Y1118">
        <v>3</v>
      </c>
      <c r="Z1118">
        <v>1</v>
      </c>
      <c r="AA1118">
        <v>1</v>
      </c>
      <c r="AB1118">
        <v>10</v>
      </c>
      <c r="AC1118">
        <v>3</v>
      </c>
      <c r="AD1118" t="s">
        <v>74</v>
      </c>
      <c r="AE1118">
        <v>10</v>
      </c>
      <c r="AF1118" t="str" cm="1">
        <f t="array" ref="AF1118">_xlfn.IFS(AE1118&gt;=10,"Veteran (10y+)",AE1118&gt;=3,"Established (3-10y)",AE1118&lt;3,"New Hire (&lt;3y)")</f>
        <v>Veteran (10y+)</v>
      </c>
      <c r="AG1118">
        <v>9</v>
      </c>
      <c r="AH1118">
        <v>8</v>
      </c>
      <c r="AI1118">
        <v>8</v>
      </c>
    </row>
    <row r="1119" spans="1:35">
      <c r="A1119">
        <v>43</v>
      </c>
      <c r="B1119" t="str">
        <f t="shared" si="17"/>
        <v>Middle Aged</v>
      </c>
      <c r="C1119">
        <v>1</v>
      </c>
      <c r="D1119" t="s">
        <v>44</v>
      </c>
      <c r="E1119">
        <v>807</v>
      </c>
      <c r="F1119" t="s">
        <v>45</v>
      </c>
      <c r="G1119">
        <v>17</v>
      </c>
      <c r="H1119" t="str" cm="1">
        <f t="array" ref="H1119">_xlfn.IFS(G1119&gt;15,"Long Commute",G1119&gt;5,"Moderate",G1119&lt;=5,"Near Office")</f>
        <v>Long Commute</v>
      </c>
      <c r="I1119" t="s">
        <v>72</v>
      </c>
      <c r="J1119" t="s">
        <v>60</v>
      </c>
      <c r="K1119">
        <v>3</v>
      </c>
      <c r="L1119" t="s">
        <v>46</v>
      </c>
      <c r="M1119">
        <v>38</v>
      </c>
      <c r="N1119">
        <v>2</v>
      </c>
      <c r="O1119">
        <v>1</v>
      </c>
      <c r="P1119" t="s">
        <v>47</v>
      </c>
      <c r="Q1119" t="s">
        <v>73</v>
      </c>
      <c r="R1119" t="s">
        <v>48</v>
      </c>
      <c r="S1119">
        <v>2437</v>
      </c>
      <c r="T1119" t="str" cm="1">
        <f t="array" ref="T1119">_xlfn.IFS(S1119&gt;=10000,"High (&gt;10k)",S1119&gt;=5000,"Medium (5k-10k)",S1119&lt;5000,"Low (&lt;5k)")</f>
        <v>Low (&lt;5k)</v>
      </c>
      <c r="U1119">
        <v>15587</v>
      </c>
      <c r="V1119">
        <v>9</v>
      </c>
      <c r="W1119" t="s">
        <v>35</v>
      </c>
      <c r="X1119">
        <v>16</v>
      </c>
      <c r="Y1119">
        <v>3</v>
      </c>
      <c r="Z1119">
        <v>4</v>
      </c>
      <c r="AA1119">
        <v>1</v>
      </c>
      <c r="AB1119">
        <v>6</v>
      </c>
      <c r="AC1119">
        <v>4</v>
      </c>
      <c r="AD1119" t="s">
        <v>74</v>
      </c>
      <c r="AE1119">
        <v>1</v>
      </c>
      <c r="AF1119" t="str" cm="1">
        <f t="array" ref="AF1119">_xlfn.IFS(AE1119&gt;=10,"Veteran (10y+)",AE1119&gt;=3,"Established (3-10y)",AE1119&lt;3,"New Hire (&lt;3y)")</f>
        <v>New Hire (&lt;3y)</v>
      </c>
      <c r="AG1119">
        <v>0</v>
      </c>
      <c r="AH1119">
        <v>0</v>
      </c>
      <c r="AI1119">
        <v>0</v>
      </c>
    </row>
    <row r="1120" spans="1:35">
      <c r="A1120">
        <v>43</v>
      </c>
      <c r="B1120" t="str">
        <f t="shared" si="17"/>
        <v>Middle Aged</v>
      </c>
      <c r="C1120">
        <v>0</v>
      </c>
      <c r="D1120" t="s">
        <v>36</v>
      </c>
      <c r="E1120">
        <v>244</v>
      </c>
      <c r="F1120" t="s">
        <v>61</v>
      </c>
      <c r="G1120">
        <v>2</v>
      </c>
      <c r="H1120" t="str" cm="1">
        <f t="array" ref="H1120">_xlfn.IFS(G1120&gt;15,"Long Commute",G1120&gt;5,"Moderate",G1120&lt;=5,"Near Office")</f>
        <v>Near Office</v>
      </c>
      <c r="I1120" t="s">
        <v>72</v>
      </c>
      <c r="J1120" t="s">
        <v>38</v>
      </c>
      <c r="K1120">
        <v>2</v>
      </c>
      <c r="L1120" t="s">
        <v>46</v>
      </c>
      <c r="M1120">
        <v>97</v>
      </c>
      <c r="N1120">
        <v>3</v>
      </c>
      <c r="O1120">
        <v>1</v>
      </c>
      <c r="P1120" t="s">
        <v>61</v>
      </c>
      <c r="Q1120" t="s">
        <v>77</v>
      </c>
      <c r="R1120" t="s">
        <v>41</v>
      </c>
      <c r="S1120">
        <v>3539</v>
      </c>
      <c r="T1120" t="str" cm="1">
        <f t="array" ref="T1120">_xlfn.IFS(S1120&gt;=10000,"High (&gt;10k)",S1120&gt;=5000,"Medium (5k-10k)",S1120&lt;5000,"Low (&lt;5k)")</f>
        <v>Low (&lt;5k)</v>
      </c>
      <c r="U1120">
        <v>5033</v>
      </c>
      <c r="V1120">
        <v>0</v>
      </c>
      <c r="W1120" t="s">
        <v>43</v>
      </c>
      <c r="X1120">
        <v>13</v>
      </c>
      <c r="Y1120">
        <v>3</v>
      </c>
      <c r="Z1120">
        <v>2</v>
      </c>
      <c r="AA1120">
        <v>0</v>
      </c>
      <c r="AB1120">
        <v>10</v>
      </c>
      <c r="AC1120">
        <v>5</v>
      </c>
      <c r="AD1120" t="s">
        <v>74</v>
      </c>
      <c r="AE1120">
        <v>9</v>
      </c>
      <c r="AF1120" t="str" cm="1">
        <f t="array" ref="AF1120">_xlfn.IFS(AE1120&gt;=10,"Veteran (10y+)",AE1120&gt;=3,"Established (3-10y)",AE1120&lt;3,"New Hire (&lt;3y)")</f>
        <v>Established (3-10y)</v>
      </c>
      <c r="AG1120">
        <v>7</v>
      </c>
      <c r="AH1120">
        <v>1</v>
      </c>
      <c r="AI1120">
        <v>8</v>
      </c>
    </row>
    <row r="1121" spans="1:35">
      <c r="A1121">
        <v>43</v>
      </c>
      <c r="B1121" t="str">
        <f t="shared" si="17"/>
        <v>Middle Aged</v>
      </c>
      <c r="C1121">
        <v>0</v>
      </c>
      <c r="D1121" t="s">
        <v>55</v>
      </c>
      <c r="E1121">
        <v>343</v>
      </c>
      <c r="F1121" t="s">
        <v>45</v>
      </c>
      <c r="G1121">
        <v>9</v>
      </c>
      <c r="H1121" t="str" cm="1">
        <f t="array" ref="H1121">_xlfn.IFS(G1121&gt;15,"Long Commute",G1121&gt;5,"Moderate",G1121&lt;=5,"Near Office")</f>
        <v>Moderate</v>
      </c>
      <c r="I1121" t="s">
        <v>72</v>
      </c>
      <c r="J1121" t="s">
        <v>38</v>
      </c>
      <c r="K1121">
        <v>1</v>
      </c>
      <c r="L1121" t="s">
        <v>46</v>
      </c>
      <c r="M1121">
        <v>52</v>
      </c>
      <c r="N1121">
        <v>3</v>
      </c>
      <c r="O1121">
        <v>1</v>
      </c>
      <c r="P1121" t="s">
        <v>47</v>
      </c>
      <c r="Q1121" t="s">
        <v>73</v>
      </c>
      <c r="R1121" t="s">
        <v>41</v>
      </c>
      <c r="S1121">
        <v>2438</v>
      </c>
      <c r="T1121" t="str" cm="1">
        <f t="array" ref="T1121">_xlfn.IFS(S1121&gt;=10000,"High (&gt;10k)",S1121&gt;=5000,"Medium (5k-10k)",S1121&lt;5000,"Low (&lt;5k)")</f>
        <v>Low (&lt;5k)</v>
      </c>
      <c r="U1121">
        <v>24978</v>
      </c>
      <c r="V1121">
        <v>4</v>
      </c>
      <c r="W1121" t="s">
        <v>43</v>
      </c>
      <c r="X1121">
        <v>13</v>
      </c>
      <c r="Y1121">
        <v>3</v>
      </c>
      <c r="Z1121">
        <v>3</v>
      </c>
      <c r="AA1121">
        <v>0</v>
      </c>
      <c r="AB1121">
        <v>7</v>
      </c>
      <c r="AC1121">
        <v>2</v>
      </c>
      <c r="AD1121" t="s">
        <v>81</v>
      </c>
      <c r="AE1121">
        <v>3</v>
      </c>
      <c r="AF1121" t="str" cm="1">
        <f t="array" ref="AF1121">_xlfn.IFS(AE1121&gt;=10,"Veteran (10y+)",AE1121&gt;=3,"Established (3-10y)",AE1121&lt;3,"New Hire (&lt;3y)")</f>
        <v>Established (3-10y)</v>
      </c>
      <c r="AG1121">
        <v>2</v>
      </c>
      <c r="AH1121">
        <v>1</v>
      </c>
      <c r="AI1121">
        <v>2</v>
      </c>
    </row>
    <row r="1122" spans="1:35">
      <c r="A1122">
        <v>43</v>
      </c>
      <c r="B1122" t="str">
        <f t="shared" si="17"/>
        <v>Middle Aged</v>
      </c>
      <c r="C1122">
        <v>0</v>
      </c>
      <c r="D1122" t="s">
        <v>44</v>
      </c>
      <c r="E1122">
        <v>1422</v>
      </c>
      <c r="F1122" t="s">
        <v>37</v>
      </c>
      <c r="G1122">
        <v>2</v>
      </c>
      <c r="H1122" t="str" cm="1">
        <f t="array" ref="H1122">_xlfn.IFS(G1122&gt;15,"Long Commute",G1122&gt;5,"Moderate",G1122&lt;=5,"Near Office")</f>
        <v>Near Office</v>
      </c>
      <c r="I1122" t="s">
        <v>83</v>
      </c>
      <c r="J1122" t="s">
        <v>38</v>
      </c>
      <c r="K1122">
        <v>1</v>
      </c>
      <c r="L1122" t="s">
        <v>46</v>
      </c>
      <c r="M1122">
        <v>92</v>
      </c>
      <c r="N1122">
        <v>3</v>
      </c>
      <c r="O1122">
        <v>2</v>
      </c>
      <c r="P1122" t="s">
        <v>40</v>
      </c>
      <c r="Q1122" t="s">
        <v>77</v>
      </c>
      <c r="R1122" t="s">
        <v>48</v>
      </c>
      <c r="S1122">
        <v>5675</v>
      </c>
      <c r="T1122" t="str" cm="1">
        <f t="array" ref="T1122">_xlfn.IFS(S1122&gt;=10000,"High (&gt;10k)",S1122&gt;=5000,"Medium (5k-10k)",S1122&lt;5000,"Low (&lt;5k)")</f>
        <v>Medium (5k-10k)</v>
      </c>
      <c r="U1122">
        <v>19246</v>
      </c>
      <c r="V1122">
        <v>1</v>
      </c>
      <c r="W1122" t="s">
        <v>43</v>
      </c>
      <c r="X1122">
        <v>20</v>
      </c>
      <c r="Y1122">
        <v>4</v>
      </c>
      <c r="Z1122">
        <v>3</v>
      </c>
      <c r="AA1122">
        <v>1</v>
      </c>
      <c r="AB1122">
        <v>7</v>
      </c>
      <c r="AC1122">
        <v>5</v>
      </c>
      <c r="AD1122" t="s">
        <v>74</v>
      </c>
      <c r="AE1122">
        <v>7</v>
      </c>
      <c r="AF1122" t="str" cm="1">
        <f t="array" ref="AF1122">_xlfn.IFS(AE1122&gt;=10,"Veteran (10y+)",AE1122&gt;=3,"Established (3-10y)",AE1122&lt;3,"New Hire (&lt;3y)")</f>
        <v>Established (3-10y)</v>
      </c>
      <c r="AG1122">
        <v>7</v>
      </c>
      <c r="AH1122">
        <v>7</v>
      </c>
      <c r="AI1122">
        <v>7</v>
      </c>
    </row>
    <row r="1123" spans="1:35">
      <c r="A1123">
        <v>43</v>
      </c>
      <c r="B1123" t="str">
        <f t="shared" si="17"/>
        <v>Middle Aged</v>
      </c>
      <c r="C1123">
        <v>0</v>
      </c>
      <c r="D1123" t="s">
        <v>36</v>
      </c>
      <c r="E1123">
        <v>823</v>
      </c>
      <c r="F1123" t="s">
        <v>45</v>
      </c>
      <c r="G1123">
        <v>6</v>
      </c>
      <c r="H1123" t="str" cm="1">
        <f t="array" ref="H1123">_xlfn.IFS(G1123&gt;15,"Long Commute",G1123&gt;5,"Moderate",G1123&lt;=5,"Near Office")</f>
        <v>Moderate</v>
      </c>
      <c r="I1123" t="s">
        <v>72</v>
      </c>
      <c r="J1123" t="s">
        <v>51</v>
      </c>
      <c r="K1123">
        <v>1</v>
      </c>
      <c r="L1123" t="s">
        <v>39</v>
      </c>
      <c r="M1123">
        <v>81</v>
      </c>
      <c r="N1123">
        <v>2</v>
      </c>
      <c r="O1123">
        <v>5</v>
      </c>
      <c r="P1123" t="s">
        <v>56</v>
      </c>
      <c r="Q1123" t="s">
        <v>73</v>
      </c>
      <c r="R1123" t="s">
        <v>48</v>
      </c>
      <c r="S1123">
        <v>19392</v>
      </c>
      <c r="T1123" t="str" cm="1">
        <f t="array" ref="T1123">_xlfn.IFS(S1123&gt;=10000,"High (&gt;10k)",S1123&gt;=5000,"Medium (5k-10k)",S1123&lt;5000,"Low (&lt;5k)")</f>
        <v>High (&gt;10k)</v>
      </c>
      <c r="U1123">
        <v>22539</v>
      </c>
      <c r="V1123">
        <v>7</v>
      </c>
      <c r="W1123" t="s">
        <v>43</v>
      </c>
      <c r="X1123">
        <v>13</v>
      </c>
      <c r="Y1123">
        <v>3</v>
      </c>
      <c r="Z1123">
        <v>4</v>
      </c>
      <c r="AA1123">
        <v>0</v>
      </c>
      <c r="AB1123">
        <v>21</v>
      </c>
      <c r="AC1123">
        <v>2</v>
      </c>
      <c r="AD1123" t="s">
        <v>74</v>
      </c>
      <c r="AE1123">
        <v>16</v>
      </c>
      <c r="AF1123" t="str" cm="1">
        <f t="array" ref="AF1123">_xlfn.IFS(AE1123&gt;=10,"Veteran (10y+)",AE1123&gt;=3,"Established (3-10y)",AE1123&lt;3,"New Hire (&lt;3y)")</f>
        <v>Veteran (10y+)</v>
      </c>
      <c r="AG1123">
        <v>12</v>
      </c>
      <c r="AH1123">
        <v>6</v>
      </c>
      <c r="AI1123">
        <v>14</v>
      </c>
    </row>
    <row r="1124" spans="1:35">
      <c r="A1124">
        <v>43</v>
      </c>
      <c r="B1124" t="str">
        <f t="shared" si="17"/>
        <v>Middle Aged</v>
      </c>
      <c r="C1124">
        <v>0</v>
      </c>
      <c r="D1124" t="s">
        <v>36</v>
      </c>
      <c r="E1124">
        <v>574</v>
      </c>
      <c r="F1124" t="s">
        <v>45</v>
      </c>
      <c r="G1124">
        <v>11</v>
      </c>
      <c r="H1124" t="str" cm="1">
        <f t="array" ref="H1124">_xlfn.IFS(G1124&gt;15,"Long Commute",G1124&gt;5,"Moderate",G1124&lt;=5,"Near Office")</f>
        <v>Moderate</v>
      </c>
      <c r="I1124" t="s">
        <v>72</v>
      </c>
      <c r="J1124" t="s">
        <v>38</v>
      </c>
      <c r="K1124">
        <v>1</v>
      </c>
      <c r="L1124" t="s">
        <v>46</v>
      </c>
      <c r="M1124">
        <v>30</v>
      </c>
      <c r="N1124">
        <v>3</v>
      </c>
      <c r="O1124">
        <v>3</v>
      </c>
      <c r="P1124" t="s">
        <v>54</v>
      </c>
      <c r="Q1124" t="s">
        <v>73</v>
      </c>
      <c r="R1124" t="s">
        <v>48</v>
      </c>
      <c r="S1124">
        <v>7510</v>
      </c>
      <c r="T1124" t="str" cm="1">
        <f t="array" ref="T1124">_xlfn.IFS(S1124&gt;=10000,"High (&gt;10k)",S1124&gt;=5000,"Medium (5k-10k)",S1124&lt;5000,"Low (&lt;5k)")</f>
        <v>Medium (5k-10k)</v>
      </c>
      <c r="U1124">
        <v>16873</v>
      </c>
      <c r="V1124">
        <v>1</v>
      </c>
      <c r="W1124" t="s">
        <v>43</v>
      </c>
      <c r="X1124">
        <v>17</v>
      </c>
      <c r="Y1124">
        <v>3</v>
      </c>
      <c r="Z1124">
        <v>2</v>
      </c>
      <c r="AA1124">
        <v>1</v>
      </c>
      <c r="AB1124">
        <v>10</v>
      </c>
      <c r="AC1124">
        <v>1</v>
      </c>
      <c r="AD1124" t="s">
        <v>74</v>
      </c>
      <c r="AE1124">
        <v>10</v>
      </c>
      <c r="AF1124" t="str" cm="1">
        <f t="array" ref="AF1124">_xlfn.IFS(AE1124&gt;=10,"Veteran (10y+)",AE1124&gt;=3,"Established (3-10y)",AE1124&lt;3,"New Hire (&lt;3y)")</f>
        <v>Veteran (10y+)</v>
      </c>
      <c r="AG1124">
        <v>9</v>
      </c>
      <c r="AH1124">
        <v>0</v>
      </c>
      <c r="AI1124">
        <v>9</v>
      </c>
    </row>
    <row r="1125" spans="1:35">
      <c r="A1125">
        <v>44</v>
      </c>
      <c r="B1125" t="str">
        <f t="shared" si="17"/>
        <v>Middle Aged</v>
      </c>
      <c r="C1125">
        <v>0</v>
      </c>
      <c r="D1125" t="s">
        <v>36</v>
      </c>
      <c r="E1125">
        <v>477</v>
      </c>
      <c r="F1125" t="s">
        <v>45</v>
      </c>
      <c r="G1125">
        <v>7</v>
      </c>
      <c r="H1125" t="str" cm="1">
        <f t="array" ref="H1125">_xlfn.IFS(G1125&gt;15,"Long Commute",G1125&gt;5,"Moderate",G1125&lt;=5,"Near Office")</f>
        <v>Moderate</v>
      </c>
      <c r="I1125" t="s">
        <v>83</v>
      </c>
      <c r="J1125" t="s">
        <v>51</v>
      </c>
      <c r="K1125">
        <v>1</v>
      </c>
      <c r="L1125" t="s">
        <v>39</v>
      </c>
      <c r="M1125">
        <v>42</v>
      </c>
      <c r="N1125">
        <v>2</v>
      </c>
      <c r="O1125">
        <v>3</v>
      </c>
      <c r="P1125" t="s">
        <v>54</v>
      </c>
      <c r="Q1125" t="s">
        <v>77</v>
      </c>
      <c r="R1125" t="s">
        <v>48</v>
      </c>
      <c r="S1125">
        <v>10248</v>
      </c>
      <c r="T1125" t="str" cm="1">
        <f t="array" ref="T1125">_xlfn.IFS(S1125&gt;=10000,"High (&gt;10k)",S1125&gt;=5000,"Medium (5k-10k)",S1125&lt;5000,"Low (&lt;5k)")</f>
        <v>High (&gt;10k)</v>
      </c>
      <c r="U1125">
        <v>2094</v>
      </c>
      <c r="V1125">
        <v>3</v>
      </c>
      <c r="W1125" t="s">
        <v>43</v>
      </c>
      <c r="X1125">
        <v>14</v>
      </c>
      <c r="Y1125">
        <v>3</v>
      </c>
      <c r="Z1125">
        <v>4</v>
      </c>
      <c r="AA1125">
        <v>1</v>
      </c>
      <c r="AB1125">
        <v>24</v>
      </c>
      <c r="AC1125">
        <v>4</v>
      </c>
      <c r="AD1125" t="s">
        <v>74</v>
      </c>
      <c r="AE1125">
        <v>22</v>
      </c>
      <c r="AF1125" t="str" cm="1">
        <f t="array" ref="AF1125">_xlfn.IFS(AE1125&gt;=10,"Veteran (10y+)",AE1125&gt;=3,"Established (3-10y)",AE1125&lt;3,"New Hire (&lt;3y)")</f>
        <v>Veteran (10y+)</v>
      </c>
      <c r="AG1125">
        <v>6</v>
      </c>
      <c r="AH1125">
        <v>5</v>
      </c>
      <c r="AI1125">
        <v>17</v>
      </c>
    </row>
    <row r="1126" spans="1:35">
      <c r="A1126">
        <v>44</v>
      </c>
      <c r="B1126" t="str">
        <f t="shared" si="17"/>
        <v>Middle Aged</v>
      </c>
      <c r="C1126">
        <v>0</v>
      </c>
      <c r="D1126" t="s">
        <v>36</v>
      </c>
      <c r="E1126">
        <v>1459</v>
      </c>
      <c r="F1126" t="s">
        <v>45</v>
      </c>
      <c r="G1126">
        <v>10</v>
      </c>
      <c r="H1126" t="str" cm="1">
        <f t="array" ref="H1126">_xlfn.IFS(G1126&gt;15,"Long Commute",G1126&gt;5,"Moderate",G1126&lt;=5,"Near Office")</f>
        <v>Moderate</v>
      </c>
      <c r="I1126" t="s">
        <v>83</v>
      </c>
      <c r="J1126" t="s">
        <v>49</v>
      </c>
      <c r="K1126">
        <v>4</v>
      </c>
      <c r="L1126" t="s">
        <v>46</v>
      </c>
      <c r="M1126">
        <v>41</v>
      </c>
      <c r="N1126">
        <v>3</v>
      </c>
      <c r="O1126">
        <v>2</v>
      </c>
      <c r="P1126" t="s">
        <v>54</v>
      </c>
      <c r="Q1126" t="s">
        <v>77</v>
      </c>
      <c r="R1126" t="s">
        <v>48</v>
      </c>
      <c r="S1126">
        <v>6465</v>
      </c>
      <c r="T1126" t="str" cm="1">
        <f t="array" ref="T1126">_xlfn.IFS(S1126&gt;=10000,"High (&gt;10k)",S1126&gt;=5000,"Medium (5k-10k)",S1126&lt;5000,"Low (&lt;5k)")</f>
        <v>Medium (5k-10k)</v>
      </c>
      <c r="U1126">
        <v>19121</v>
      </c>
      <c r="V1126">
        <v>2</v>
      </c>
      <c r="W1126" t="s">
        <v>35</v>
      </c>
      <c r="X1126">
        <v>13</v>
      </c>
      <c r="Y1126">
        <v>3</v>
      </c>
      <c r="Z1126">
        <v>4</v>
      </c>
      <c r="AA1126">
        <v>0</v>
      </c>
      <c r="AB1126">
        <v>9</v>
      </c>
      <c r="AC1126">
        <v>5</v>
      </c>
      <c r="AD1126" t="s">
        <v>79</v>
      </c>
      <c r="AE1126">
        <v>4</v>
      </c>
      <c r="AF1126" t="str" cm="1">
        <f t="array" ref="AF1126">_xlfn.IFS(AE1126&gt;=10,"Veteran (10y+)",AE1126&gt;=3,"Established (3-10y)",AE1126&lt;3,"New Hire (&lt;3y)")</f>
        <v>Established (3-10y)</v>
      </c>
      <c r="AG1126">
        <v>2</v>
      </c>
      <c r="AH1126">
        <v>1</v>
      </c>
      <c r="AI1126">
        <v>3</v>
      </c>
    </row>
    <row r="1127" spans="1:35">
      <c r="A1127">
        <v>44</v>
      </c>
      <c r="B1127" t="str">
        <f t="shared" si="17"/>
        <v>Middle Aged</v>
      </c>
      <c r="C1127">
        <v>0</v>
      </c>
      <c r="D1127" t="s">
        <v>36</v>
      </c>
      <c r="E1127">
        <v>1488</v>
      </c>
      <c r="F1127" t="s">
        <v>37</v>
      </c>
      <c r="G1127">
        <v>1</v>
      </c>
      <c r="H1127" t="str" cm="1">
        <f t="array" ref="H1127">_xlfn.IFS(G1127&gt;15,"Long Commute",G1127&gt;5,"Moderate",G1127&lt;=5,"Near Office")</f>
        <v>Near Office</v>
      </c>
      <c r="I1127" t="s">
        <v>84</v>
      </c>
      <c r="J1127" t="s">
        <v>59</v>
      </c>
      <c r="K1127">
        <v>2</v>
      </c>
      <c r="L1127" t="s">
        <v>39</v>
      </c>
      <c r="M1127">
        <v>75</v>
      </c>
      <c r="N1127">
        <v>3</v>
      </c>
      <c r="O1127">
        <v>2</v>
      </c>
      <c r="P1127" t="s">
        <v>40</v>
      </c>
      <c r="Q1127" t="s">
        <v>82</v>
      </c>
      <c r="R1127" t="s">
        <v>52</v>
      </c>
      <c r="S1127">
        <v>5454</v>
      </c>
      <c r="T1127" t="str" cm="1">
        <f t="array" ref="T1127">_xlfn.IFS(S1127&gt;=10000,"High (&gt;10k)",S1127&gt;=5000,"Medium (5k-10k)",S1127&lt;5000,"Low (&lt;5k)")</f>
        <v>Medium (5k-10k)</v>
      </c>
      <c r="U1127">
        <v>4009</v>
      </c>
      <c r="V1127">
        <v>5</v>
      </c>
      <c r="W1127" t="s">
        <v>35</v>
      </c>
      <c r="X1127">
        <v>21</v>
      </c>
      <c r="Y1127">
        <v>4</v>
      </c>
      <c r="Z1127">
        <v>3</v>
      </c>
      <c r="AA1127">
        <v>1</v>
      </c>
      <c r="AB1127">
        <v>9</v>
      </c>
      <c r="AC1127">
        <v>2</v>
      </c>
      <c r="AD1127" t="s">
        <v>81</v>
      </c>
      <c r="AE1127">
        <v>4</v>
      </c>
      <c r="AF1127" t="str" cm="1">
        <f t="array" ref="AF1127">_xlfn.IFS(AE1127&gt;=10,"Veteran (10y+)",AE1127&gt;=3,"Established (3-10y)",AE1127&lt;3,"New Hire (&lt;3y)")</f>
        <v>Established (3-10y)</v>
      </c>
      <c r="AG1127">
        <v>3</v>
      </c>
      <c r="AH1127">
        <v>1</v>
      </c>
      <c r="AI1127">
        <v>3</v>
      </c>
    </row>
    <row r="1128" spans="1:35">
      <c r="A1128">
        <v>44</v>
      </c>
      <c r="B1128" t="str">
        <f t="shared" si="17"/>
        <v>Middle Aged</v>
      </c>
      <c r="C1128">
        <v>0</v>
      </c>
      <c r="D1128" t="s">
        <v>55</v>
      </c>
      <c r="E1128">
        <v>489</v>
      </c>
      <c r="F1128" t="s">
        <v>45</v>
      </c>
      <c r="G1128">
        <v>23</v>
      </c>
      <c r="H1128" t="str" cm="1">
        <f t="array" ref="H1128">_xlfn.IFS(G1128&gt;15,"Long Commute",G1128&gt;5,"Moderate",G1128&lt;=5,"Near Office")</f>
        <v>Long Commute</v>
      </c>
      <c r="I1128" t="s">
        <v>72</v>
      </c>
      <c r="J1128" t="s">
        <v>51</v>
      </c>
      <c r="K1128">
        <v>2</v>
      </c>
      <c r="L1128" t="s">
        <v>46</v>
      </c>
      <c r="M1128">
        <v>67</v>
      </c>
      <c r="N1128">
        <v>3</v>
      </c>
      <c r="O1128">
        <v>2</v>
      </c>
      <c r="P1128" t="s">
        <v>50</v>
      </c>
      <c r="Q1128" t="s">
        <v>75</v>
      </c>
      <c r="R1128" t="s">
        <v>48</v>
      </c>
      <c r="S1128">
        <v>2042</v>
      </c>
      <c r="T1128" t="str" cm="1">
        <f t="array" ref="T1128">_xlfn.IFS(S1128&gt;=10000,"High (&gt;10k)",S1128&gt;=5000,"Medium (5k-10k)",S1128&lt;5000,"Low (&lt;5k)")</f>
        <v>Low (&lt;5k)</v>
      </c>
      <c r="U1128">
        <v>25043</v>
      </c>
      <c r="V1128">
        <v>4</v>
      </c>
      <c r="W1128" t="s">
        <v>43</v>
      </c>
      <c r="X1128">
        <v>12</v>
      </c>
      <c r="Y1128">
        <v>3</v>
      </c>
      <c r="Z1128">
        <v>3</v>
      </c>
      <c r="AA1128">
        <v>1</v>
      </c>
      <c r="AB1128">
        <v>17</v>
      </c>
      <c r="AC1128">
        <v>3</v>
      </c>
      <c r="AD1128" t="s">
        <v>79</v>
      </c>
      <c r="AE1128">
        <v>3</v>
      </c>
      <c r="AF1128" t="str" cm="1">
        <f t="array" ref="AF1128">_xlfn.IFS(AE1128&gt;=10,"Veteran (10y+)",AE1128&gt;=3,"Established (3-10y)",AE1128&lt;3,"New Hire (&lt;3y)")</f>
        <v>Established (3-10y)</v>
      </c>
      <c r="AG1128">
        <v>2</v>
      </c>
      <c r="AH1128">
        <v>1</v>
      </c>
      <c r="AI1128">
        <v>2</v>
      </c>
    </row>
    <row r="1129" spans="1:35">
      <c r="A1129">
        <v>44</v>
      </c>
      <c r="B1129" t="str">
        <f t="shared" si="17"/>
        <v>Middle Aged</v>
      </c>
      <c r="C1129">
        <v>1</v>
      </c>
      <c r="D1129" t="s">
        <v>44</v>
      </c>
      <c r="E1129">
        <v>920</v>
      </c>
      <c r="F1129" t="s">
        <v>45</v>
      </c>
      <c r="G1129">
        <v>24</v>
      </c>
      <c r="H1129" t="str" cm="1">
        <f t="array" ref="H1129">_xlfn.IFS(G1129&gt;15,"Long Commute",G1129&gt;5,"Moderate",G1129&lt;=5,"Near Office")</f>
        <v>Long Commute</v>
      </c>
      <c r="I1129" t="s">
        <v>72</v>
      </c>
      <c r="J1129" t="s">
        <v>38</v>
      </c>
      <c r="K1129">
        <v>4</v>
      </c>
      <c r="L1129" t="s">
        <v>46</v>
      </c>
      <c r="M1129">
        <v>43</v>
      </c>
      <c r="N1129">
        <v>3</v>
      </c>
      <c r="O1129">
        <v>1</v>
      </c>
      <c r="P1129" t="s">
        <v>50</v>
      </c>
      <c r="Q1129" t="s">
        <v>73</v>
      </c>
      <c r="R1129" t="s">
        <v>52</v>
      </c>
      <c r="S1129">
        <v>3161</v>
      </c>
      <c r="T1129" t="str" cm="1">
        <f t="array" ref="T1129">_xlfn.IFS(S1129&gt;=10000,"High (&gt;10k)",S1129&gt;=5000,"Medium (5k-10k)",S1129&lt;5000,"Low (&lt;5k)")</f>
        <v>Low (&lt;5k)</v>
      </c>
      <c r="U1129">
        <v>19920</v>
      </c>
      <c r="V1129">
        <v>3</v>
      </c>
      <c r="W1129" t="s">
        <v>35</v>
      </c>
      <c r="X1129">
        <v>22</v>
      </c>
      <c r="Y1129">
        <v>4</v>
      </c>
      <c r="Z1129">
        <v>4</v>
      </c>
      <c r="AA1129">
        <v>1</v>
      </c>
      <c r="AB1129">
        <v>19</v>
      </c>
      <c r="AC1129">
        <v>0</v>
      </c>
      <c r="AD1129" t="s">
        <v>80</v>
      </c>
      <c r="AE1129">
        <v>1</v>
      </c>
      <c r="AF1129" t="str" cm="1">
        <f t="array" ref="AF1129">_xlfn.IFS(AE1129&gt;=10,"Veteran (10y+)",AE1129&gt;=3,"Established (3-10y)",AE1129&lt;3,"New Hire (&lt;3y)")</f>
        <v>New Hire (&lt;3y)</v>
      </c>
      <c r="AG1129">
        <v>0</v>
      </c>
      <c r="AH1129">
        <v>0</v>
      </c>
      <c r="AI1129">
        <v>0</v>
      </c>
    </row>
    <row r="1130" spans="1:35">
      <c r="A1130">
        <v>44</v>
      </c>
      <c r="B1130" t="str">
        <f t="shared" si="17"/>
        <v>Middle Aged</v>
      </c>
      <c r="C1130">
        <v>0</v>
      </c>
      <c r="D1130" t="s">
        <v>36</v>
      </c>
      <c r="E1130">
        <v>1112</v>
      </c>
      <c r="F1130" t="s">
        <v>61</v>
      </c>
      <c r="G1130">
        <v>1</v>
      </c>
      <c r="H1130" t="str" cm="1">
        <f t="array" ref="H1130">_xlfn.IFS(G1130&gt;15,"Long Commute",G1130&gt;5,"Moderate",G1130&lt;=5,"Near Office")</f>
        <v>Near Office</v>
      </c>
      <c r="I1130" t="s">
        <v>83</v>
      </c>
      <c r="J1130" t="s">
        <v>38</v>
      </c>
      <c r="K1130">
        <v>1</v>
      </c>
      <c r="L1130" t="s">
        <v>39</v>
      </c>
      <c r="M1130">
        <v>50</v>
      </c>
      <c r="N1130">
        <v>2</v>
      </c>
      <c r="O1130">
        <v>2</v>
      </c>
      <c r="P1130" t="s">
        <v>61</v>
      </c>
      <c r="Q1130" t="s">
        <v>73</v>
      </c>
      <c r="R1130" t="s">
        <v>41</v>
      </c>
      <c r="S1130">
        <v>5985</v>
      </c>
      <c r="T1130" t="str" cm="1">
        <f t="array" ref="T1130">_xlfn.IFS(S1130&gt;=10000,"High (&gt;10k)",S1130&gt;=5000,"Medium (5k-10k)",S1130&lt;5000,"Low (&lt;5k)")</f>
        <v>Medium (5k-10k)</v>
      </c>
      <c r="U1130">
        <v>26894</v>
      </c>
      <c r="V1130">
        <v>4</v>
      </c>
      <c r="W1130" t="s">
        <v>43</v>
      </c>
      <c r="X1130">
        <v>11</v>
      </c>
      <c r="Y1130">
        <v>3</v>
      </c>
      <c r="Z1130">
        <v>2</v>
      </c>
      <c r="AA1130">
        <v>0</v>
      </c>
      <c r="AB1130">
        <v>10</v>
      </c>
      <c r="AC1130">
        <v>1</v>
      </c>
      <c r="AD1130" t="s">
        <v>79</v>
      </c>
      <c r="AE1130">
        <v>2</v>
      </c>
      <c r="AF1130" t="str" cm="1">
        <f t="array" ref="AF1130">_xlfn.IFS(AE1130&gt;=10,"Veteran (10y+)",AE1130&gt;=3,"Established (3-10y)",AE1130&lt;3,"New Hire (&lt;3y)")</f>
        <v>New Hire (&lt;3y)</v>
      </c>
      <c r="AG1130">
        <v>2</v>
      </c>
      <c r="AH1130">
        <v>0</v>
      </c>
      <c r="AI1130">
        <v>2</v>
      </c>
    </row>
    <row r="1131" spans="1:35">
      <c r="A1131">
        <v>44</v>
      </c>
      <c r="B1131" t="str">
        <f t="shared" si="17"/>
        <v>Middle Aged</v>
      </c>
      <c r="C1131">
        <v>0</v>
      </c>
      <c r="D1131" t="s">
        <v>36</v>
      </c>
      <c r="E1131">
        <v>1315</v>
      </c>
      <c r="F1131" t="s">
        <v>45</v>
      </c>
      <c r="G1131">
        <v>3</v>
      </c>
      <c r="H1131" t="str" cm="1">
        <f t="array" ref="H1131">_xlfn.IFS(G1131&gt;15,"Long Commute",G1131&gt;5,"Moderate",G1131&lt;=5,"Near Office")</f>
        <v>Near Office</v>
      </c>
      <c r="I1131" t="s">
        <v>83</v>
      </c>
      <c r="J1131" t="s">
        <v>49</v>
      </c>
      <c r="K1131">
        <v>4</v>
      </c>
      <c r="L1131" t="s">
        <v>46</v>
      </c>
      <c r="M1131">
        <v>35</v>
      </c>
      <c r="N1131">
        <v>3</v>
      </c>
      <c r="O1131">
        <v>5</v>
      </c>
      <c r="P1131" t="s">
        <v>56</v>
      </c>
      <c r="Q1131" t="s">
        <v>77</v>
      </c>
      <c r="R1131" t="s">
        <v>48</v>
      </c>
      <c r="S1131">
        <v>19513</v>
      </c>
      <c r="T1131" t="str" cm="1">
        <f t="array" ref="T1131">_xlfn.IFS(S1131&gt;=10000,"High (&gt;10k)",S1131&gt;=5000,"Medium (5k-10k)",S1131&lt;5000,"Low (&lt;5k)")</f>
        <v>High (&gt;10k)</v>
      </c>
      <c r="U1131">
        <v>9358</v>
      </c>
      <c r="V1131">
        <v>4</v>
      </c>
      <c r="W1131" t="s">
        <v>35</v>
      </c>
      <c r="X1131">
        <v>12</v>
      </c>
      <c r="Y1131">
        <v>3</v>
      </c>
      <c r="Z1131">
        <v>1</v>
      </c>
      <c r="AA1131">
        <v>1</v>
      </c>
      <c r="AB1131">
        <v>26</v>
      </c>
      <c r="AC1131">
        <v>2</v>
      </c>
      <c r="AD1131" t="s">
        <v>79</v>
      </c>
      <c r="AE1131">
        <v>2</v>
      </c>
      <c r="AF1131" t="str" cm="1">
        <f t="array" ref="AF1131">_xlfn.IFS(AE1131&gt;=10,"Veteran (10y+)",AE1131&gt;=3,"Established (3-10y)",AE1131&lt;3,"New Hire (&lt;3y)")</f>
        <v>New Hire (&lt;3y)</v>
      </c>
      <c r="AG1131">
        <v>2</v>
      </c>
      <c r="AH1131">
        <v>0</v>
      </c>
      <c r="AI1131">
        <v>1</v>
      </c>
    </row>
    <row r="1132" spans="1:35">
      <c r="A1132">
        <v>44</v>
      </c>
      <c r="B1132" t="str">
        <f t="shared" si="17"/>
        <v>Middle Aged</v>
      </c>
      <c r="C1132">
        <v>0</v>
      </c>
      <c r="D1132" t="s">
        <v>55</v>
      </c>
      <c r="E1132">
        <v>381</v>
      </c>
      <c r="F1132" t="s">
        <v>45</v>
      </c>
      <c r="G1132">
        <v>24</v>
      </c>
      <c r="H1132" t="str" cm="1">
        <f t="array" ref="H1132">_xlfn.IFS(G1132&gt;15,"Long Commute",G1132&gt;5,"Moderate",G1132&lt;=5,"Near Office")</f>
        <v>Long Commute</v>
      </c>
      <c r="I1132" t="s">
        <v>72</v>
      </c>
      <c r="J1132" t="s">
        <v>51</v>
      </c>
      <c r="K1132">
        <v>1</v>
      </c>
      <c r="L1132" t="s">
        <v>46</v>
      </c>
      <c r="M1132">
        <v>49</v>
      </c>
      <c r="N1132">
        <v>1</v>
      </c>
      <c r="O1132">
        <v>1</v>
      </c>
      <c r="P1132" t="s">
        <v>50</v>
      </c>
      <c r="Q1132" t="s">
        <v>73</v>
      </c>
      <c r="R1132" t="s">
        <v>41</v>
      </c>
      <c r="S1132">
        <v>3708</v>
      </c>
      <c r="T1132" t="str" cm="1">
        <f t="array" ref="T1132">_xlfn.IFS(S1132&gt;=10000,"High (&gt;10k)",S1132&gt;=5000,"Medium (5k-10k)",S1132&lt;5000,"Low (&lt;5k)")</f>
        <v>Low (&lt;5k)</v>
      </c>
      <c r="U1132">
        <v>2104</v>
      </c>
      <c r="V1132">
        <v>2</v>
      </c>
      <c r="W1132" t="s">
        <v>43</v>
      </c>
      <c r="X1132">
        <v>14</v>
      </c>
      <c r="Y1132">
        <v>3</v>
      </c>
      <c r="Z1132">
        <v>3</v>
      </c>
      <c r="AA1132">
        <v>0</v>
      </c>
      <c r="AB1132">
        <v>9</v>
      </c>
      <c r="AC1132">
        <v>5</v>
      </c>
      <c r="AD1132" t="s">
        <v>74</v>
      </c>
      <c r="AE1132">
        <v>5</v>
      </c>
      <c r="AF1132" t="str" cm="1">
        <f t="array" ref="AF1132">_xlfn.IFS(AE1132&gt;=10,"Veteran (10y+)",AE1132&gt;=3,"Established (3-10y)",AE1132&lt;3,"New Hire (&lt;3y)")</f>
        <v>Established (3-10y)</v>
      </c>
      <c r="AG1132">
        <v>2</v>
      </c>
      <c r="AH1132">
        <v>1</v>
      </c>
      <c r="AI1132">
        <v>4</v>
      </c>
    </row>
    <row r="1133" spans="1:35">
      <c r="A1133">
        <v>44</v>
      </c>
      <c r="B1133" t="str">
        <f t="shared" si="17"/>
        <v>Middle Aged</v>
      </c>
      <c r="C1133">
        <v>0</v>
      </c>
      <c r="D1133" t="s">
        <v>36</v>
      </c>
      <c r="E1133">
        <v>625</v>
      </c>
      <c r="F1133" t="s">
        <v>45</v>
      </c>
      <c r="G1133">
        <v>4</v>
      </c>
      <c r="H1133" t="str" cm="1">
        <f t="array" ref="H1133">_xlfn.IFS(G1133&gt;15,"Long Commute",G1133&gt;5,"Moderate",G1133&lt;=5,"Near Office")</f>
        <v>Near Office</v>
      </c>
      <c r="I1133" t="s">
        <v>72</v>
      </c>
      <c r="J1133" t="s">
        <v>51</v>
      </c>
      <c r="K1133">
        <v>4</v>
      </c>
      <c r="L1133" t="s">
        <v>46</v>
      </c>
      <c r="M1133">
        <v>50</v>
      </c>
      <c r="N1133">
        <v>3</v>
      </c>
      <c r="O1133">
        <v>2</v>
      </c>
      <c r="P1133" t="s">
        <v>54</v>
      </c>
      <c r="Q1133" t="s">
        <v>75</v>
      </c>
      <c r="R1133" t="s">
        <v>41</v>
      </c>
      <c r="S1133">
        <v>5933</v>
      </c>
      <c r="T1133" t="str" cm="1">
        <f t="array" ref="T1133">_xlfn.IFS(S1133&gt;=10000,"High (&gt;10k)",S1133&gt;=5000,"Medium (5k-10k)",S1133&lt;5000,"Low (&lt;5k)")</f>
        <v>Medium (5k-10k)</v>
      </c>
      <c r="U1133">
        <v>5197</v>
      </c>
      <c r="V1133">
        <v>9</v>
      </c>
      <c r="W1133" t="s">
        <v>43</v>
      </c>
      <c r="X1133">
        <v>12</v>
      </c>
      <c r="Y1133">
        <v>3</v>
      </c>
      <c r="Z1133">
        <v>4</v>
      </c>
      <c r="AA1133">
        <v>0</v>
      </c>
      <c r="AB1133">
        <v>10</v>
      </c>
      <c r="AC1133">
        <v>2</v>
      </c>
      <c r="AD1133" t="s">
        <v>81</v>
      </c>
      <c r="AE1133">
        <v>5</v>
      </c>
      <c r="AF1133" t="str" cm="1">
        <f t="array" ref="AF1133">_xlfn.IFS(AE1133&gt;=10,"Veteran (10y+)",AE1133&gt;=3,"Established (3-10y)",AE1133&lt;3,"New Hire (&lt;3y)")</f>
        <v>Established (3-10y)</v>
      </c>
      <c r="AG1133">
        <v>2</v>
      </c>
      <c r="AH1133">
        <v>2</v>
      </c>
      <c r="AI1133">
        <v>3</v>
      </c>
    </row>
    <row r="1134" spans="1:35">
      <c r="A1134">
        <v>44</v>
      </c>
      <c r="B1134" t="str">
        <f t="shared" si="17"/>
        <v>Middle Aged</v>
      </c>
      <c r="C1134">
        <v>0</v>
      </c>
      <c r="D1134" t="s">
        <v>36</v>
      </c>
      <c r="E1134">
        <v>986</v>
      </c>
      <c r="F1134" t="s">
        <v>45</v>
      </c>
      <c r="G1134">
        <v>8</v>
      </c>
      <c r="H1134" t="str" cm="1">
        <f t="array" ref="H1134">_xlfn.IFS(G1134&gt;15,"Long Commute",G1134&gt;5,"Moderate",G1134&lt;=5,"Near Office")</f>
        <v>Moderate</v>
      </c>
      <c r="I1134" t="s">
        <v>83</v>
      </c>
      <c r="J1134" t="s">
        <v>38</v>
      </c>
      <c r="K1134">
        <v>1</v>
      </c>
      <c r="L1134" t="s">
        <v>46</v>
      </c>
      <c r="M1134">
        <v>62</v>
      </c>
      <c r="N1134">
        <v>4</v>
      </c>
      <c r="O1134">
        <v>1</v>
      </c>
      <c r="P1134" t="s">
        <v>50</v>
      </c>
      <c r="Q1134" t="s">
        <v>77</v>
      </c>
      <c r="R1134" t="s">
        <v>48</v>
      </c>
      <c r="S1134">
        <v>2818</v>
      </c>
      <c r="T1134" t="str" cm="1">
        <f t="array" ref="T1134">_xlfn.IFS(S1134&gt;=10000,"High (&gt;10k)",S1134&gt;=5000,"Medium (5k-10k)",S1134&lt;5000,"Low (&lt;5k)")</f>
        <v>Low (&lt;5k)</v>
      </c>
      <c r="U1134">
        <v>5044</v>
      </c>
      <c r="V1134">
        <v>2</v>
      </c>
      <c r="W1134" t="s">
        <v>35</v>
      </c>
      <c r="X1134">
        <v>24</v>
      </c>
      <c r="Y1134">
        <v>4</v>
      </c>
      <c r="Z1134">
        <v>3</v>
      </c>
      <c r="AA1134">
        <v>1</v>
      </c>
      <c r="AB1134">
        <v>10</v>
      </c>
      <c r="AC1134">
        <v>2</v>
      </c>
      <c r="AD1134" t="s">
        <v>81</v>
      </c>
      <c r="AE1134">
        <v>3</v>
      </c>
      <c r="AF1134" t="str" cm="1">
        <f t="array" ref="AF1134">_xlfn.IFS(AE1134&gt;=10,"Veteran (10y+)",AE1134&gt;=3,"Established (3-10y)",AE1134&lt;3,"New Hire (&lt;3y)")</f>
        <v>Established (3-10y)</v>
      </c>
      <c r="AG1134">
        <v>2</v>
      </c>
      <c r="AH1134">
        <v>0</v>
      </c>
      <c r="AI1134">
        <v>2</v>
      </c>
    </row>
    <row r="1135" spans="1:35">
      <c r="A1135">
        <v>44</v>
      </c>
      <c r="B1135" t="str">
        <f t="shared" si="17"/>
        <v>Middle Aged</v>
      </c>
      <c r="C1135">
        <v>0</v>
      </c>
      <c r="D1135" t="s">
        <v>36</v>
      </c>
      <c r="E1135">
        <v>661</v>
      </c>
      <c r="F1135" t="s">
        <v>45</v>
      </c>
      <c r="G1135">
        <v>9</v>
      </c>
      <c r="H1135" t="str" cm="1">
        <f t="array" ref="H1135">_xlfn.IFS(G1135&gt;15,"Long Commute",G1135&gt;5,"Moderate",G1135&lt;=5,"Near Office")</f>
        <v>Moderate</v>
      </c>
      <c r="I1135" t="s">
        <v>76</v>
      </c>
      <c r="J1135" t="s">
        <v>38</v>
      </c>
      <c r="K1135">
        <v>2</v>
      </c>
      <c r="L1135" t="s">
        <v>46</v>
      </c>
      <c r="M1135">
        <v>61</v>
      </c>
      <c r="N1135">
        <v>3</v>
      </c>
      <c r="O1135">
        <v>1</v>
      </c>
      <c r="P1135" t="s">
        <v>47</v>
      </c>
      <c r="Q1135" t="s">
        <v>82</v>
      </c>
      <c r="R1135" t="s">
        <v>48</v>
      </c>
      <c r="S1135">
        <v>2559</v>
      </c>
      <c r="T1135" t="str" cm="1">
        <f t="array" ref="T1135">_xlfn.IFS(S1135&gt;=10000,"High (&gt;10k)",S1135&gt;=5000,"Medium (5k-10k)",S1135&lt;5000,"Low (&lt;5k)")</f>
        <v>Low (&lt;5k)</v>
      </c>
      <c r="U1135">
        <v>7508</v>
      </c>
      <c r="V1135">
        <v>1</v>
      </c>
      <c r="W1135" t="s">
        <v>35</v>
      </c>
      <c r="X1135">
        <v>13</v>
      </c>
      <c r="Y1135">
        <v>3</v>
      </c>
      <c r="Z1135">
        <v>4</v>
      </c>
      <c r="AA1135">
        <v>0</v>
      </c>
      <c r="AB1135">
        <v>8</v>
      </c>
      <c r="AC1135">
        <v>0</v>
      </c>
      <c r="AD1135" t="s">
        <v>74</v>
      </c>
      <c r="AE1135">
        <v>8</v>
      </c>
      <c r="AF1135" t="str" cm="1">
        <f t="array" ref="AF1135">_xlfn.IFS(AE1135&gt;=10,"Veteran (10y+)",AE1135&gt;=3,"Established (3-10y)",AE1135&lt;3,"New Hire (&lt;3y)")</f>
        <v>Established (3-10y)</v>
      </c>
      <c r="AG1135">
        <v>7</v>
      </c>
      <c r="AH1135">
        <v>7</v>
      </c>
      <c r="AI1135">
        <v>1</v>
      </c>
    </row>
    <row r="1136" spans="1:35">
      <c r="A1136">
        <v>44</v>
      </c>
      <c r="B1136" t="str">
        <f t="shared" si="17"/>
        <v>Middle Aged</v>
      </c>
      <c r="C1136">
        <v>0</v>
      </c>
      <c r="D1136" t="s">
        <v>36</v>
      </c>
      <c r="E1136">
        <v>1448</v>
      </c>
      <c r="F1136" t="s">
        <v>37</v>
      </c>
      <c r="G1136">
        <v>28</v>
      </c>
      <c r="H1136" t="str" cm="1">
        <f t="array" ref="H1136">_xlfn.IFS(G1136&gt;15,"Long Commute",G1136&gt;5,"Moderate",G1136&lt;=5,"Near Office")</f>
        <v>Long Commute</v>
      </c>
      <c r="I1136" t="s">
        <v>72</v>
      </c>
      <c r="J1136" t="s">
        <v>51</v>
      </c>
      <c r="K1136">
        <v>4</v>
      </c>
      <c r="L1136" t="s">
        <v>39</v>
      </c>
      <c r="M1136">
        <v>53</v>
      </c>
      <c r="N1136">
        <v>4</v>
      </c>
      <c r="O1136">
        <v>4</v>
      </c>
      <c r="P1136" t="s">
        <v>40</v>
      </c>
      <c r="Q1136" t="s">
        <v>77</v>
      </c>
      <c r="R1136" t="s">
        <v>48</v>
      </c>
      <c r="S1136">
        <v>13320</v>
      </c>
      <c r="T1136" t="str" cm="1">
        <f t="array" ref="T1136">_xlfn.IFS(S1136&gt;=10000,"High (&gt;10k)",S1136&gt;=5000,"Medium (5k-10k)",S1136&lt;5000,"Low (&lt;5k)")</f>
        <v>High (&gt;10k)</v>
      </c>
      <c r="U1136">
        <v>11737</v>
      </c>
      <c r="V1136">
        <v>3</v>
      </c>
      <c r="W1136" t="s">
        <v>35</v>
      </c>
      <c r="X1136">
        <v>18</v>
      </c>
      <c r="Y1136">
        <v>3</v>
      </c>
      <c r="Z1136">
        <v>3</v>
      </c>
      <c r="AA1136">
        <v>1</v>
      </c>
      <c r="AB1136">
        <v>23</v>
      </c>
      <c r="AC1136">
        <v>2</v>
      </c>
      <c r="AD1136" t="s">
        <v>74</v>
      </c>
      <c r="AE1136">
        <v>12</v>
      </c>
      <c r="AF1136" t="str" cm="1">
        <f t="array" ref="AF1136">_xlfn.IFS(AE1136&gt;=10,"Veteran (10y+)",AE1136&gt;=3,"Established (3-10y)",AE1136&lt;3,"New Hire (&lt;3y)")</f>
        <v>Veteran (10y+)</v>
      </c>
      <c r="AG1136">
        <v>11</v>
      </c>
      <c r="AH1136">
        <v>11</v>
      </c>
      <c r="AI1136">
        <v>11</v>
      </c>
    </row>
    <row r="1137" spans="1:35">
      <c r="A1137">
        <v>44</v>
      </c>
      <c r="B1137" t="str">
        <f t="shared" si="17"/>
        <v>Middle Aged</v>
      </c>
      <c r="C1137">
        <v>1</v>
      </c>
      <c r="D1137" t="s">
        <v>36</v>
      </c>
      <c r="E1137">
        <v>1376</v>
      </c>
      <c r="F1137" t="s">
        <v>61</v>
      </c>
      <c r="G1137">
        <v>1</v>
      </c>
      <c r="H1137" t="str" cm="1">
        <f t="array" ref="H1137">_xlfn.IFS(G1137&gt;15,"Long Commute",G1137&gt;5,"Moderate",G1137&lt;=5,"Near Office")</f>
        <v>Near Office</v>
      </c>
      <c r="I1137" t="s">
        <v>76</v>
      </c>
      <c r="J1137" t="s">
        <v>51</v>
      </c>
      <c r="K1137">
        <v>2</v>
      </c>
      <c r="L1137" t="s">
        <v>46</v>
      </c>
      <c r="M1137">
        <v>91</v>
      </c>
      <c r="N1137">
        <v>2</v>
      </c>
      <c r="O1137">
        <v>3</v>
      </c>
      <c r="P1137" t="s">
        <v>61</v>
      </c>
      <c r="Q1137" t="s">
        <v>82</v>
      </c>
      <c r="R1137" t="s">
        <v>48</v>
      </c>
      <c r="S1137">
        <v>10482</v>
      </c>
      <c r="T1137" t="str" cm="1">
        <f t="array" ref="T1137">_xlfn.IFS(S1137&gt;=10000,"High (&gt;10k)",S1137&gt;=5000,"Medium (5k-10k)",S1137&lt;5000,"Low (&lt;5k)")</f>
        <v>High (&gt;10k)</v>
      </c>
      <c r="U1137">
        <v>2326</v>
      </c>
      <c r="V1137">
        <v>9</v>
      </c>
      <c r="W1137" t="s">
        <v>43</v>
      </c>
      <c r="X1137">
        <v>14</v>
      </c>
      <c r="Y1137">
        <v>3</v>
      </c>
      <c r="Z1137">
        <v>4</v>
      </c>
      <c r="AA1137">
        <v>1</v>
      </c>
      <c r="AB1137">
        <v>24</v>
      </c>
      <c r="AC1137">
        <v>1</v>
      </c>
      <c r="AD1137" t="s">
        <v>74</v>
      </c>
      <c r="AE1137">
        <v>20</v>
      </c>
      <c r="AF1137" t="str" cm="1">
        <f t="array" ref="AF1137">_xlfn.IFS(AE1137&gt;=10,"Veteran (10y+)",AE1137&gt;=3,"Established (3-10y)",AE1137&lt;3,"New Hire (&lt;3y)")</f>
        <v>Veteran (10y+)</v>
      </c>
      <c r="AG1137">
        <v>6</v>
      </c>
      <c r="AH1137">
        <v>3</v>
      </c>
      <c r="AI1137">
        <v>6</v>
      </c>
    </row>
    <row r="1138" spans="1:35">
      <c r="A1138">
        <v>44</v>
      </c>
      <c r="B1138" t="str">
        <f t="shared" si="17"/>
        <v>Middle Aged</v>
      </c>
      <c r="C1138">
        <v>1</v>
      </c>
      <c r="D1138" t="s">
        <v>36</v>
      </c>
      <c r="E1138">
        <v>1097</v>
      </c>
      <c r="F1138" t="s">
        <v>45</v>
      </c>
      <c r="G1138">
        <v>10</v>
      </c>
      <c r="H1138" t="str" cm="1">
        <f t="array" ref="H1138">_xlfn.IFS(G1138&gt;15,"Long Commute",G1138&gt;5,"Moderate",G1138&lt;=5,"Near Office")</f>
        <v>Moderate</v>
      </c>
      <c r="I1138" t="s">
        <v>83</v>
      </c>
      <c r="J1138" t="s">
        <v>38</v>
      </c>
      <c r="K1138">
        <v>3</v>
      </c>
      <c r="L1138" t="s">
        <v>46</v>
      </c>
      <c r="M1138">
        <v>96</v>
      </c>
      <c r="N1138">
        <v>3</v>
      </c>
      <c r="O1138">
        <v>1</v>
      </c>
      <c r="P1138" t="s">
        <v>47</v>
      </c>
      <c r="Q1138" t="s">
        <v>73</v>
      </c>
      <c r="R1138" t="s">
        <v>41</v>
      </c>
      <c r="S1138">
        <v>2936</v>
      </c>
      <c r="T1138" t="str" cm="1">
        <f t="array" ref="T1138">_xlfn.IFS(S1138&gt;=10000,"High (&gt;10k)",S1138&gt;=5000,"Medium (5k-10k)",S1138&lt;5000,"Low (&lt;5k)")</f>
        <v>Low (&lt;5k)</v>
      </c>
      <c r="U1138">
        <v>10826</v>
      </c>
      <c r="V1138">
        <v>1</v>
      </c>
      <c r="W1138" t="s">
        <v>35</v>
      </c>
      <c r="X1138">
        <v>11</v>
      </c>
      <c r="Y1138">
        <v>3</v>
      </c>
      <c r="Z1138">
        <v>3</v>
      </c>
      <c r="AA1138">
        <v>0</v>
      </c>
      <c r="AB1138">
        <v>6</v>
      </c>
      <c r="AC1138">
        <v>4</v>
      </c>
      <c r="AD1138" t="s">
        <v>74</v>
      </c>
      <c r="AE1138">
        <v>6</v>
      </c>
      <c r="AF1138" t="str" cm="1">
        <f t="array" ref="AF1138">_xlfn.IFS(AE1138&gt;=10,"Veteran (10y+)",AE1138&gt;=3,"Established (3-10y)",AE1138&lt;3,"New Hire (&lt;3y)")</f>
        <v>Established (3-10y)</v>
      </c>
      <c r="AG1138">
        <v>4</v>
      </c>
      <c r="AH1138">
        <v>0</v>
      </c>
      <c r="AI1138">
        <v>2</v>
      </c>
    </row>
    <row r="1139" spans="1:35">
      <c r="A1139">
        <v>44</v>
      </c>
      <c r="B1139" t="str">
        <f t="shared" si="17"/>
        <v>Middle Aged</v>
      </c>
      <c r="C1139">
        <v>0</v>
      </c>
      <c r="D1139" t="s">
        <v>55</v>
      </c>
      <c r="E1139">
        <v>111</v>
      </c>
      <c r="F1139" t="s">
        <v>45</v>
      </c>
      <c r="G1139">
        <v>17</v>
      </c>
      <c r="H1139" t="str" cm="1">
        <f t="array" ref="H1139">_xlfn.IFS(G1139&gt;15,"Long Commute",G1139&gt;5,"Moderate",G1139&lt;=5,"Near Office")</f>
        <v>Long Commute</v>
      </c>
      <c r="I1139" t="s">
        <v>72</v>
      </c>
      <c r="J1139" t="s">
        <v>38</v>
      </c>
      <c r="K1139">
        <v>4</v>
      </c>
      <c r="L1139" t="s">
        <v>46</v>
      </c>
      <c r="M1139">
        <v>74</v>
      </c>
      <c r="N1139">
        <v>1</v>
      </c>
      <c r="O1139">
        <v>1</v>
      </c>
      <c r="P1139" t="s">
        <v>47</v>
      </c>
      <c r="Q1139" t="s">
        <v>73</v>
      </c>
      <c r="R1139" t="s">
        <v>41</v>
      </c>
      <c r="S1139">
        <v>2290</v>
      </c>
      <c r="T1139" t="str" cm="1">
        <f t="array" ref="T1139">_xlfn.IFS(S1139&gt;=10000,"High (&gt;10k)",S1139&gt;=5000,"Medium (5k-10k)",S1139&lt;5000,"Low (&lt;5k)")</f>
        <v>Low (&lt;5k)</v>
      </c>
      <c r="U1139">
        <v>4279</v>
      </c>
      <c r="V1139">
        <v>2</v>
      </c>
      <c r="W1139" t="s">
        <v>43</v>
      </c>
      <c r="X1139">
        <v>13</v>
      </c>
      <c r="Y1139">
        <v>3</v>
      </c>
      <c r="Z1139">
        <v>4</v>
      </c>
      <c r="AA1139">
        <v>0</v>
      </c>
      <c r="AB1139">
        <v>6</v>
      </c>
      <c r="AC1139">
        <v>3</v>
      </c>
      <c r="AD1139" t="s">
        <v>74</v>
      </c>
      <c r="AE1139">
        <v>0</v>
      </c>
      <c r="AF1139" t="str" cm="1">
        <f t="array" ref="AF1139">_xlfn.IFS(AE1139&gt;=10,"Veteran (10y+)",AE1139&gt;=3,"Established (3-10y)",AE1139&lt;3,"New Hire (&lt;3y)")</f>
        <v>New Hire (&lt;3y)</v>
      </c>
      <c r="AG1139">
        <v>0</v>
      </c>
      <c r="AH1139">
        <v>0</v>
      </c>
      <c r="AI1139">
        <v>0</v>
      </c>
    </row>
    <row r="1140" spans="1:35">
      <c r="A1140">
        <v>44</v>
      </c>
      <c r="B1140" t="str">
        <f t="shared" si="17"/>
        <v>Middle Aged</v>
      </c>
      <c r="C1140">
        <v>0</v>
      </c>
      <c r="D1140" t="s">
        <v>36</v>
      </c>
      <c r="E1140">
        <v>200</v>
      </c>
      <c r="F1140" t="s">
        <v>45</v>
      </c>
      <c r="G1140">
        <v>29</v>
      </c>
      <c r="H1140" t="str" cm="1">
        <f t="array" ref="H1140">_xlfn.IFS(G1140&gt;15,"Long Commute",G1140&gt;5,"Moderate",G1140&lt;=5,"Near Office")</f>
        <v>Long Commute</v>
      </c>
      <c r="I1140" t="s">
        <v>83</v>
      </c>
      <c r="J1140" t="s">
        <v>49</v>
      </c>
      <c r="K1140">
        <v>4</v>
      </c>
      <c r="L1140" t="s">
        <v>46</v>
      </c>
      <c r="M1140">
        <v>32</v>
      </c>
      <c r="N1140">
        <v>3</v>
      </c>
      <c r="O1140">
        <v>2</v>
      </c>
      <c r="P1140" t="s">
        <v>47</v>
      </c>
      <c r="Q1140" t="s">
        <v>77</v>
      </c>
      <c r="R1140" t="s">
        <v>41</v>
      </c>
      <c r="S1140">
        <v>4541</v>
      </c>
      <c r="T1140" t="str" cm="1">
        <f t="array" ref="T1140">_xlfn.IFS(S1140&gt;=10000,"High (&gt;10k)",S1140&gt;=5000,"Medium (5k-10k)",S1140&lt;5000,"Low (&lt;5k)")</f>
        <v>Low (&lt;5k)</v>
      </c>
      <c r="U1140">
        <v>7744</v>
      </c>
      <c r="V1140">
        <v>1</v>
      </c>
      <c r="W1140" t="s">
        <v>43</v>
      </c>
      <c r="X1140">
        <v>25</v>
      </c>
      <c r="Y1140">
        <v>4</v>
      </c>
      <c r="Z1140">
        <v>2</v>
      </c>
      <c r="AA1140">
        <v>0</v>
      </c>
      <c r="AB1140">
        <v>20</v>
      </c>
      <c r="AC1140">
        <v>3</v>
      </c>
      <c r="AD1140" t="s">
        <v>74</v>
      </c>
      <c r="AE1140">
        <v>20</v>
      </c>
      <c r="AF1140" t="str" cm="1">
        <f t="array" ref="AF1140">_xlfn.IFS(AE1140&gt;=10,"Veteran (10y+)",AE1140&gt;=3,"Established (3-10y)",AE1140&lt;3,"New Hire (&lt;3y)")</f>
        <v>Veteran (10y+)</v>
      </c>
      <c r="AG1140">
        <v>11</v>
      </c>
      <c r="AH1140">
        <v>13</v>
      </c>
      <c r="AI1140">
        <v>17</v>
      </c>
    </row>
    <row r="1141" spans="1:35">
      <c r="A1141">
        <v>44</v>
      </c>
      <c r="B1141" t="str">
        <f t="shared" si="17"/>
        <v>Middle Aged</v>
      </c>
      <c r="C1141">
        <v>0</v>
      </c>
      <c r="D1141" t="s">
        <v>36</v>
      </c>
      <c r="E1141">
        <v>1117</v>
      </c>
      <c r="F1141" t="s">
        <v>45</v>
      </c>
      <c r="G1141">
        <v>2</v>
      </c>
      <c r="H1141" t="str" cm="1">
        <f t="array" ref="H1141">_xlfn.IFS(G1141&gt;15,"Long Commute",G1141&gt;5,"Moderate",G1141&lt;=5,"Near Office")</f>
        <v>Near Office</v>
      </c>
      <c r="I1141" t="s">
        <v>78</v>
      </c>
      <c r="J1141" t="s">
        <v>38</v>
      </c>
      <c r="K1141">
        <v>1</v>
      </c>
      <c r="L1141" t="s">
        <v>39</v>
      </c>
      <c r="M1141">
        <v>72</v>
      </c>
      <c r="N1141">
        <v>4</v>
      </c>
      <c r="O1141">
        <v>1</v>
      </c>
      <c r="P1141" t="s">
        <v>47</v>
      </c>
      <c r="Q1141" t="s">
        <v>77</v>
      </c>
      <c r="R1141" t="s">
        <v>48</v>
      </c>
      <c r="S1141">
        <v>2011</v>
      </c>
      <c r="T1141" t="str" cm="1">
        <f t="array" ref="T1141">_xlfn.IFS(S1141&gt;=10000,"High (&gt;10k)",S1141&gt;=5000,"Medium (5k-10k)",S1141&lt;5000,"Low (&lt;5k)")</f>
        <v>Low (&lt;5k)</v>
      </c>
      <c r="U1141">
        <v>19982</v>
      </c>
      <c r="V1141">
        <v>1</v>
      </c>
      <c r="W1141" t="s">
        <v>43</v>
      </c>
      <c r="X1141">
        <v>13</v>
      </c>
      <c r="Y1141">
        <v>3</v>
      </c>
      <c r="Z1141">
        <v>4</v>
      </c>
      <c r="AA1141">
        <v>1</v>
      </c>
      <c r="AB1141">
        <v>10</v>
      </c>
      <c r="AC1141">
        <v>5</v>
      </c>
      <c r="AD1141" t="s">
        <v>74</v>
      </c>
      <c r="AE1141">
        <v>10</v>
      </c>
      <c r="AF1141" t="str" cm="1">
        <f t="array" ref="AF1141">_xlfn.IFS(AE1141&gt;=10,"Veteran (10y+)",AE1141&gt;=3,"Established (3-10y)",AE1141&lt;3,"New Hire (&lt;3y)")</f>
        <v>Veteran (10y+)</v>
      </c>
      <c r="AG1141">
        <v>5</v>
      </c>
      <c r="AH1141">
        <v>7</v>
      </c>
      <c r="AI1141">
        <v>7</v>
      </c>
    </row>
    <row r="1142" spans="1:35">
      <c r="A1142">
        <v>44</v>
      </c>
      <c r="B1142" t="str">
        <f t="shared" si="17"/>
        <v>Middle Aged</v>
      </c>
      <c r="C1142">
        <v>0</v>
      </c>
      <c r="D1142" t="s">
        <v>36</v>
      </c>
      <c r="E1142">
        <v>1099</v>
      </c>
      <c r="F1142" t="s">
        <v>37</v>
      </c>
      <c r="G1142">
        <v>5</v>
      </c>
      <c r="H1142" t="str" cm="1">
        <f t="array" ref="H1142">_xlfn.IFS(G1142&gt;15,"Long Commute",G1142&gt;5,"Moderate",G1142&lt;=5,"Near Office")</f>
        <v>Near Office</v>
      </c>
      <c r="I1142" t="s">
        <v>72</v>
      </c>
      <c r="J1142" t="s">
        <v>59</v>
      </c>
      <c r="K1142">
        <v>2</v>
      </c>
      <c r="L1142" t="s">
        <v>46</v>
      </c>
      <c r="M1142">
        <v>88</v>
      </c>
      <c r="N1142">
        <v>3</v>
      </c>
      <c r="O1142">
        <v>5</v>
      </c>
      <c r="P1142" t="s">
        <v>56</v>
      </c>
      <c r="Q1142" t="s">
        <v>75</v>
      </c>
      <c r="R1142" t="s">
        <v>48</v>
      </c>
      <c r="S1142">
        <v>18213</v>
      </c>
      <c r="T1142" t="str" cm="1">
        <f t="array" ref="T1142">_xlfn.IFS(S1142&gt;=10000,"High (&gt;10k)",S1142&gt;=5000,"Medium (5k-10k)",S1142&lt;5000,"Low (&lt;5k)")</f>
        <v>High (&gt;10k)</v>
      </c>
      <c r="U1142">
        <v>8751</v>
      </c>
      <c r="V1142">
        <v>7</v>
      </c>
      <c r="W1142" t="s">
        <v>43</v>
      </c>
      <c r="X1142">
        <v>11</v>
      </c>
      <c r="Y1142">
        <v>3</v>
      </c>
      <c r="Z1142">
        <v>3</v>
      </c>
      <c r="AA1142">
        <v>1</v>
      </c>
      <c r="AB1142">
        <v>26</v>
      </c>
      <c r="AC1142">
        <v>5</v>
      </c>
      <c r="AD1142" t="s">
        <v>74</v>
      </c>
      <c r="AE1142">
        <v>22</v>
      </c>
      <c r="AF1142" t="str" cm="1">
        <f t="array" ref="AF1142">_xlfn.IFS(AE1142&gt;=10,"Veteran (10y+)",AE1142&gt;=3,"Established (3-10y)",AE1142&lt;3,"New Hire (&lt;3y)")</f>
        <v>Veteran (10y+)</v>
      </c>
      <c r="AG1142">
        <v>9</v>
      </c>
      <c r="AH1142">
        <v>3</v>
      </c>
      <c r="AI1142">
        <v>10</v>
      </c>
    </row>
    <row r="1143" spans="1:35">
      <c r="A1143">
        <v>44</v>
      </c>
      <c r="B1143" t="str">
        <f t="shared" si="17"/>
        <v>Middle Aged</v>
      </c>
      <c r="C1143">
        <v>0</v>
      </c>
      <c r="D1143" t="s">
        <v>36</v>
      </c>
      <c r="E1143">
        <v>1199</v>
      </c>
      <c r="F1143" t="s">
        <v>45</v>
      </c>
      <c r="G1143">
        <v>4</v>
      </c>
      <c r="H1143" t="str" cm="1">
        <f t="array" ref="H1143">_xlfn.IFS(G1143&gt;15,"Long Commute",G1143&gt;5,"Moderate",G1143&lt;=5,"Near Office")</f>
        <v>Near Office</v>
      </c>
      <c r="I1143" t="s">
        <v>76</v>
      </c>
      <c r="J1143" t="s">
        <v>38</v>
      </c>
      <c r="K1143">
        <v>3</v>
      </c>
      <c r="L1143" t="s">
        <v>46</v>
      </c>
      <c r="M1143">
        <v>92</v>
      </c>
      <c r="N1143">
        <v>4</v>
      </c>
      <c r="O1143">
        <v>5</v>
      </c>
      <c r="P1143" t="s">
        <v>56</v>
      </c>
      <c r="Q1143" t="s">
        <v>82</v>
      </c>
      <c r="R1143" t="s">
        <v>52</v>
      </c>
      <c r="S1143">
        <v>19190</v>
      </c>
      <c r="T1143" t="str" cm="1">
        <f t="array" ref="T1143">_xlfn.IFS(S1143&gt;=10000,"High (&gt;10k)",S1143&gt;=5000,"Medium (5k-10k)",S1143&lt;5000,"Low (&lt;5k)")</f>
        <v>High (&gt;10k)</v>
      </c>
      <c r="U1143">
        <v>17477</v>
      </c>
      <c r="V1143">
        <v>1</v>
      </c>
      <c r="W1143" t="s">
        <v>43</v>
      </c>
      <c r="X1143">
        <v>14</v>
      </c>
      <c r="Y1143">
        <v>3</v>
      </c>
      <c r="Z1143">
        <v>4</v>
      </c>
      <c r="AA1143">
        <v>2</v>
      </c>
      <c r="AB1143">
        <v>26</v>
      </c>
      <c r="AC1143">
        <v>4</v>
      </c>
      <c r="AD1143" t="s">
        <v>81</v>
      </c>
      <c r="AE1143">
        <v>25</v>
      </c>
      <c r="AF1143" t="str" cm="1">
        <f t="array" ref="AF1143">_xlfn.IFS(AE1143&gt;=10,"Veteran (10y+)",AE1143&gt;=3,"Established (3-10y)",AE1143&lt;3,"New Hire (&lt;3y)")</f>
        <v>Veteran (10y+)</v>
      </c>
      <c r="AG1143">
        <v>9</v>
      </c>
      <c r="AH1143">
        <v>14</v>
      </c>
      <c r="AI1143">
        <v>13</v>
      </c>
    </row>
    <row r="1144" spans="1:35">
      <c r="A1144">
        <v>44</v>
      </c>
      <c r="B1144" t="str">
        <f t="shared" si="17"/>
        <v>Middle Aged</v>
      </c>
      <c r="C1144">
        <v>1</v>
      </c>
      <c r="D1144" t="s">
        <v>36</v>
      </c>
      <c r="E1144">
        <v>621</v>
      </c>
      <c r="F1144" t="s">
        <v>45</v>
      </c>
      <c r="G1144">
        <v>15</v>
      </c>
      <c r="H1144" t="str" cm="1">
        <f t="array" ref="H1144">_xlfn.IFS(G1144&gt;15,"Long Commute",G1144&gt;5,"Moderate",G1144&lt;=5,"Near Office")</f>
        <v>Moderate</v>
      </c>
      <c r="I1144" t="s">
        <v>72</v>
      </c>
      <c r="J1144" t="s">
        <v>51</v>
      </c>
      <c r="K1144">
        <v>1</v>
      </c>
      <c r="L1144" t="s">
        <v>39</v>
      </c>
      <c r="M1144">
        <v>73</v>
      </c>
      <c r="N1144">
        <v>3</v>
      </c>
      <c r="O1144">
        <v>3</v>
      </c>
      <c r="P1144" t="s">
        <v>54</v>
      </c>
      <c r="Q1144" t="s">
        <v>77</v>
      </c>
      <c r="R1144" t="s">
        <v>48</v>
      </c>
      <c r="S1144">
        <v>7978</v>
      </c>
      <c r="T1144" t="str" cm="1">
        <f t="array" ref="T1144">_xlfn.IFS(S1144&gt;=10000,"High (&gt;10k)",S1144&gt;=5000,"Medium (5k-10k)",S1144&lt;5000,"Low (&lt;5k)")</f>
        <v>Medium (5k-10k)</v>
      </c>
      <c r="U1144">
        <v>14075</v>
      </c>
      <c r="V1144">
        <v>1</v>
      </c>
      <c r="W1144" t="s">
        <v>43</v>
      </c>
      <c r="X1144">
        <v>11</v>
      </c>
      <c r="Y1144">
        <v>3</v>
      </c>
      <c r="Z1144">
        <v>4</v>
      </c>
      <c r="AA1144">
        <v>1</v>
      </c>
      <c r="AB1144">
        <v>10</v>
      </c>
      <c r="AC1144">
        <v>2</v>
      </c>
      <c r="AD1144" t="s">
        <v>74</v>
      </c>
      <c r="AE1144">
        <v>10</v>
      </c>
      <c r="AF1144" t="str" cm="1">
        <f t="array" ref="AF1144">_xlfn.IFS(AE1144&gt;=10,"Veteran (10y+)",AE1144&gt;=3,"Established (3-10y)",AE1144&lt;3,"New Hire (&lt;3y)")</f>
        <v>Veteran (10y+)</v>
      </c>
      <c r="AG1144">
        <v>7</v>
      </c>
      <c r="AH1144">
        <v>0</v>
      </c>
      <c r="AI1144">
        <v>5</v>
      </c>
    </row>
    <row r="1145" spans="1:35">
      <c r="A1145">
        <v>44</v>
      </c>
      <c r="B1145" t="str">
        <f t="shared" si="17"/>
        <v>Middle Aged</v>
      </c>
      <c r="C1145">
        <v>1</v>
      </c>
      <c r="D1145" t="s">
        <v>36</v>
      </c>
      <c r="E1145">
        <v>935</v>
      </c>
      <c r="F1145" t="s">
        <v>45</v>
      </c>
      <c r="G1145">
        <v>3</v>
      </c>
      <c r="H1145" t="str" cm="1">
        <f t="array" ref="H1145">_xlfn.IFS(G1145&gt;15,"Long Commute",G1145&gt;5,"Moderate",G1145&lt;=5,"Near Office")</f>
        <v>Near Office</v>
      </c>
      <c r="I1145" t="s">
        <v>72</v>
      </c>
      <c r="J1145" t="s">
        <v>38</v>
      </c>
      <c r="K1145">
        <v>1</v>
      </c>
      <c r="L1145" t="s">
        <v>46</v>
      </c>
      <c r="M1145">
        <v>89</v>
      </c>
      <c r="N1145">
        <v>3</v>
      </c>
      <c r="O1145">
        <v>1</v>
      </c>
      <c r="P1145" t="s">
        <v>50</v>
      </c>
      <c r="Q1145" t="s">
        <v>82</v>
      </c>
      <c r="R1145" t="s">
        <v>48</v>
      </c>
      <c r="S1145">
        <v>2362</v>
      </c>
      <c r="T1145" t="str" cm="1">
        <f t="array" ref="T1145">_xlfn.IFS(S1145&gt;=10000,"High (&gt;10k)",S1145&gt;=5000,"Medium (5k-10k)",S1145&lt;5000,"Low (&lt;5k)")</f>
        <v>Low (&lt;5k)</v>
      </c>
      <c r="U1145">
        <v>14669</v>
      </c>
      <c r="V1145">
        <v>4</v>
      </c>
      <c r="W1145" t="s">
        <v>43</v>
      </c>
      <c r="X1145">
        <v>12</v>
      </c>
      <c r="Y1145">
        <v>3</v>
      </c>
      <c r="Z1145">
        <v>3</v>
      </c>
      <c r="AA1145">
        <v>0</v>
      </c>
      <c r="AB1145">
        <v>10</v>
      </c>
      <c r="AC1145">
        <v>4</v>
      </c>
      <c r="AD1145" t="s">
        <v>79</v>
      </c>
      <c r="AE1145">
        <v>3</v>
      </c>
      <c r="AF1145" t="str" cm="1">
        <f t="array" ref="AF1145">_xlfn.IFS(AE1145&gt;=10,"Veteran (10y+)",AE1145&gt;=3,"Established (3-10y)",AE1145&lt;3,"New Hire (&lt;3y)")</f>
        <v>Established (3-10y)</v>
      </c>
      <c r="AG1145">
        <v>2</v>
      </c>
      <c r="AH1145">
        <v>1</v>
      </c>
      <c r="AI1145">
        <v>2</v>
      </c>
    </row>
    <row r="1146" spans="1:35">
      <c r="A1146">
        <v>44</v>
      </c>
      <c r="B1146" t="str">
        <f t="shared" si="17"/>
        <v>Middle Aged</v>
      </c>
      <c r="C1146">
        <v>0</v>
      </c>
      <c r="D1146" t="s">
        <v>55</v>
      </c>
      <c r="E1146">
        <v>981</v>
      </c>
      <c r="F1146" t="s">
        <v>45</v>
      </c>
      <c r="G1146">
        <v>5</v>
      </c>
      <c r="H1146" t="str" cm="1">
        <f t="array" ref="H1146">_xlfn.IFS(G1146&gt;15,"Long Commute",G1146&gt;5,"Moderate",G1146&lt;=5,"Near Office")</f>
        <v>Near Office</v>
      </c>
      <c r="I1146" t="s">
        <v>72</v>
      </c>
      <c r="J1146" t="s">
        <v>38</v>
      </c>
      <c r="K1146">
        <v>3</v>
      </c>
      <c r="L1146" t="s">
        <v>46</v>
      </c>
      <c r="M1146">
        <v>90</v>
      </c>
      <c r="N1146">
        <v>2</v>
      </c>
      <c r="O1146">
        <v>1</v>
      </c>
      <c r="P1146" t="s">
        <v>50</v>
      </c>
      <c r="Q1146" t="s">
        <v>73</v>
      </c>
      <c r="R1146" t="s">
        <v>41</v>
      </c>
      <c r="S1146">
        <v>3162</v>
      </c>
      <c r="T1146" t="str" cm="1">
        <f t="array" ref="T1146">_xlfn.IFS(S1146&gt;=10000,"High (&gt;10k)",S1146&gt;=5000,"Medium (5k-10k)",S1146&lt;5000,"Low (&lt;5k)")</f>
        <v>Low (&lt;5k)</v>
      </c>
      <c r="U1146">
        <v>7973</v>
      </c>
      <c r="V1146">
        <v>3</v>
      </c>
      <c r="W1146" t="s">
        <v>43</v>
      </c>
      <c r="X1146">
        <v>14</v>
      </c>
      <c r="Y1146">
        <v>3</v>
      </c>
      <c r="Z1146">
        <v>4</v>
      </c>
      <c r="AA1146">
        <v>0</v>
      </c>
      <c r="AB1146">
        <v>7</v>
      </c>
      <c r="AC1146">
        <v>5</v>
      </c>
      <c r="AD1146" t="s">
        <v>74</v>
      </c>
      <c r="AE1146">
        <v>5</v>
      </c>
      <c r="AF1146" t="str" cm="1">
        <f t="array" ref="AF1146">_xlfn.IFS(AE1146&gt;=10,"Veteran (10y+)",AE1146&gt;=3,"Established (3-10y)",AE1146&lt;3,"New Hire (&lt;3y)")</f>
        <v>Established (3-10y)</v>
      </c>
      <c r="AG1146">
        <v>2</v>
      </c>
      <c r="AH1146">
        <v>0</v>
      </c>
      <c r="AI1146">
        <v>3</v>
      </c>
    </row>
    <row r="1147" spans="1:35">
      <c r="A1147">
        <v>44</v>
      </c>
      <c r="B1147" t="str">
        <f t="shared" si="17"/>
        <v>Middle Aged</v>
      </c>
      <c r="C1147">
        <v>0</v>
      </c>
      <c r="D1147" t="s">
        <v>36</v>
      </c>
      <c r="E1147">
        <v>1467</v>
      </c>
      <c r="F1147" t="s">
        <v>45</v>
      </c>
      <c r="G1147">
        <v>20</v>
      </c>
      <c r="H1147" t="str" cm="1">
        <f t="array" ref="H1147">_xlfn.IFS(G1147&gt;15,"Long Commute",G1147&gt;5,"Moderate",G1147&lt;=5,"Near Office")</f>
        <v>Long Commute</v>
      </c>
      <c r="I1147" t="s">
        <v>72</v>
      </c>
      <c r="J1147" t="s">
        <v>38</v>
      </c>
      <c r="K1147">
        <v>4</v>
      </c>
      <c r="L1147" t="s">
        <v>46</v>
      </c>
      <c r="M1147">
        <v>49</v>
      </c>
      <c r="N1147">
        <v>3</v>
      </c>
      <c r="O1147">
        <v>1</v>
      </c>
      <c r="P1147" t="s">
        <v>47</v>
      </c>
      <c r="Q1147" t="s">
        <v>75</v>
      </c>
      <c r="R1147" t="s">
        <v>41</v>
      </c>
      <c r="S1147">
        <v>3420</v>
      </c>
      <c r="T1147" t="str" cm="1">
        <f t="array" ref="T1147">_xlfn.IFS(S1147&gt;=10000,"High (&gt;10k)",S1147&gt;=5000,"Medium (5k-10k)",S1147&lt;5000,"Low (&lt;5k)")</f>
        <v>Low (&lt;5k)</v>
      </c>
      <c r="U1147">
        <v>21158</v>
      </c>
      <c r="V1147">
        <v>1</v>
      </c>
      <c r="W1147" t="s">
        <v>43</v>
      </c>
      <c r="X1147">
        <v>13</v>
      </c>
      <c r="Y1147">
        <v>3</v>
      </c>
      <c r="Z1147">
        <v>3</v>
      </c>
      <c r="AA1147">
        <v>0</v>
      </c>
      <c r="AB1147">
        <v>6</v>
      </c>
      <c r="AC1147">
        <v>3</v>
      </c>
      <c r="AD1147" t="s">
        <v>81</v>
      </c>
      <c r="AE1147">
        <v>5</v>
      </c>
      <c r="AF1147" t="str" cm="1">
        <f t="array" ref="AF1147">_xlfn.IFS(AE1147&gt;=10,"Veteran (10y+)",AE1147&gt;=3,"Established (3-10y)",AE1147&lt;3,"New Hire (&lt;3y)")</f>
        <v>Established (3-10y)</v>
      </c>
      <c r="AG1147">
        <v>2</v>
      </c>
      <c r="AH1147">
        <v>1</v>
      </c>
      <c r="AI1147">
        <v>3</v>
      </c>
    </row>
    <row r="1148" spans="1:35">
      <c r="A1148">
        <v>44</v>
      </c>
      <c r="B1148" t="str">
        <f t="shared" si="17"/>
        <v>Middle Aged</v>
      </c>
      <c r="C1148">
        <v>0</v>
      </c>
      <c r="D1148" t="s">
        <v>44</v>
      </c>
      <c r="E1148">
        <v>383</v>
      </c>
      <c r="F1148" t="s">
        <v>37</v>
      </c>
      <c r="G1148">
        <v>1</v>
      </c>
      <c r="H1148" t="str" cm="1">
        <f t="array" ref="H1148">_xlfn.IFS(G1148&gt;15,"Long Commute",G1148&gt;5,"Moderate",G1148&lt;=5,"Near Office")</f>
        <v>Near Office</v>
      </c>
      <c r="I1148" t="s">
        <v>84</v>
      </c>
      <c r="J1148" t="s">
        <v>59</v>
      </c>
      <c r="K1148">
        <v>1</v>
      </c>
      <c r="L1148" t="s">
        <v>39</v>
      </c>
      <c r="M1148">
        <v>79</v>
      </c>
      <c r="N1148">
        <v>3</v>
      </c>
      <c r="O1148">
        <v>2</v>
      </c>
      <c r="P1148" t="s">
        <v>40</v>
      </c>
      <c r="Q1148" t="s">
        <v>73</v>
      </c>
      <c r="R1148" t="s">
        <v>48</v>
      </c>
      <c r="S1148">
        <v>4768</v>
      </c>
      <c r="T1148" t="str" cm="1">
        <f t="array" ref="T1148">_xlfn.IFS(S1148&gt;=10000,"High (&gt;10k)",S1148&gt;=5000,"Medium (5k-10k)",S1148&lt;5000,"Low (&lt;5k)")</f>
        <v>Low (&lt;5k)</v>
      </c>
      <c r="U1148">
        <v>9282</v>
      </c>
      <c r="V1148">
        <v>7</v>
      </c>
      <c r="W1148" t="s">
        <v>43</v>
      </c>
      <c r="X1148">
        <v>12</v>
      </c>
      <c r="Y1148">
        <v>3</v>
      </c>
      <c r="Z1148">
        <v>3</v>
      </c>
      <c r="AA1148">
        <v>1</v>
      </c>
      <c r="AB1148">
        <v>11</v>
      </c>
      <c r="AC1148">
        <v>4</v>
      </c>
      <c r="AD1148" t="s">
        <v>81</v>
      </c>
      <c r="AE1148">
        <v>1</v>
      </c>
      <c r="AF1148" t="str" cm="1">
        <f t="array" ref="AF1148">_xlfn.IFS(AE1148&gt;=10,"Veteran (10y+)",AE1148&gt;=3,"Established (3-10y)",AE1148&lt;3,"New Hire (&lt;3y)")</f>
        <v>New Hire (&lt;3y)</v>
      </c>
      <c r="AG1148">
        <v>0</v>
      </c>
      <c r="AH1148">
        <v>0</v>
      </c>
      <c r="AI1148">
        <v>0</v>
      </c>
    </row>
    <row r="1149" spans="1:35">
      <c r="A1149">
        <v>44</v>
      </c>
      <c r="B1149" t="str">
        <f t="shared" si="17"/>
        <v>Middle Aged</v>
      </c>
      <c r="C1149">
        <v>0</v>
      </c>
      <c r="D1149" t="s">
        <v>44</v>
      </c>
      <c r="E1149">
        <v>1193</v>
      </c>
      <c r="F1149" t="s">
        <v>45</v>
      </c>
      <c r="G1149">
        <v>2</v>
      </c>
      <c r="H1149" t="str" cm="1">
        <f t="array" ref="H1149">_xlfn.IFS(G1149&gt;15,"Long Commute",G1149&gt;5,"Moderate",G1149&lt;=5,"Near Office")</f>
        <v>Near Office</v>
      </c>
      <c r="I1149" t="s">
        <v>78</v>
      </c>
      <c r="J1149" t="s">
        <v>51</v>
      </c>
      <c r="K1149">
        <v>2</v>
      </c>
      <c r="L1149" t="s">
        <v>46</v>
      </c>
      <c r="M1149">
        <v>86</v>
      </c>
      <c r="N1149">
        <v>3</v>
      </c>
      <c r="O1149">
        <v>3</v>
      </c>
      <c r="P1149" t="s">
        <v>53</v>
      </c>
      <c r="Q1149" t="s">
        <v>73</v>
      </c>
      <c r="R1149" t="s">
        <v>41</v>
      </c>
      <c r="S1149">
        <v>10209</v>
      </c>
      <c r="T1149" t="str" cm="1">
        <f t="array" ref="T1149">_xlfn.IFS(S1149&gt;=10000,"High (&gt;10k)",S1149&gt;=5000,"Medium (5k-10k)",S1149&lt;5000,"Low (&lt;5k)")</f>
        <v>High (&gt;10k)</v>
      </c>
      <c r="U1149">
        <v>19719</v>
      </c>
      <c r="V1149">
        <v>5</v>
      </c>
      <c r="W1149" t="s">
        <v>35</v>
      </c>
      <c r="X1149">
        <v>18</v>
      </c>
      <c r="Y1149">
        <v>3</v>
      </c>
      <c r="Z1149">
        <v>2</v>
      </c>
      <c r="AA1149">
        <v>0</v>
      </c>
      <c r="AB1149">
        <v>16</v>
      </c>
      <c r="AC1149">
        <v>2</v>
      </c>
      <c r="AD1149" t="s">
        <v>81</v>
      </c>
      <c r="AE1149">
        <v>2</v>
      </c>
      <c r="AF1149" t="str" cm="1">
        <f t="array" ref="AF1149">_xlfn.IFS(AE1149&gt;=10,"Veteran (10y+)",AE1149&gt;=3,"Established (3-10y)",AE1149&lt;3,"New Hire (&lt;3y)")</f>
        <v>New Hire (&lt;3y)</v>
      </c>
      <c r="AG1149">
        <v>2</v>
      </c>
      <c r="AH1149">
        <v>2</v>
      </c>
      <c r="AI1149">
        <v>2</v>
      </c>
    </row>
    <row r="1150" spans="1:35">
      <c r="A1150">
        <v>44</v>
      </c>
      <c r="B1150" t="str">
        <f t="shared" si="17"/>
        <v>Middle Aged</v>
      </c>
      <c r="C1150">
        <v>0</v>
      </c>
      <c r="D1150" t="s">
        <v>36</v>
      </c>
      <c r="E1150">
        <v>136</v>
      </c>
      <c r="F1150" t="s">
        <v>45</v>
      </c>
      <c r="G1150">
        <v>28</v>
      </c>
      <c r="H1150" t="str" cm="1">
        <f t="array" ref="H1150">_xlfn.IFS(G1150&gt;15,"Long Commute",G1150&gt;5,"Moderate",G1150&lt;=5,"Near Office")</f>
        <v>Long Commute</v>
      </c>
      <c r="I1150" t="s">
        <v>72</v>
      </c>
      <c r="J1150" t="s">
        <v>38</v>
      </c>
      <c r="K1150">
        <v>4</v>
      </c>
      <c r="L1150" t="s">
        <v>46</v>
      </c>
      <c r="M1150">
        <v>32</v>
      </c>
      <c r="N1150">
        <v>3</v>
      </c>
      <c r="O1150">
        <v>4</v>
      </c>
      <c r="P1150" t="s">
        <v>58</v>
      </c>
      <c r="Q1150" t="s">
        <v>82</v>
      </c>
      <c r="R1150" t="s">
        <v>48</v>
      </c>
      <c r="S1150">
        <v>16328</v>
      </c>
      <c r="T1150" t="str" cm="1">
        <f t="array" ref="T1150">_xlfn.IFS(S1150&gt;=10000,"High (&gt;10k)",S1150&gt;=5000,"Medium (5k-10k)",S1150&lt;5000,"Low (&lt;5k)")</f>
        <v>High (&gt;10k)</v>
      </c>
      <c r="U1150">
        <v>22074</v>
      </c>
      <c r="V1150">
        <v>3</v>
      </c>
      <c r="W1150" t="s">
        <v>43</v>
      </c>
      <c r="X1150">
        <v>13</v>
      </c>
      <c r="Y1150">
        <v>3</v>
      </c>
      <c r="Z1150">
        <v>3</v>
      </c>
      <c r="AA1150">
        <v>1</v>
      </c>
      <c r="AB1150">
        <v>24</v>
      </c>
      <c r="AC1150">
        <v>1</v>
      </c>
      <c r="AD1150" t="s">
        <v>79</v>
      </c>
      <c r="AE1150">
        <v>20</v>
      </c>
      <c r="AF1150" t="str" cm="1">
        <f t="array" ref="AF1150">_xlfn.IFS(AE1150&gt;=10,"Veteran (10y+)",AE1150&gt;=3,"Established (3-10y)",AE1150&lt;3,"New Hire (&lt;3y)")</f>
        <v>Veteran (10y+)</v>
      </c>
      <c r="AG1150">
        <v>6</v>
      </c>
      <c r="AH1150">
        <v>14</v>
      </c>
      <c r="AI1150">
        <v>17</v>
      </c>
    </row>
    <row r="1151" spans="1:35">
      <c r="A1151">
        <v>44</v>
      </c>
      <c r="B1151" t="str">
        <f t="shared" si="17"/>
        <v>Middle Aged</v>
      </c>
      <c r="C1151">
        <v>0</v>
      </c>
      <c r="D1151" t="s">
        <v>36</v>
      </c>
      <c r="E1151">
        <v>1313</v>
      </c>
      <c r="F1151" t="s">
        <v>45</v>
      </c>
      <c r="G1151">
        <v>7</v>
      </c>
      <c r="H1151" t="str" cm="1">
        <f t="array" ref="H1151">_xlfn.IFS(G1151&gt;15,"Long Commute",G1151&gt;5,"Moderate",G1151&lt;=5,"Near Office")</f>
        <v>Moderate</v>
      </c>
      <c r="I1151" t="s">
        <v>72</v>
      </c>
      <c r="J1151" t="s">
        <v>51</v>
      </c>
      <c r="K1151">
        <v>2</v>
      </c>
      <c r="L1151" t="s">
        <v>39</v>
      </c>
      <c r="M1151">
        <v>31</v>
      </c>
      <c r="N1151">
        <v>3</v>
      </c>
      <c r="O1151">
        <v>5</v>
      </c>
      <c r="P1151" t="s">
        <v>58</v>
      </c>
      <c r="Q1151" t="s">
        <v>77</v>
      </c>
      <c r="R1151" t="s">
        <v>52</v>
      </c>
      <c r="S1151">
        <v>19049</v>
      </c>
      <c r="T1151" t="str" cm="1">
        <f t="array" ref="T1151">_xlfn.IFS(S1151&gt;=10000,"High (&gt;10k)",S1151&gt;=5000,"Medium (5k-10k)",S1151&lt;5000,"Low (&lt;5k)")</f>
        <v>High (&gt;10k)</v>
      </c>
      <c r="U1151">
        <v>3549</v>
      </c>
      <c r="V1151">
        <v>0</v>
      </c>
      <c r="W1151" t="s">
        <v>35</v>
      </c>
      <c r="X1151">
        <v>14</v>
      </c>
      <c r="Y1151">
        <v>3</v>
      </c>
      <c r="Z1151">
        <v>4</v>
      </c>
      <c r="AA1151">
        <v>1</v>
      </c>
      <c r="AB1151">
        <v>23</v>
      </c>
      <c r="AC1151">
        <v>4</v>
      </c>
      <c r="AD1151" t="s">
        <v>81</v>
      </c>
      <c r="AE1151">
        <v>22</v>
      </c>
      <c r="AF1151" t="str" cm="1">
        <f t="array" ref="AF1151">_xlfn.IFS(AE1151&gt;=10,"Veteran (10y+)",AE1151&gt;=3,"Established (3-10y)",AE1151&lt;3,"New Hire (&lt;3y)")</f>
        <v>Veteran (10y+)</v>
      </c>
      <c r="AG1151">
        <v>7</v>
      </c>
      <c r="AH1151">
        <v>1</v>
      </c>
      <c r="AI1151">
        <v>10</v>
      </c>
    </row>
    <row r="1152" spans="1:35">
      <c r="A1152">
        <v>44</v>
      </c>
      <c r="B1152" t="str">
        <f t="shared" si="17"/>
        <v>Middle Aged</v>
      </c>
      <c r="C1152">
        <v>0</v>
      </c>
      <c r="D1152" t="s">
        <v>44</v>
      </c>
      <c r="E1152">
        <v>602</v>
      </c>
      <c r="F1152" t="s">
        <v>61</v>
      </c>
      <c r="G1152">
        <v>1</v>
      </c>
      <c r="H1152" t="str" cm="1">
        <f t="array" ref="H1152">_xlfn.IFS(G1152&gt;15,"Long Commute",G1152&gt;5,"Moderate",G1152&lt;=5,"Near Office")</f>
        <v>Near Office</v>
      </c>
      <c r="I1152" t="s">
        <v>84</v>
      </c>
      <c r="J1152" t="s">
        <v>61</v>
      </c>
      <c r="K1152">
        <v>1</v>
      </c>
      <c r="L1152" t="s">
        <v>46</v>
      </c>
      <c r="M1152">
        <v>37</v>
      </c>
      <c r="N1152">
        <v>3</v>
      </c>
      <c r="O1152">
        <v>2</v>
      </c>
      <c r="P1152" t="s">
        <v>61</v>
      </c>
      <c r="Q1152" t="s">
        <v>77</v>
      </c>
      <c r="R1152" t="s">
        <v>48</v>
      </c>
      <c r="S1152">
        <v>5743</v>
      </c>
      <c r="T1152" t="str" cm="1">
        <f t="array" ref="T1152">_xlfn.IFS(S1152&gt;=10000,"High (&gt;10k)",S1152&gt;=5000,"Medium (5k-10k)",S1152&lt;5000,"Low (&lt;5k)")</f>
        <v>Medium (5k-10k)</v>
      </c>
      <c r="U1152">
        <v>10503</v>
      </c>
      <c r="V1152">
        <v>4</v>
      </c>
      <c r="W1152" t="s">
        <v>35</v>
      </c>
      <c r="X1152">
        <v>11</v>
      </c>
      <c r="Y1152">
        <v>3</v>
      </c>
      <c r="Z1152">
        <v>3</v>
      </c>
      <c r="AA1152">
        <v>0</v>
      </c>
      <c r="AB1152">
        <v>14</v>
      </c>
      <c r="AC1152">
        <v>3</v>
      </c>
      <c r="AD1152" t="s">
        <v>74</v>
      </c>
      <c r="AE1152">
        <v>10</v>
      </c>
      <c r="AF1152" t="str" cm="1">
        <f t="array" ref="AF1152">_xlfn.IFS(AE1152&gt;=10,"Veteran (10y+)",AE1152&gt;=3,"Established (3-10y)",AE1152&lt;3,"New Hire (&lt;3y)")</f>
        <v>Veteran (10y+)</v>
      </c>
      <c r="AG1152">
        <v>7</v>
      </c>
      <c r="AH1152">
        <v>0</v>
      </c>
      <c r="AI1152">
        <v>2</v>
      </c>
    </row>
    <row r="1153" spans="1:35">
      <c r="A1153">
        <v>44</v>
      </c>
      <c r="B1153" t="str">
        <f t="shared" si="17"/>
        <v>Middle Aged</v>
      </c>
      <c r="C1153">
        <v>0</v>
      </c>
      <c r="D1153" t="s">
        <v>36</v>
      </c>
      <c r="E1153">
        <v>528</v>
      </c>
      <c r="F1153" t="s">
        <v>61</v>
      </c>
      <c r="G1153">
        <v>1</v>
      </c>
      <c r="H1153" t="str" cm="1">
        <f t="array" ref="H1153">_xlfn.IFS(G1153&gt;15,"Long Commute",G1153&gt;5,"Moderate",G1153&lt;=5,"Near Office")</f>
        <v>Near Office</v>
      </c>
      <c r="I1153" t="s">
        <v>72</v>
      </c>
      <c r="J1153" t="s">
        <v>38</v>
      </c>
      <c r="K1153">
        <v>3</v>
      </c>
      <c r="L1153" t="s">
        <v>39</v>
      </c>
      <c r="M1153">
        <v>44</v>
      </c>
      <c r="N1153">
        <v>3</v>
      </c>
      <c r="O1153">
        <v>1</v>
      </c>
      <c r="P1153" t="s">
        <v>61</v>
      </c>
      <c r="Q1153" t="s">
        <v>77</v>
      </c>
      <c r="R1153" t="s">
        <v>52</v>
      </c>
      <c r="S1153">
        <v>3195</v>
      </c>
      <c r="T1153" t="str" cm="1">
        <f t="array" ref="T1153">_xlfn.IFS(S1153&gt;=10000,"High (&gt;10k)",S1153&gt;=5000,"Medium (5k-10k)",S1153&lt;5000,"Low (&lt;5k)")</f>
        <v>Low (&lt;5k)</v>
      </c>
      <c r="U1153">
        <v>4167</v>
      </c>
      <c r="V1153">
        <v>4</v>
      </c>
      <c r="W1153" t="s">
        <v>35</v>
      </c>
      <c r="X1153">
        <v>18</v>
      </c>
      <c r="Y1153">
        <v>3</v>
      </c>
      <c r="Z1153">
        <v>1</v>
      </c>
      <c r="AA1153">
        <v>3</v>
      </c>
      <c r="AB1153">
        <v>8</v>
      </c>
      <c r="AC1153">
        <v>2</v>
      </c>
      <c r="AD1153" t="s">
        <v>74</v>
      </c>
      <c r="AE1153">
        <v>2</v>
      </c>
      <c r="AF1153" t="str" cm="1">
        <f t="array" ref="AF1153">_xlfn.IFS(AE1153&gt;=10,"Veteran (10y+)",AE1153&gt;=3,"Established (3-10y)",AE1153&lt;3,"New Hire (&lt;3y)")</f>
        <v>New Hire (&lt;3y)</v>
      </c>
      <c r="AG1153">
        <v>2</v>
      </c>
      <c r="AH1153">
        <v>2</v>
      </c>
      <c r="AI1153">
        <v>2</v>
      </c>
    </row>
    <row r="1154" spans="1:35">
      <c r="A1154">
        <v>44</v>
      </c>
      <c r="B1154" t="str">
        <f t="shared" si="17"/>
        <v>Middle Aged</v>
      </c>
      <c r="C1154">
        <v>0</v>
      </c>
      <c r="D1154" t="s">
        <v>36</v>
      </c>
      <c r="E1154">
        <v>921</v>
      </c>
      <c r="F1154" t="s">
        <v>45</v>
      </c>
      <c r="G1154">
        <v>2</v>
      </c>
      <c r="H1154" t="str" cm="1">
        <f t="array" ref="H1154">_xlfn.IFS(G1154&gt;15,"Long Commute",G1154&gt;5,"Moderate",G1154&lt;=5,"Near Office")</f>
        <v>Near Office</v>
      </c>
      <c r="I1154" t="s">
        <v>72</v>
      </c>
      <c r="J1154" t="s">
        <v>38</v>
      </c>
      <c r="K1154">
        <v>3</v>
      </c>
      <c r="L1154" t="s">
        <v>39</v>
      </c>
      <c r="M1154">
        <v>96</v>
      </c>
      <c r="N1154">
        <v>4</v>
      </c>
      <c r="O1154">
        <v>3</v>
      </c>
      <c r="P1154" t="s">
        <v>54</v>
      </c>
      <c r="Q1154" t="s">
        <v>77</v>
      </c>
      <c r="R1154" t="s">
        <v>48</v>
      </c>
      <c r="S1154">
        <v>7879</v>
      </c>
      <c r="T1154" t="str" cm="1">
        <f t="array" ref="T1154">_xlfn.IFS(S1154&gt;=10000,"High (&gt;10k)",S1154&gt;=5000,"Medium (5k-10k)",S1154&lt;5000,"Low (&lt;5k)")</f>
        <v>Medium (5k-10k)</v>
      </c>
      <c r="U1154">
        <v>14810</v>
      </c>
      <c r="V1154">
        <v>1</v>
      </c>
      <c r="W1154" t="s">
        <v>35</v>
      </c>
      <c r="X1154">
        <v>19</v>
      </c>
      <c r="Y1154">
        <v>3</v>
      </c>
      <c r="Z1154">
        <v>2</v>
      </c>
      <c r="AA1154">
        <v>1</v>
      </c>
      <c r="AB1154">
        <v>9</v>
      </c>
      <c r="AC1154">
        <v>2</v>
      </c>
      <c r="AD1154" t="s">
        <v>74</v>
      </c>
      <c r="AE1154">
        <v>8</v>
      </c>
      <c r="AF1154" t="str" cm="1">
        <f t="array" ref="AF1154">_xlfn.IFS(AE1154&gt;=10,"Veteran (10y+)",AE1154&gt;=3,"Established (3-10y)",AE1154&lt;3,"New Hire (&lt;3y)")</f>
        <v>Established (3-10y)</v>
      </c>
      <c r="AG1154">
        <v>7</v>
      </c>
      <c r="AH1154">
        <v>6</v>
      </c>
      <c r="AI1154">
        <v>7</v>
      </c>
    </row>
    <row r="1155" spans="1:35">
      <c r="A1155">
        <v>44</v>
      </c>
      <c r="B1155" t="str">
        <f t="shared" ref="B1155:B1218" si="18">IF(A1155&gt;=46,"Senior",IF(A1155&gt;=30,"Middle Aged","Young Adults"))</f>
        <v>Middle Aged</v>
      </c>
      <c r="C1155">
        <v>1</v>
      </c>
      <c r="D1155" t="s">
        <v>44</v>
      </c>
      <c r="E1155">
        <v>429</v>
      </c>
      <c r="F1155" t="s">
        <v>45</v>
      </c>
      <c r="G1155">
        <v>1</v>
      </c>
      <c r="H1155" t="str" cm="1">
        <f t="array" ref="H1155">_xlfn.IFS(G1155&gt;15,"Long Commute",G1155&gt;5,"Moderate",G1155&lt;=5,"Near Office")</f>
        <v>Near Office</v>
      </c>
      <c r="I1155" t="s">
        <v>76</v>
      </c>
      <c r="J1155" t="s">
        <v>51</v>
      </c>
      <c r="K1155">
        <v>3</v>
      </c>
      <c r="L1155" t="s">
        <v>46</v>
      </c>
      <c r="M1155">
        <v>99</v>
      </c>
      <c r="N1155">
        <v>3</v>
      </c>
      <c r="O1155">
        <v>1</v>
      </c>
      <c r="P1155" t="s">
        <v>47</v>
      </c>
      <c r="Q1155" t="s">
        <v>75</v>
      </c>
      <c r="R1155" t="s">
        <v>52</v>
      </c>
      <c r="S1155">
        <v>2342</v>
      </c>
      <c r="T1155" t="str" cm="1">
        <f t="array" ref="T1155">_xlfn.IFS(S1155&gt;=10000,"High (&gt;10k)",S1155&gt;=5000,"Medium (5k-10k)",S1155&lt;5000,"Low (&lt;5k)")</f>
        <v>Low (&lt;5k)</v>
      </c>
      <c r="U1155">
        <v>11092</v>
      </c>
      <c r="V1155">
        <v>1</v>
      </c>
      <c r="W1155" t="s">
        <v>35</v>
      </c>
      <c r="X1155">
        <v>12</v>
      </c>
      <c r="Y1155">
        <v>3</v>
      </c>
      <c r="Z1155">
        <v>3</v>
      </c>
      <c r="AA1155">
        <v>3</v>
      </c>
      <c r="AB1155">
        <v>6</v>
      </c>
      <c r="AC1155">
        <v>2</v>
      </c>
      <c r="AD1155" t="s">
        <v>81</v>
      </c>
      <c r="AE1155">
        <v>5</v>
      </c>
      <c r="AF1155" t="str" cm="1">
        <f t="array" ref="AF1155">_xlfn.IFS(AE1155&gt;=10,"Veteran (10y+)",AE1155&gt;=3,"Established (3-10y)",AE1155&lt;3,"New Hire (&lt;3y)")</f>
        <v>Established (3-10y)</v>
      </c>
      <c r="AG1155">
        <v>3</v>
      </c>
      <c r="AH1155">
        <v>2</v>
      </c>
      <c r="AI1155">
        <v>3</v>
      </c>
    </row>
    <row r="1156" spans="1:35">
      <c r="A1156">
        <v>44</v>
      </c>
      <c r="B1156" t="str">
        <f t="shared" si="18"/>
        <v>Middle Aged</v>
      </c>
      <c r="C1156">
        <v>0</v>
      </c>
      <c r="D1156" t="s">
        <v>36</v>
      </c>
      <c r="E1156">
        <v>170</v>
      </c>
      <c r="F1156" t="s">
        <v>45</v>
      </c>
      <c r="G1156">
        <v>1</v>
      </c>
      <c r="H1156" t="str" cm="1">
        <f t="array" ref="H1156">_xlfn.IFS(G1156&gt;15,"Long Commute",G1156&gt;5,"Moderate",G1156&lt;=5,"Near Office")</f>
        <v>Near Office</v>
      </c>
      <c r="I1156" t="s">
        <v>83</v>
      </c>
      <c r="J1156" t="s">
        <v>38</v>
      </c>
      <c r="K1156">
        <v>2</v>
      </c>
      <c r="L1156" t="s">
        <v>46</v>
      </c>
      <c r="M1156">
        <v>78</v>
      </c>
      <c r="N1156">
        <v>4</v>
      </c>
      <c r="O1156">
        <v>2</v>
      </c>
      <c r="P1156" t="s">
        <v>54</v>
      </c>
      <c r="Q1156" t="s">
        <v>82</v>
      </c>
      <c r="R1156" t="s">
        <v>48</v>
      </c>
      <c r="S1156">
        <v>5033</v>
      </c>
      <c r="T1156" t="str" cm="1">
        <f t="array" ref="T1156">_xlfn.IFS(S1156&gt;=10000,"High (&gt;10k)",S1156&gt;=5000,"Medium (5k-10k)",S1156&lt;5000,"Low (&lt;5k)")</f>
        <v>Medium (5k-10k)</v>
      </c>
      <c r="U1156">
        <v>9364</v>
      </c>
      <c r="V1156">
        <v>2</v>
      </c>
      <c r="W1156" t="s">
        <v>43</v>
      </c>
      <c r="X1156">
        <v>15</v>
      </c>
      <c r="Y1156">
        <v>3</v>
      </c>
      <c r="Z1156">
        <v>4</v>
      </c>
      <c r="AA1156">
        <v>1</v>
      </c>
      <c r="AB1156">
        <v>10</v>
      </c>
      <c r="AC1156">
        <v>5</v>
      </c>
      <c r="AD1156" t="s">
        <v>74</v>
      </c>
      <c r="AE1156">
        <v>2</v>
      </c>
      <c r="AF1156" t="str" cm="1">
        <f t="array" ref="AF1156">_xlfn.IFS(AE1156&gt;=10,"Veteran (10y+)",AE1156&gt;=3,"Established (3-10y)",AE1156&lt;3,"New Hire (&lt;3y)")</f>
        <v>New Hire (&lt;3y)</v>
      </c>
      <c r="AG1156">
        <v>0</v>
      </c>
      <c r="AH1156">
        <v>2</v>
      </c>
      <c r="AI1156">
        <v>2</v>
      </c>
    </row>
    <row r="1157" spans="1:35">
      <c r="A1157">
        <v>44</v>
      </c>
      <c r="B1157" t="str">
        <f t="shared" si="18"/>
        <v>Middle Aged</v>
      </c>
      <c r="C1157">
        <v>0</v>
      </c>
      <c r="D1157" t="s">
        <v>36</v>
      </c>
      <c r="E1157">
        <v>1037</v>
      </c>
      <c r="F1157" t="s">
        <v>45</v>
      </c>
      <c r="G1157">
        <v>1</v>
      </c>
      <c r="H1157" t="str" cm="1">
        <f t="array" ref="H1157">_xlfn.IFS(G1157&gt;15,"Long Commute",G1157&gt;5,"Moderate",G1157&lt;=5,"Near Office")</f>
        <v>Near Office</v>
      </c>
      <c r="I1157" t="s">
        <v>72</v>
      </c>
      <c r="J1157" t="s">
        <v>51</v>
      </c>
      <c r="K1157">
        <v>2</v>
      </c>
      <c r="L1157" t="s">
        <v>46</v>
      </c>
      <c r="M1157">
        <v>42</v>
      </c>
      <c r="N1157">
        <v>3</v>
      </c>
      <c r="O1157">
        <v>1</v>
      </c>
      <c r="P1157" t="s">
        <v>47</v>
      </c>
      <c r="Q1157" t="s">
        <v>77</v>
      </c>
      <c r="R1157" t="s">
        <v>41</v>
      </c>
      <c r="S1157">
        <v>2436</v>
      </c>
      <c r="T1157" t="str" cm="1">
        <f t="array" ref="T1157">_xlfn.IFS(S1157&gt;=10000,"High (&gt;10k)",S1157&gt;=5000,"Medium (5k-10k)",S1157&lt;5000,"Low (&lt;5k)")</f>
        <v>Low (&lt;5k)</v>
      </c>
      <c r="U1157">
        <v>13422</v>
      </c>
      <c r="V1157">
        <v>6</v>
      </c>
      <c r="W1157" t="s">
        <v>35</v>
      </c>
      <c r="X1157">
        <v>12</v>
      </c>
      <c r="Y1157">
        <v>3</v>
      </c>
      <c r="Z1157">
        <v>3</v>
      </c>
      <c r="AA1157">
        <v>0</v>
      </c>
      <c r="AB1157">
        <v>6</v>
      </c>
      <c r="AC1157">
        <v>2</v>
      </c>
      <c r="AD1157" t="s">
        <v>74</v>
      </c>
      <c r="AE1157">
        <v>4</v>
      </c>
      <c r="AF1157" t="str" cm="1">
        <f t="array" ref="AF1157">_xlfn.IFS(AE1157&gt;=10,"Veteran (10y+)",AE1157&gt;=3,"Established (3-10y)",AE1157&lt;3,"New Hire (&lt;3y)")</f>
        <v>Established (3-10y)</v>
      </c>
      <c r="AG1157">
        <v>3</v>
      </c>
      <c r="AH1157">
        <v>1</v>
      </c>
      <c r="AI1157">
        <v>2</v>
      </c>
    </row>
    <row r="1158" spans="1:35">
      <c r="A1158">
        <v>45</v>
      </c>
      <c r="B1158" t="str">
        <f t="shared" si="18"/>
        <v>Middle Aged</v>
      </c>
      <c r="C1158">
        <v>0</v>
      </c>
      <c r="D1158" t="s">
        <v>36</v>
      </c>
      <c r="E1158">
        <v>1339</v>
      </c>
      <c r="F1158" t="s">
        <v>45</v>
      </c>
      <c r="G1158">
        <v>7</v>
      </c>
      <c r="H1158" t="str" cm="1">
        <f t="array" ref="H1158">_xlfn.IFS(G1158&gt;15,"Long Commute",G1158&gt;5,"Moderate",G1158&lt;=5,"Near Office")</f>
        <v>Moderate</v>
      </c>
      <c r="I1158" t="s">
        <v>72</v>
      </c>
      <c r="J1158" t="s">
        <v>38</v>
      </c>
      <c r="K1158">
        <v>2</v>
      </c>
      <c r="L1158" t="s">
        <v>46</v>
      </c>
      <c r="M1158">
        <v>59</v>
      </c>
      <c r="N1158">
        <v>3</v>
      </c>
      <c r="O1158">
        <v>3</v>
      </c>
      <c r="P1158" t="s">
        <v>47</v>
      </c>
      <c r="Q1158" t="s">
        <v>82</v>
      </c>
      <c r="R1158" t="s">
        <v>52</v>
      </c>
      <c r="S1158">
        <v>9724</v>
      </c>
      <c r="T1158" t="str" cm="1">
        <f t="array" ref="T1158">_xlfn.IFS(S1158&gt;=10000,"High (&gt;10k)",S1158&gt;=5000,"Medium (5k-10k)",S1158&lt;5000,"Low (&lt;5k)")</f>
        <v>Medium (5k-10k)</v>
      </c>
      <c r="U1158">
        <v>18787</v>
      </c>
      <c r="V1158">
        <v>2</v>
      </c>
      <c r="W1158" t="s">
        <v>43</v>
      </c>
      <c r="X1158">
        <v>17</v>
      </c>
      <c r="Y1158">
        <v>3</v>
      </c>
      <c r="Z1158">
        <v>3</v>
      </c>
      <c r="AA1158">
        <v>1</v>
      </c>
      <c r="AB1158">
        <v>25</v>
      </c>
      <c r="AC1158">
        <v>2</v>
      </c>
      <c r="AD1158" t="s">
        <v>74</v>
      </c>
      <c r="AE1158">
        <v>1</v>
      </c>
      <c r="AF1158" t="str" cm="1">
        <f t="array" ref="AF1158">_xlfn.IFS(AE1158&gt;=10,"Veteran (10y+)",AE1158&gt;=3,"Established (3-10y)",AE1158&lt;3,"New Hire (&lt;3y)")</f>
        <v>New Hire (&lt;3y)</v>
      </c>
      <c r="AG1158">
        <v>0</v>
      </c>
      <c r="AH1158">
        <v>0</v>
      </c>
      <c r="AI1158">
        <v>0</v>
      </c>
    </row>
    <row r="1159" spans="1:35">
      <c r="A1159">
        <v>45</v>
      </c>
      <c r="B1159" t="str">
        <f t="shared" si="18"/>
        <v>Middle Aged</v>
      </c>
      <c r="C1159">
        <v>0</v>
      </c>
      <c r="D1159" t="s">
        <v>36</v>
      </c>
      <c r="E1159">
        <v>193</v>
      </c>
      <c r="F1159" t="s">
        <v>45</v>
      </c>
      <c r="G1159">
        <v>6</v>
      </c>
      <c r="H1159" t="str" cm="1">
        <f t="array" ref="H1159">_xlfn.IFS(G1159&gt;15,"Long Commute",G1159&gt;5,"Moderate",G1159&lt;=5,"Near Office")</f>
        <v>Moderate</v>
      </c>
      <c r="I1159" t="s">
        <v>83</v>
      </c>
      <c r="J1159" t="s">
        <v>49</v>
      </c>
      <c r="K1159">
        <v>4</v>
      </c>
      <c r="L1159" t="s">
        <v>46</v>
      </c>
      <c r="M1159">
        <v>52</v>
      </c>
      <c r="N1159">
        <v>3</v>
      </c>
      <c r="O1159">
        <v>3</v>
      </c>
      <c r="P1159" t="s">
        <v>58</v>
      </c>
      <c r="Q1159" t="s">
        <v>82</v>
      </c>
      <c r="R1159" t="s">
        <v>48</v>
      </c>
      <c r="S1159">
        <v>13245</v>
      </c>
      <c r="T1159" t="str" cm="1">
        <f t="array" ref="T1159">_xlfn.IFS(S1159&gt;=10000,"High (&gt;10k)",S1159&gt;=5000,"Medium (5k-10k)",S1159&lt;5000,"Low (&lt;5k)")</f>
        <v>High (&gt;10k)</v>
      </c>
      <c r="U1159">
        <v>15067</v>
      </c>
      <c r="V1159">
        <v>4</v>
      </c>
      <c r="W1159" t="s">
        <v>35</v>
      </c>
      <c r="X1159">
        <v>14</v>
      </c>
      <c r="Y1159">
        <v>3</v>
      </c>
      <c r="Z1159">
        <v>2</v>
      </c>
      <c r="AA1159">
        <v>0</v>
      </c>
      <c r="AB1159">
        <v>17</v>
      </c>
      <c r="AC1159">
        <v>3</v>
      </c>
      <c r="AD1159" t="s">
        <v>79</v>
      </c>
      <c r="AE1159">
        <v>0</v>
      </c>
      <c r="AF1159" t="str" cm="1">
        <f t="array" ref="AF1159">_xlfn.IFS(AE1159&gt;=10,"Veteran (10y+)",AE1159&gt;=3,"Established (3-10y)",AE1159&lt;3,"New Hire (&lt;3y)")</f>
        <v>New Hire (&lt;3y)</v>
      </c>
      <c r="AG1159">
        <v>0</v>
      </c>
      <c r="AH1159">
        <v>0</v>
      </c>
      <c r="AI1159">
        <v>0</v>
      </c>
    </row>
    <row r="1160" spans="1:35">
      <c r="A1160">
        <v>45</v>
      </c>
      <c r="B1160" t="str">
        <f t="shared" si="18"/>
        <v>Middle Aged</v>
      </c>
      <c r="C1160">
        <v>0</v>
      </c>
      <c r="D1160" t="s">
        <v>36</v>
      </c>
      <c r="E1160">
        <v>1316</v>
      </c>
      <c r="F1160" t="s">
        <v>45</v>
      </c>
      <c r="G1160">
        <v>29</v>
      </c>
      <c r="H1160" t="str" cm="1">
        <f t="array" ref="H1160">_xlfn.IFS(G1160&gt;15,"Long Commute",G1160&gt;5,"Moderate",G1160&lt;=5,"Near Office")</f>
        <v>Long Commute</v>
      </c>
      <c r="I1160" t="s">
        <v>72</v>
      </c>
      <c r="J1160" t="s">
        <v>51</v>
      </c>
      <c r="K1160">
        <v>3</v>
      </c>
      <c r="L1160" t="s">
        <v>46</v>
      </c>
      <c r="M1160">
        <v>83</v>
      </c>
      <c r="N1160">
        <v>3</v>
      </c>
      <c r="O1160">
        <v>1</v>
      </c>
      <c r="P1160" t="s">
        <v>47</v>
      </c>
      <c r="Q1160" t="s">
        <v>77</v>
      </c>
      <c r="R1160" t="s">
        <v>41</v>
      </c>
      <c r="S1160">
        <v>3452</v>
      </c>
      <c r="T1160" t="str" cm="1">
        <f t="array" ref="T1160">_xlfn.IFS(S1160&gt;=10000,"High (&gt;10k)",S1160&gt;=5000,"Medium (5k-10k)",S1160&lt;5000,"Low (&lt;5k)")</f>
        <v>Low (&lt;5k)</v>
      </c>
      <c r="U1160">
        <v>9752</v>
      </c>
      <c r="V1160">
        <v>5</v>
      </c>
      <c r="W1160" t="s">
        <v>43</v>
      </c>
      <c r="X1160">
        <v>13</v>
      </c>
      <c r="Y1160">
        <v>3</v>
      </c>
      <c r="Z1160">
        <v>2</v>
      </c>
      <c r="AA1160">
        <v>0</v>
      </c>
      <c r="AB1160">
        <v>9</v>
      </c>
      <c r="AC1160">
        <v>2</v>
      </c>
      <c r="AD1160" t="s">
        <v>81</v>
      </c>
      <c r="AE1160">
        <v>6</v>
      </c>
      <c r="AF1160" t="str" cm="1">
        <f t="array" ref="AF1160">_xlfn.IFS(AE1160&gt;=10,"Veteran (10y+)",AE1160&gt;=3,"Established (3-10y)",AE1160&lt;3,"New Hire (&lt;3y)")</f>
        <v>Established (3-10y)</v>
      </c>
      <c r="AG1160">
        <v>5</v>
      </c>
      <c r="AH1160">
        <v>0</v>
      </c>
      <c r="AI1160">
        <v>3</v>
      </c>
    </row>
    <row r="1161" spans="1:35">
      <c r="A1161">
        <v>45</v>
      </c>
      <c r="B1161" t="str">
        <f t="shared" si="18"/>
        <v>Middle Aged</v>
      </c>
      <c r="C1161">
        <v>0</v>
      </c>
      <c r="D1161" t="s">
        <v>36</v>
      </c>
      <c r="E1161">
        <v>194</v>
      </c>
      <c r="F1161" t="s">
        <v>45</v>
      </c>
      <c r="G1161">
        <v>9</v>
      </c>
      <c r="H1161" t="str" cm="1">
        <f t="array" ref="H1161">_xlfn.IFS(G1161&gt;15,"Long Commute",G1161&gt;5,"Moderate",G1161&lt;=5,"Near Office")</f>
        <v>Moderate</v>
      </c>
      <c r="I1161" t="s">
        <v>72</v>
      </c>
      <c r="J1161" t="s">
        <v>38</v>
      </c>
      <c r="K1161">
        <v>2</v>
      </c>
      <c r="L1161" t="s">
        <v>46</v>
      </c>
      <c r="M1161">
        <v>60</v>
      </c>
      <c r="N1161">
        <v>3</v>
      </c>
      <c r="O1161">
        <v>2</v>
      </c>
      <c r="P1161" t="s">
        <v>50</v>
      </c>
      <c r="Q1161" t="s">
        <v>75</v>
      </c>
      <c r="R1161" t="s">
        <v>52</v>
      </c>
      <c r="S1161">
        <v>2348</v>
      </c>
      <c r="T1161" t="str" cm="1">
        <f t="array" ref="T1161">_xlfn.IFS(S1161&gt;=10000,"High (&gt;10k)",S1161&gt;=5000,"Medium (5k-10k)",S1161&lt;5000,"Low (&lt;5k)")</f>
        <v>Low (&lt;5k)</v>
      </c>
      <c r="U1161">
        <v>10901</v>
      </c>
      <c r="V1161">
        <v>8</v>
      </c>
      <c r="W1161" t="s">
        <v>43</v>
      </c>
      <c r="X1161">
        <v>18</v>
      </c>
      <c r="Y1161">
        <v>3</v>
      </c>
      <c r="Z1161">
        <v>3</v>
      </c>
      <c r="AA1161">
        <v>1</v>
      </c>
      <c r="AB1161">
        <v>20</v>
      </c>
      <c r="AC1161">
        <v>2</v>
      </c>
      <c r="AD1161" t="s">
        <v>80</v>
      </c>
      <c r="AE1161">
        <v>17</v>
      </c>
      <c r="AF1161" t="str" cm="1">
        <f t="array" ref="AF1161">_xlfn.IFS(AE1161&gt;=10,"Veteran (10y+)",AE1161&gt;=3,"Established (3-10y)",AE1161&lt;3,"New Hire (&lt;3y)")</f>
        <v>Veteran (10y+)</v>
      </c>
      <c r="AG1161">
        <v>9</v>
      </c>
      <c r="AH1161">
        <v>0</v>
      </c>
      <c r="AI1161">
        <v>15</v>
      </c>
    </row>
    <row r="1162" spans="1:35">
      <c r="A1162">
        <v>45</v>
      </c>
      <c r="B1162" t="str">
        <f t="shared" si="18"/>
        <v>Middle Aged</v>
      </c>
      <c r="C1162">
        <v>0</v>
      </c>
      <c r="D1162" t="s">
        <v>36</v>
      </c>
      <c r="E1162">
        <v>1268</v>
      </c>
      <c r="F1162" t="s">
        <v>37</v>
      </c>
      <c r="G1162">
        <v>4</v>
      </c>
      <c r="H1162" t="str" cm="1">
        <f t="array" ref="H1162">_xlfn.IFS(G1162&gt;15,"Long Commute",G1162&gt;5,"Moderate",G1162&lt;=5,"Near Office")</f>
        <v>Near Office</v>
      </c>
      <c r="I1162" t="s">
        <v>76</v>
      </c>
      <c r="J1162" t="s">
        <v>38</v>
      </c>
      <c r="K1162">
        <v>3</v>
      </c>
      <c r="L1162" t="s">
        <v>39</v>
      </c>
      <c r="M1162">
        <v>30</v>
      </c>
      <c r="N1162">
        <v>3</v>
      </c>
      <c r="O1162">
        <v>2</v>
      </c>
      <c r="P1162" t="s">
        <v>40</v>
      </c>
      <c r="Q1162" t="s">
        <v>82</v>
      </c>
      <c r="R1162" t="s">
        <v>52</v>
      </c>
      <c r="S1162">
        <v>5006</v>
      </c>
      <c r="T1162" t="str" cm="1">
        <f t="array" ref="T1162">_xlfn.IFS(S1162&gt;=10000,"High (&gt;10k)",S1162&gt;=5000,"Medium (5k-10k)",S1162&lt;5000,"Low (&lt;5k)")</f>
        <v>Medium (5k-10k)</v>
      </c>
      <c r="U1162">
        <v>6319</v>
      </c>
      <c r="V1162">
        <v>4</v>
      </c>
      <c r="W1162" t="s">
        <v>35</v>
      </c>
      <c r="X1162">
        <v>11</v>
      </c>
      <c r="Y1162">
        <v>3</v>
      </c>
      <c r="Z1162">
        <v>1</v>
      </c>
      <c r="AA1162">
        <v>1</v>
      </c>
      <c r="AB1162">
        <v>9</v>
      </c>
      <c r="AC1162">
        <v>3</v>
      </c>
      <c r="AD1162" t="s">
        <v>79</v>
      </c>
      <c r="AE1162">
        <v>5</v>
      </c>
      <c r="AF1162" t="str" cm="1">
        <f t="array" ref="AF1162">_xlfn.IFS(AE1162&gt;=10,"Veteran (10y+)",AE1162&gt;=3,"Established (3-10y)",AE1162&lt;3,"New Hire (&lt;3y)")</f>
        <v>Established (3-10y)</v>
      </c>
      <c r="AG1162">
        <v>4</v>
      </c>
      <c r="AH1162">
        <v>0</v>
      </c>
      <c r="AI1162">
        <v>3</v>
      </c>
    </row>
    <row r="1163" spans="1:35">
      <c r="A1163">
        <v>45</v>
      </c>
      <c r="B1163" t="str">
        <f t="shared" si="18"/>
        <v>Middle Aged</v>
      </c>
      <c r="C1163">
        <v>0</v>
      </c>
      <c r="D1163" t="s">
        <v>55</v>
      </c>
      <c r="E1163">
        <v>1195</v>
      </c>
      <c r="F1163" t="s">
        <v>45</v>
      </c>
      <c r="G1163">
        <v>2</v>
      </c>
      <c r="H1163" t="str" cm="1">
        <f t="array" ref="H1163">_xlfn.IFS(G1163&gt;15,"Long Commute",G1163&gt;5,"Moderate",G1163&lt;=5,"Near Office")</f>
        <v>Near Office</v>
      </c>
      <c r="I1163" t="s">
        <v>76</v>
      </c>
      <c r="J1163" t="s">
        <v>51</v>
      </c>
      <c r="K1163">
        <v>1</v>
      </c>
      <c r="L1163" t="s">
        <v>46</v>
      </c>
      <c r="M1163">
        <v>65</v>
      </c>
      <c r="N1163">
        <v>2</v>
      </c>
      <c r="O1163">
        <v>4</v>
      </c>
      <c r="P1163" t="s">
        <v>56</v>
      </c>
      <c r="Q1163" t="s">
        <v>77</v>
      </c>
      <c r="R1163" t="s">
        <v>48</v>
      </c>
      <c r="S1163">
        <v>16792</v>
      </c>
      <c r="T1163" t="str" cm="1">
        <f t="array" ref="T1163">_xlfn.IFS(S1163&gt;=10000,"High (&gt;10k)",S1163&gt;=5000,"Medium (5k-10k)",S1163&lt;5000,"Low (&lt;5k)")</f>
        <v>High (&gt;10k)</v>
      </c>
      <c r="U1163">
        <v>20462</v>
      </c>
      <c r="V1163">
        <v>9</v>
      </c>
      <c r="W1163" t="s">
        <v>43</v>
      </c>
      <c r="X1163">
        <v>23</v>
      </c>
      <c r="Y1163">
        <v>4</v>
      </c>
      <c r="Z1163">
        <v>4</v>
      </c>
      <c r="AA1163">
        <v>1</v>
      </c>
      <c r="AB1163">
        <v>22</v>
      </c>
      <c r="AC1163">
        <v>1</v>
      </c>
      <c r="AD1163" t="s">
        <v>74</v>
      </c>
      <c r="AE1163">
        <v>20</v>
      </c>
      <c r="AF1163" t="str" cm="1">
        <f t="array" ref="AF1163">_xlfn.IFS(AE1163&gt;=10,"Veteran (10y+)",AE1163&gt;=3,"Established (3-10y)",AE1163&lt;3,"New Hire (&lt;3y)")</f>
        <v>Veteran (10y+)</v>
      </c>
      <c r="AG1163">
        <v>8</v>
      </c>
      <c r="AH1163">
        <v>11</v>
      </c>
      <c r="AI1163">
        <v>8</v>
      </c>
    </row>
    <row r="1164" spans="1:35">
      <c r="A1164">
        <v>45</v>
      </c>
      <c r="B1164" t="str">
        <f t="shared" si="18"/>
        <v>Middle Aged</v>
      </c>
      <c r="C1164">
        <v>0</v>
      </c>
      <c r="D1164" t="s">
        <v>55</v>
      </c>
      <c r="E1164">
        <v>1052</v>
      </c>
      <c r="F1164" t="s">
        <v>37</v>
      </c>
      <c r="G1164">
        <v>6</v>
      </c>
      <c r="H1164" t="str" cm="1">
        <f t="array" ref="H1164">_xlfn.IFS(G1164&gt;15,"Long Commute",G1164&gt;5,"Moderate",G1164&lt;=5,"Near Office")</f>
        <v>Moderate</v>
      </c>
      <c r="I1164" t="s">
        <v>72</v>
      </c>
      <c r="J1164" t="s">
        <v>51</v>
      </c>
      <c r="K1164">
        <v>4</v>
      </c>
      <c r="L1164" t="s">
        <v>39</v>
      </c>
      <c r="M1164">
        <v>57</v>
      </c>
      <c r="N1164">
        <v>2</v>
      </c>
      <c r="O1164">
        <v>3</v>
      </c>
      <c r="P1164" t="s">
        <v>40</v>
      </c>
      <c r="Q1164" t="s">
        <v>77</v>
      </c>
      <c r="R1164" t="s">
        <v>41</v>
      </c>
      <c r="S1164">
        <v>8865</v>
      </c>
      <c r="T1164" t="str" cm="1">
        <f t="array" ref="T1164">_xlfn.IFS(S1164&gt;=10000,"High (&gt;10k)",S1164&gt;=5000,"Medium (5k-10k)",S1164&lt;5000,"Low (&lt;5k)")</f>
        <v>Medium (5k-10k)</v>
      </c>
      <c r="U1164">
        <v>16840</v>
      </c>
      <c r="V1164">
        <v>6</v>
      </c>
      <c r="W1164" t="s">
        <v>43</v>
      </c>
      <c r="X1164">
        <v>12</v>
      </c>
      <c r="Y1164">
        <v>3</v>
      </c>
      <c r="Z1164">
        <v>4</v>
      </c>
      <c r="AA1164">
        <v>0</v>
      </c>
      <c r="AB1164">
        <v>23</v>
      </c>
      <c r="AC1164">
        <v>2</v>
      </c>
      <c r="AD1164" t="s">
        <v>74</v>
      </c>
      <c r="AE1164">
        <v>19</v>
      </c>
      <c r="AF1164" t="str" cm="1">
        <f t="array" ref="AF1164">_xlfn.IFS(AE1164&gt;=10,"Veteran (10y+)",AE1164&gt;=3,"Established (3-10y)",AE1164&lt;3,"New Hire (&lt;3y)")</f>
        <v>Veteran (10y+)</v>
      </c>
      <c r="AG1164">
        <v>7</v>
      </c>
      <c r="AH1164">
        <v>12</v>
      </c>
      <c r="AI1164">
        <v>8</v>
      </c>
    </row>
    <row r="1165" spans="1:35">
      <c r="A1165">
        <v>45</v>
      </c>
      <c r="B1165" t="str">
        <f t="shared" si="18"/>
        <v>Middle Aged</v>
      </c>
      <c r="C1165">
        <v>0</v>
      </c>
      <c r="D1165" t="s">
        <v>36</v>
      </c>
      <c r="E1165">
        <v>252</v>
      </c>
      <c r="F1165" t="s">
        <v>45</v>
      </c>
      <c r="G1165">
        <v>1</v>
      </c>
      <c r="H1165" t="str" cm="1">
        <f t="array" ref="H1165">_xlfn.IFS(G1165&gt;15,"Long Commute",G1165&gt;5,"Moderate",G1165&lt;=5,"Near Office")</f>
        <v>Near Office</v>
      </c>
      <c r="I1165" t="s">
        <v>72</v>
      </c>
      <c r="J1165" t="s">
        <v>49</v>
      </c>
      <c r="K1165">
        <v>3</v>
      </c>
      <c r="L1165" t="s">
        <v>46</v>
      </c>
      <c r="M1165">
        <v>70</v>
      </c>
      <c r="N1165">
        <v>4</v>
      </c>
      <c r="O1165">
        <v>5</v>
      </c>
      <c r="P1165" t="s">
        <v>56</v>
      </c>
      <c r="Q1165" t="s">
        <v>77</v>
      </c>
      <c r="R1165" t="s">
        <v>48</v>
      </c>
      <c r="S1165">
        <v>19202</v>
      </c>
      <c r="T1165" t="str" cm="1">
        <f t="array" ref="T1165">_xlfn.IFS(S1165&gt;=10000,"High (&gt;10k)",S1165&gt;=5000,"Medium (5k-10k)",S1165&lt;5000,"Low (&lt;5k)")</f>
        <v>High (&gt;10k)</v>
      </c>
      <c r="U1165">
        <v>15970</v>
      </c>
      <c r="V1165">
        <v>0</v>
      </c>
      <c r="W1165" t="s">
        <v>43</v>
      </c>
      <c r="X1165">
        <v>11</v>
      </c>
      <c r="Y1165">
        <v>3</v>
      </c>
      <c r="Z1165">
        <v>3</v>
      </c>
      <c r="AA1165">
        <v>1</v>
      </c>
      <c r="AB1165">
        <v>25</v>
      </c>
      <c r="AC1165">
        <v>2</v>
      </c>
      <c r="AD1165" t="s">
        <v>74</v>
      </c>
      <c r="AE1165">
        <v>24</v>
      </c>
      <c r="AF1165" t="str" cm="1">
        <f t="array" ref="AF1165">_xlfn.IFS(AE1165&gt;=10,"Veteran (10y+)",AE1165&gt;=3,"Established (3-10y)",AE1165&lt;3,"New Hire (&lt;3y)")</f>
        <v>Veteran (10y+)</v>
      </c>
      <c r="AG1165">
        <v>0</v>
      </c>
      <c r="AH1165">
        <v>1</v>
      </c>
      <c r="AI1165">
        <v>7</v>
      </c>
    </row>
    <row r="1166" spans="1:35">
      <c r="A1166">
        <v>45</v>
      </c>
      <c r="B1166" t="str">
        <f t="shared" si="18"/>
        <v>Middle Aged</v>
      </c>
      <c r="C1166">
        <v>0</v>
      </c>
      <c r="D1166" t="s">
        <v>44</v>
      </c>
      <c r="E1166">
        <v>1199</v>
      </c>
      <c r="F1166" t="s">
        <v>45</v>
      </c>
      <c r="G1166">
        <v>7</v>
      </c>
      <c r="H1166" t="str" cm="1">
        <f t="array" ref="H1166">_xlfn.IFS(G1166&gt;15,"Long Commute",G1166&gt;5,"Moderate",G1166&lt;=5,"Near Office")</f>
        <v>Moderate</v>
      </c>
      <c r="I1166" t="s">
        <v>83</v>
      </c>
      <c r="J1166" t="s">
        <v>38</v>
      </c>
      <c r="K1166">
        <v>1</v>
      </c>
      <c r="L1166" t="s">
        <v>46</v>
      </c>
      <c r="M1166">
        <v>77</v>
      </c>
      <c r="N1166">
        <v>4</v>
      </c>
      <c r="O1166">
        <v>2</v>
      </c>
      <c r="P1166" t="s">
        <v>53</v>
      </c>
      <c r="Q1166" t="s">
        <v>73</v>
      </c>
      <c r="R1166" t="s">
        <v>48</v>
      </c>
      <c r="S1166">
        <v>6434</v>
      </c>
      <c r="T1166" t="str" cm="1">
        <f t="array" ref="T1166">_xlfn.IFS(S1166&gt;=10000,"High (&gt;10k)",S1166&gt;=5000,"Medium (5k-10k)",S1166&lt;5000,"Low (&lt;5k)")</f>
        <v>Medium (5k-10k)</v>
      </c>
      <c r="U1166">
        <v>5118</v>
      </c>
      <c r="V1166">
        <v>4</v>
      </c>
      <c r="W1166" t="s">
        <v>43</v>
      </c>
      <c r="X1166">
        <v>17</v>
      </c>
      <c r="Y1166">
        <v>3</v>
      </c>
      <c r="Z1166">
        <v>4</v>
      </c>
      <c r="AA1166">
        <v>1</v>
      </c>
      <c r="AB1166">
        <v>9</v>
      </c>
      <c r="AC1166">
        <v>1</v>
      </c>
      <c r="AD1166" t="s">
        <v>74</v>
      </c>
      <c r="AE1166">
        <v>3</v>
      </c>
      <c r="AF1166" t="str" cm="1">
        <f t="array" ref="AF1166">_xlfn.IFS(AE1166&gt;=10,"Veteran (10y+)",AE1166&gt;=3,"Established (3-10y)",AE1166&lt;3,"New Hire (&lt;3y)")</f>
        <v>Established (3-10y)</v>
      </c>
      <c r="AG1166">
        <v>2</v>
      </c>
      <c r="AH1166">
        <v>0</v>
      </c>
      <c r="AI1166">
        <v>2</v>
      </c>
    </row>
    <row r="1167" spans="1:35">
      <c r="A1167">
        <v>45</v>
      </c>
      <c r="B1167" t="str">
        <f t="shared" si="18"/>
        <v>Middle Aged</v>
      </c>
      <c r="C1167">
        <v>0</v>
      </c>
      <c r="D1167" t="s">
        <v>36</v>
      </c>
      <c r="E1167">
        <v>1385</v>
      </c>
      <c r="F1167" t="s">
        <v>45</v>
      </c>
      <c r="G1167">
        <v>20</v>
      </c>
      <c r="H1167" t="str" cm="1">
        <f t="array" ref="H1167">_xlfn.IFS(G1167&gt;15,"Long Commute",G1167&gt;5,"Moderate",G1167&lt;=5,"Near Office")</f>
        <v>Long Commute</v>
      </c>
      <c r="I1167" t="s">
        <v>76</v>
      </c>
      <c r="J1167" t="s">
        <v>51</v>
      </c>
      <c r="K1167">
        <v>3</v>
      </c>
      <c r="L1167" t="s">
        <v>46</v>
      </c>
      <c r="M1167">
        <v>79</v>
      </c>
      <c r="N1167">
        <v>3</v>
      </c>
      <c r="O1167">
        <v>4</v>
      </c>
      <c r="P1167" t="s">
        <v>54</v>
      </c>
      <c r="Q1167" t="s">
        <v>77</v>
      </c>
      <c r="R1167" t="s">
        <v>48</v>
      </c>
      <c r="S1167">
        <v>13496</v>
      </c>
      <c r="T1167" t="str" cm="1">
        <f t="array" ref="T1167">_xlfn.IFS(S1167&gt;=10000,"High (&gt;10k)",S1167&gt;=5000,"Medium (5k-10k)",S1167&lt;5000,"Low (&lt;5k)")</f>
        <v>High (&gt;10k)</v>
      </c>
      <c r="U1167">
        <v>7501</v>
      </c>
      <c r="V1167">
        <v>0</v>
      </c>
      <c r="W1167" t="s">
        <v>35</v>
      </c>
      <c r="X1167">
        <v>14</v>
      </c>
      <c r="Y1167">
        <v>3</v>
      </c>
      <c r="Z1167">
        <v>2</v>
      </c>
      <c r="AA1167">
        <v>0</v>
      </c>
      <c r="AB1167">
        <v>21</v>
      </c>
      <c r="AC1167">
        <v>2</v>
      </c>
      <c r="AD1167" t="s">
        <v>74</v>
      </c>
      <c r="AE1167">
        <v>20</v>
      </c>
      <c r="AF1167" t="str" cm="1">
        <f t="array" ref="AF1167">_xlfn.IFS(AE1167&gt;=10,"Veteran (10y+)",AE1167&gt;=3,"Established (3-10y)",AE1167&lt;3,"New Hire (&lt;3y)")</f>
        <v>Veteran (10y+)</v>
      </c>
      <c r="AG1167">
        <v>7</v>
      </c>
      <c r="AH1167">
        <v>4</v>
      </c>
      <c r="AI1167">
        <v>10</v>
      </c>
    </row>
    <row r="1168" spans="1:35">
      <c r="A1168">
        <v>45</v>
      </c>
      <c r="B1168" t="str">
        <f t="shared" si="18"/>
        <v>Middle Aged</v>
      </c>
      <c r="C1168">
        <v>0</v>
      </c>
      <c r="D1168" t="s">
        <v>44</v>
      </c>
      <c r="E1168">
        <v>1249</v>
      </c>
      <c r="F1168" t="s">
        <v>45</v>
      </c>
      <c r="G1168">
        <v>7</v>
      </c>
      <c r="H1168" t="str" cm="1">
        <f t="array" ref="H1168">_xlfn.IFS(G1168&gt;15,"Long Commute",G1168&gt;5,"Moderate",G1168&lt;=5,"Near Office")</f>
        <v>Moderate</v>
      </c>
      <c r="I1168" t="s">
        <v>72</v>
      </c>
      <c r="J1168" t="s">
        <v>38</v>
      </c>
      <c r="K1168">
        <v>1</v>
      </c>
      <c r="L1168" t="s">
        <v>46</v>
      </c>
      <c r="M1168">
        <v>97</v>
      </c>
      <c r="N1168">
        <v>3</v>
      </c>
      <c r="O1168">
        <v>3</v>
      </c>
      <c r="P1168" t="s">
        <v>50</v>
      </c>
      <c r="Q1168" t="s">
        <v>82</v>
      </c>
      <c r="R1168" t="s">
        <v>52</v>
      </c>
      <c r="S1168">
        <v>5210</v>
      </c>
      <c r="T1168" t="str" cm="1">
        <f t="array" ref="T1168">_xlfn.IFS(S1168&gt;=10000,"High (&gt;10k)",S1168&gt;=5000,"Medium (5k-10k)",S1168&lt;5000,"Low (&lt;5k)")</f>
        <v>Medium (5k-10k)</v>
      </c>
      <c r="U1168">
        <v>20308</v>
      </c>
      <c r="V1168">
        <v>1</v>
      </c>
      <c r="W1168" t="s">
        <v>43</v>
      </c>
      <c r="X1168">
        <v>18</v>
      </c>
      <c r="Y1168">
        <v>3</v>
      </c>
      <c r="Z1168">
        <v>1</v>
      </c>
      <c r="AA1168">
        <v>1</v>
      </c>
      <c r="AB1168">
        <v>24</v>
      </c>
      <c r="AC1168">
        <v>2</v>
      </c>
      <c r="AD1168" t="s">
        <v>74</v>
      </c>
      <c r="AE1168">
        <v>24</v>
      </c>
      <c r="AF1168" t="str" cm="1">
        <f t="array" ref="AF1168">_xlfn.IFS(AE1168&gt;=10,"Veteran (10y+)",AE1168&gt;=3,"Established (3-10y)",AE1168&lt;3,"New Hire (&lt;3y)")</f>
        <v>Veteran (10y+)</v>
      </c>
      <c r="AG1168">
        <v>9</v>
      </c>
      <c r="AH1168">
        <v>9</v>
      </c>
      <c r="AI1168">
        <v>11</v>
      </c>
    </row>
    <row r="1169" spans="1:35">
      <c r="A1169">
        <v>45</v>
      </c>
      <c r="B1169" t="str">
        <f t="shared" si="18"/>
        <v>Middle Aged</v>
      </c>
      <c r="C1169">
        <v>0</v>
      </c>
      <c r="D1169" t="s">
        <v>36</v>
      </c>
      <c r="E1169">
        <v>549</v>
      </c>
      <c r="F1169" t="s">
        <v>45</v>
      </c>
      <c r="G1169">
        <v>8</v>
      </c>
      <c r="H1169" t="str" cm="1">
        <f t="array" ref="H1169">_xlfn.IFS(G1169&gt;15,"Long Commute",G1169&gt;5,"Moderate",G1169&lt;=5,"Near Office")</f>
        <v>Moderate</v>
      </c>
      <c r="I1169" t="s">
        <v>83</v>
      </c>
      <c r="J1169" t="s">
        <v>49</v>
      </c>
      <c r="K1169">
        <v>4</v>
      </c>
      <c r="L1169" t="s">
        <v>46</v>
      </c>
      <c r="M1169">
        <v>75</v>
      </c>
      <c r="N1169">
        <v>3</v>
      </c>
      <c r="O1169">
        <v>2</v>
      </c>
      <c r="P1169" t="s">
        <v>47</v>
      </c>
      <c r="Q1169" t="s">
        <v>77</v>
      </c>
      <c r="R1169" t="s">
        <v>48</v>
      </c>
      <c r="S1169">
        <v>3697</v>
      </c>
      <c r="T1169" t="str" cm="1">
        <f t="array" ref="T1169">_xlfn.IFS(S1169&gt;=10000,"High (&gt;10k)",S1169&gt;=5000,"Medium (5k-10k)",S1169&lt;5000,"Low (&lt;5k)")</f>
        <v>Low (&lt;5k)</v>
      </c>
      <c r="U1169">
        <v>9278</v>
      </c>
      <c r="V1169">
        <v>9</v>
      </c>
      <c r="W1169" t="s">
        <v>43</v>
      </c>
      <c r="X1169">
        <v>14</v>
      </c>
      <c r="Y1169">
        <v>3</v>
      </c>
      <c r="Z1169">
        <v>1</v>
      </c>
      <c r="AA1169">
        <v>2</v>
      </c>
      <c r="AB1169">
        <v>12</v>
      </c>
      <c r="AC1169">
        <v>3</v>
      </c>
      <c r="AD1169" t="s">
        <v>74</v>
      </c>
      <c r="AE1169">
        <v>10</v>
      </c>
      <c r="AF1169" t="str" cm="1">
        <f t="array" ref="AF1169">_xlfn.IFS(AE1169&gt;=10,"Veteran (10y+)",AE1169&gt;=3,"Established (3-10y)",AE1169&lt;3,"New Hire (&lt;3y)")</f>
        <v>Veteran (10y+)</v>
      </c>
      <c r="AG1169">
        <v>9</v>
      </c>
      <c r="AH1169">
        <v>9</v>
      </c>
      <c r="AI1169">
        <v>8</v>
      </c>
    </row>
    <row r="1170" spans="1:35">
      <c r="A1170">
        <v>45</v>
      </c>
      <c r="B1170" t="str">
        <f t="shared" si="18"/>
        <v>Middle Aged</v>
      </c>
      <c r="C1170">
        <v>0</v>
      </c>
      <c r="D1170" t="s">
        <v>36</v>
      </c>
      <c r="E1170">
        <v>192</v>
      </c>
      <c r="F1170" t="s">
        <v>45</v>
      </c>
      <c r="G1170">
        <v>10</v>
      </c>
      <c r="H1170" t="str" cm="1">
        <f t="array" ref="H1170">_xlfn.IFS(G1170&gt;15,"Long Commute",G1170&gt;5,"Moderate",G1170&lt;=5,"Near Office")</f>
        <v>Moderate</v>
      </c>
      <c r="I1170" t="s">
        <v>76</v>
      </c>
      <c r="J1170" t="s">
        <v>38</v>
      </c>
      <c r="K1170">
        <v>1</v>
      </c>
      <c r="L1170" t="s">
        <v>46</v>
      </c>
      <c r="M1170">
        <v>69</v>
      </c>
      <c r="N1170">
        <v>3</v>
      </c>
      <c r="O1170">
        <v>1</v>
      </c>
      <c r="P1170" t="s">
        <v>47</v>
      </c>
      <c r="Q1170" t="s">
        <v>77</v>
      </c>
      <c r="R1170" t="s">
        <v>48</v>
      </c>
      <c r="S1170">
        <v>2654</v>
      </c>
      <c r="T1170" t="str" cm="1">
        <f t="array" ref="T1170">_xlfn.IFS(S1170&gt;=10000,"High (&gt;10k)",S1170&gt;=5000,"Medium (5k-10k)",S1170&lt;5000,"Low (&lt;5k)")</f>
        <v>Low (&lt;5k)</v>
      </c>
      <c r="U1170">
        <v>9655</v>
      </c>
      <c r="V1170">
        <v>3</v>
      </c>
      <c r="W1170" t="s">
        <v>43</v>
      </c>
      <c r="X1170">
        <v>21</v>
      </c>
      <c r="Y1170">
        <v>4</v>
      </c>
      <c r="Z1170">
        <v>4</v>
      </c>
      <c r="AA1170">
        <v>2</v>
      </c>
      <c r="AB1170">
        <v>8</v>
      </c>
      <c r="AC1170">
        <v>3</v>
      </c>
      <c r="AD1170" t="s">
        <v>81</v>
      </c>
      <c r="AE1170">
        <v>2</v>
      </c>
      <c r="AF1170" t="str" cm="1">
        <f t="array" ref="AF1170">_xlfn.IFS(AE1170&gt;=10,"Veteran (10y+)",AE1170&gt;=3,"Established (3-10y)",AE1170&lt;3,"New Hire (&lt;3y)")</f>
        <v>New Hire (&lt;3y)</v>
      </c>
      <c r="AG1170">
        <v>2</v>
      </c>
      <c r="AH1170">
        <v>0</v>
      </c>
      <c r="AI1170">
        <v>2</v>
      </c>
    </row>
    <row r="1171" spans="1:35">
      <c r="A1171">
        <v>45</v>
      </c>
      <c r="B1171" t="str">
        <f t="shared" si="18"/>
        <v>Middle Aged</v>
      </c>
      <c r="C1171">
        <v>0</v>
      </c>
      <c r="D1171" t="s">
        <v>36</v>
      </c>
      <c r="E1171">
        <v>561</v>
      </c>
      <c r="F1171" t="s">
        <v>37</v>
      </c>
      <c r="G1171">
        <v>2</v>
      </c>
      <c r="H1171" t="str" cm="1">
        <f t="array" ref="H1171">_xlfn.IFS(G1171&gt;15,"Long Commute",G1171&gt;5,"Moderate",G1171&lt;=5,"Near Office")</f>
        <v>Near Office</v>
      </c>
      <c r="I1171" t="s">
        <v>72</v>
      </c>
      <c r="J1171" t="s">
        <v>49</v>
      </c>
      <c r="K1171">
        <v>4</v>
      </c>
      <c r="L1171" t="s">
        <v>46</v>
      </c>
      <c r="M1171">
        <v>61</v>
      </c>
      <c r="N1171">
        <v>3</v>
      </c>
      <c r="O1171">
        <v>2</v>
      </c>
      <c r="P1171" t="s">
        <v>40</v>
      </c>
      <c r="Q1171" t="s">
        <v>75</v>
      </c>
      <c r="R1171" t="s">
        <v>48</v>
      </c>
      <c r="S1171">
        <v>4805</v>
      </c>
      <c r="T1171" t="str" cm="1">
        <f t="array" ref="T1171">_xlfn.IFS(S1171&gt;=10000,"High (&gt;10k)",S1171&gt;=5000,"Medium (5k-10k)",S1171&lt;5000,"Low (&lt;5k)")</f>
        <v>Low (&lt;5k)</v>
      </c>
      <c r="U1171">
        <v>16177</v>
      </c>
      <c r="V1171">
        <v>0</v>
      </c>
      <c r="W1171" t="s">
        <v>43</v>
      </c>
      <c r="X1171">
        <v>19</v>
      </c>
      <c r="Y1171">
        <v>3</v>
      </c>
      <c r="Z1171">
        <v>2</v>
      </c>
      <c r="AA1171">
        <v>1</v>
      </c>
      <c r="AB1171">
        <v>9</v>
      </c>
      <c r="AC1171">
        <v>3</v>
      </c>
      <c r="AD1171" t="s">
        <v>79</v>
      </c>
      <c r="AE1171">
        <v>8</v>
      </c>
      <c r="AF1171" t="str" cm="1">
        <f t="array" ref="AF1171">_xlfn.IFS(AE1171&gt;=10,"Veteran (10y+)",AE1171&gt;=3,"Established (3-10y)",AE1171&lt;3,"New Hire (&lt;3y)")</f>
        <v>Established (3-10y)</v>
      </c>
      <c r="AG1171">
        <v>7</v>
      </c>
      <c r="AH1171">
        <v>3</v>
      </c>
      <c r="AI1171">
        <v>7</v>
      </c>
    </row>
    <row r="1172" spans="1:35">
      <c r="A1172">
        <v>45</v>
      </c>
      <c r="B1172" t="str">
        <f t="shared" si="18"/>
        <v>Middle Aged</v>
      </c>
      <c r="C1172">
        <v>1</v>
      </c>
      <c r="D1172" t="s">
        <v>44</v>
      </c>
      <c r="E1172">
        <v>306</v>
      </c>
      <c r="F1172" t="s">
        <v>37</v>
      </c>
      <c r="G1172">
        <v>26</v>
      </c>
      <c r="H1172" t="str" cm="1">
        <f t="array" ref="H1172">_xlfn.IFS(G1172&gt;15,"Long Commute",G1172&gt;5,"Moderate",G1172&lt;=5,"Near Office")</f>
        <v>Long Commute</v>
      </c>
      <c r="I1172" t="s">
        <v>83</v>
      </c>
      <c r="J1172" t="s">
        <v>38</v>
      </c>
      <c r="K1172">
        <v>1</v>
      </c>
      <c r="L1172" t="s">
        <v>39</v>
      </c>
      <c r="M1172">
        <v>100</v>
      </c>
      <c r="N1172">
        <v>3</v>
      </c>
      <c r="O1172">
        <v>2</v>
      </c>
      <c r="P1172" t="s">
        <v>40</v>
      </c>
      <c r="Q1172" t="s">
        <v>82</v>
      </c>
      <c r="R1172" t="s">
        <v>48</v>
      </c>
      <c r="S1172">
        <v>4286</v>
      </c>
      <c r="T1172" t="str" cm="1">
        <f t="array" ref="T1172">_xlfn.IFS(S1172&gt;=10000,"High (&gt;10k)",S1172&gt;=5000,"Medium (5k-10k)",S1172&lt;5000,"Low (&lt;5k)")</f>
        <v>Low (&lt;5k)</v>
      </c>
      <c r="U1172">
        <v>5630</v>
      </c>
      <c r="V1172">
        <v>2</v>
      </c>
      <c r="W1172" t="s">
        <v>43</v>
      </c>
      <c r="X1172">
        <v>14</v>
      </c>
      <c r="Y1172">
        <v>3</v>
      </c>
      <c r="Z1172">
        <v>4</v>
      </c>
      <c r="AA1172">
        <v>2</v>
      </c>
      <c r="AB1172">
        <v>5</v>
      </c>
      <c r="AC1172">
        <v>4</v>
      </c>
      <c r="AD1172" t="s">
        <v>74</v>
      </c>
      <c r="AE1172">
        <v>1</v>
      </c>
      <c r="AF1172" t="str" cm="1">
        <f t="array" ref="AF1172">_xlfn.IFS(AE1172&gt;=10,"Veteran (10y+)",AE1172&gt;=3,"Established (3-10y)",AE1172&lt;3,"New Hire (&lt;3y)")</f>
        <v>New Hire (&lt;3y)</v>
      </c>
      <c r="AG1172">
        <v>1</v>
      </c>
      <c r="AH1172">
        <v>0</v>
      </c>
      <c r="AI1172">
        <v>0</v>
      </c>
    </row>
    <row r="1173" spans="1:35">
      <c r="A1173">
        <v>45</v>
      </c>
      <c r="B1173" t="str">
        <f t="shared" si="18"/>
        <v>Middle Aged</v>
      </c>
      <c r="C1173">
        <v>0</v>
      </c>
      <c r="D1173" t="s">
        <v>36</v>
      </c>
      <c r="E1173">
        <v>954</v>
      </c>
      <c r="F1173" t="s">
        <v>37</v>
      </c>
      <c r="G1173">
        <v>2</v>
      </c>
      <c r="H1173" t="str" cm="1">
        <f t="array" ref="H1173">_xlfn.IFS(G1173&gt;15,"Long Commute",G1173&gt;5,"Moderate",G1173&lt;=5,"Near Office")</f>
        <v>Near Office</v>
      </c>
      <c r="I1173" t="s">
        <v>76</v>
      </c>
      <c r="J1173" t="s">
        <v>60</v>
      </c>
      <c r="K1173">
        <v>2</v>
      </c>
      <c r="L1173" t="s">
        <v>46</v>
      </c>
      <c r="M1173">
        <v>46</v>
      </c>
      <c r="N1173">
        <v>1</v>
      </c>
      <c r="O1173">
        <v>2</v>
      </c>
      <c r="P1173" t="s">
        <v>57</v>
      </c>
      <c r="Q1173" t="s">
        <v>73</v>
      </c>
      <c r="R1173" t="s">
        <v>41</v>
      </c>
      <c r="S1173">
        <v>6632</v>
      </c>
      <c r="T1173" t="str" cm="1">
        <f t="array" ref="T1173">_xlfn.IFS(S1173&gt;=10000,"High (&gt;10k)",S1173&gt;=5000,"Medium (5k-10k)",S1173&lt;5000,"Low (&lt;5k)")</f>
        <v>Medium (5k-10k)</v>
      </c>
      <c r="U1173">
        <v>12388</v>
      </c>
      <c r="V1173">
        <v>0</v>
      </c>
      <c r="W1173" t="s">
        <v>43</v>
      </c>
      <c r="X1173">
        <v>13</v>
      </c>
      <c r="Y1173">
        <v>3</v>
      </c>
      <c r="Z1173">
        <v>1</v>
      </c>
      <c r="AA1173">
        <v>0</v>
      </c>
      <c r="AB1173">
        <v>9</v>
      </c>
      <c r="AC1173">
        <v>3</v>
      </c>
      <c r="AD1173" t="s">
        <v>74</v>
      </c>
      <c r="AE1173">
        <v>8</v>
      </c>
      <c r="AF1173" t="str" cm="1">
        <f t="array" ref="AF1173">_xlfn.IFS(AE1173&gt;=10,"Veteran (10y+)",AE1173&gt;=3,"Established (3-10y)",AE1173&lt;3,"New Hire (&lt;3y)")</f>
        <v>Established (3-10y)</v>
      </c>
      <c r="AG1173">
        <v>7</v>
      </c>
      <c r="AH1173">
        <v>3</v>
      </c>
      <c r="AI1173">
        <v>1</v>
      </c>
    </row>
    <row r="1174" spans="1:35">
      <c r="A1174">
        <v>45</v>
      </c>
      <c r="B1174" t="str">
        <f t="shared" si="18"/>
        <v>Middle Aged</v>
      </c>
      <c r="C1174">
        <v>0</v>
      </c>
      <c r="D1174" t="s">
        <v>36</v>
      </c>
      <c r="E1174">
        <v>252</v>
      </c>
      <c r="F1174" t="s">
        <v>45</v>
      </c>
      <c r="G1174">
        <v>2</v>
      </c>
      <c r="H1174" t="str" cm="1">
        <f t="array" ref="H1174">_xlfn.IFS(G1174&gt;15,"Long Commute",G1174&gt;5,"Moderate",G1174&lt;=5,"Near Office")</f>
        <v>Near Office</v>
      </c>
      <c r="I1174" t="s">
        <v>72</v>
      </c>
      <c r="J1174" t="s">
        <v>38</v>
      </c>
      <c r="K1174">
        <v>2</v>
      </c>
      <c r="L1174" t="s">
        <v>39</v>
      </c>
      <c r="M1174">
        <v>95</v>
      </c>
      <c r="N1174">
        <v>2</v>
      </c>
      <c r="O1174">
        <v>1</v>
      </c>
      <c r="P1174" t="s">
        <v>47</v>
      </c>
      <c r="Q1174" t="s">
        <v>73</v>
      </c>
      <c r="R1174" t="s">
        <v>41</v>
      </c>
      <c r="S1174">
        <v>2274</v>
      </c>
      <c r="T1174" t="str" cm="1">
        <f t="array" ref="T1174">_xlfn.IFS(S1174&gt;=10000,"High (&gt;10k)",S1174&gt;=5000,"Medium (5k-10k)",S1174&lt;5000,"Low (&lt;5k)")</f>
        <v>Low (&lt;5k)</v>
      </c>
      <c r="U1174">
        <v>6153</v>
      </c>
      <c r="V1174">
        <v>1</v>
      </c>
      <c r="W1174" t="s">
        <v>43</v>
      </c>
      <c r="X1174">
        <v>14</v>
      </c>
      <c r="Y1174">
        <v>3</v>
      </c>
      <c r="Z1174">
        <v>4</v>
      </c>
      <c r="AA1174">
        <v>0</v>
      </c>
      <c r="AB1174">
        <v>1</v>
      </c>
      <c r="AC1174">
        <v>3</v>
      </c>
      <c r="AD1174" t="s">
        <v>74</v>
      </c>
      <c r="AE1174">
        <v>1</v>
      </c>
      <c r="AF1174" t="str" cm="1">
        <f t="array" ref="AF1174">_xlfn.IFS(AE1174&gt;=10,"Veteran (10y+)",AE1174&gt;=3,"Established (3-10y)",AE1174&lt;3,"New Hire (&lt;3y)")</f>
        <v>New Hire (&lt;3y)</v>
      </c>
      <c r="AG1174">
        <v>0</v>
      </c>
      <c r="AH1174">
        <v>0</v>
      </c>
      <c r="AI1174">
        <v>0</v>
      </c>
    </row>
    <row r="1175" spans="1:35">
      <c r="A1175">
        <v>45</v>
      </c>
      <c r="B1175" t="str">
        <f t="shared" si="18"/>
        <v>Middle Aged</v>
      </c>
      <c r="C1175">
        <v>0</v>
      </c>
      <c r="D1175" t="s">
        <v>36</v>
      </c>
      <c r="E1175">
        <v>930</v>
      </c>
      <c r="F1175" t="s">
        <v>37</v>
      </c>
      <c r="G1175">
        <v>9</v>
      </c>
      <c r="H1175" t="str" cm="1">
        <f t="array" ref="H1175">_xlfn.IFS(G1175&gt;15,"Long Commute",G1175&gt;5,"Moderate",G1175&lt;=5,"Near Office")</f>
        <v>Moderate</v>
      </c>
      <c r="I1175" t="s">
        <v>72</v>
      </c>
      <c r="J1175" t="s">
        <v>59</v>
      </c>
      <c r="K1175">
        <v>4</v>
      </c>
      <c r="L1175" t="s">
        <v>46</v>
      </c>
      <c r="M1175">
        <v>74</v>
      </c>
      <c r="N1175">
        <v>3</v>
      </c>
      <c r="O1175">
        <v>3</v>
      </c>
      <c r="P1175" t="s">
        <v>40</v>
      </c>
      <c r="Q1175" t="s">
        <v>82</v>
      </c>
      <c r="R1175" t="s">
        <v>52</v>
      </c>
      <c r="S1175">
        <v>10761</v>
      </c>
      <c r="T1175" t="str" cm="1">
        <f t="array" ref="T1175">_xlfn.IFS(S1175&gt;=10000,"High (&gt;10k)",S1175&gt;=5000,"Medium (5k-10k)",S1175&lt;5000,"Low (&lt;5k)")</f>
        <v>High (&gt;10k)</v>
      </c>
      <c r="U1175">
        <v>19239</v>
      </c>
      <c r="V1175">
        <v>4</v>
      </c>
      <c r="W1175" t="s">
        <v>35</v>
      </c>
      <c r="X1175">
        <v>12</v>
      </c>
      <c r="Y1175">
        <v>3</v>
      </c>
      <c r="Z1175">
        <v>3</v>
      </c>
      <c r="AA1175">
        <v>1</v>
      </c>
      <c r="AB1175">
        <v>18</v>
      </c>
      <c r="AC1175">
        <v>2</v>
      </c>
      <c r="AD1175" t="s">
        <v>74</v>
      </c>
      <c r="AE1175">
        <v>5</v>
      </c>
      <c r="AF1175" t="str" cm="1">
        <f t="array" ref="AF1175">_xlfn.IFS(AE1175&gt;=10,"Veteran (10y+)",AE1175&gt;=3,"Established (3-10y)",AE1175&lt;3,"New Hire (&lt;3y)")</f>
        <v>Established (3-10y)</v>
      </c>
      <c r="AG1175">
        <v>4</v>
      </c>
      <c r="AH1175">
        <v>0</v>
      </c>
      <c r="AI1175">
        <v>2</v>
      </c>
    </row>
    <row r="1176" spans="1:35">
      <c r="A1176">
        <v>45</v>
      </c>
      <c r="B1176" t="str">
        <f t="shared" si="18"/>
        <v>Middle Aged</v>
      </c>
      <c r="C1176">
        <v>0</v>
      </c>
      <c r="D1176" t="s">
        <v>55</v>
      </c>
      <c r="E1176">
        <v>805</v>
      </c>
      <c r="F1176" t="s">
        <v>45</v>
      </c>
      <c r="G1176">
        <v>4</v>
      </c>
      <c r="H1176" t="str" cm="1">
        <f t="array" ref="H1176">_xlfn.IFS(G1176&gt;15,"Long Commute",G1176&gt;5,"Moderate",G1176&lt;=5,"Near Office")</f>
        <v>Near Office</v>
      </c>
      <c r="I1176" t="s">
        <v>76</v>
      </c>
      <c r="J1176" t="s">
        <v>38</v>
      </c>
      <c r="K1176">
        <v>3</v>
      </c>
      <c r="L1176" t="s">
        <v>46</v>
      </c>
      <c r="M1176">
        <v>57</v>
      </c>
      <c r="N1176">
        <v>3</v>
      </c>
      <c r="O1176">
        <v>2</v>
      </c>
      <c r="P1176" t="s">
        <v>50</v>
      </c>
      <c r="Q1176" t="s">
        <v>75</v>
      </c>
      <c r="R1176" t="s">
        <v>48</v>
      </c>
      <c r="S1176">
        <v>4447</v>
      </c>
      <c r="T1176" t="str" cm="1">
        <f t="array" ref="T1176">_xlfn.IFS(S1176&gt;=10000,"High (&gt;10k)",S1176&gt;=5000,"Medium (5k-10k)",S1176&lt;5000,"Low (&lt;5k)")</f>
        <v>Low (&lt;5k)</v>
      </c>
      <c r="U1176">
        <v>23163</v>
      </c>
      <c r="V1176">
        <v>1</v>
      </c>
      <c r="W1176" t="s">
        <v>43</v>
      </c>
      <c r="X1176">
        <v>12</v>
      </c>
      <c r="Y1176">
        <v>3</v>
      </c>
      <c r="Z1176">
        <v>2</v>
      </c>
      <c r="AA1176">
        <v>0</v>
      </c>
      <c r="AB1176">
        <v>9</v>
      </c>
      <c r="AC1176">
        <v>5</v>
      </c>
      <c r="AD1176" t="s">
        <v>81</v>
      </c>
      <c r="AE1176">
        <v>9</v>
      </c>
      <c r="AF1176" t="str" cm="1">
        <f t="array" ref="AF1176">_xlfn.IFS(AE1176&gt;=10,"Veteran (10y+)",AE1176&gt;=3,"Established (3-10y)",AE1176&lt;3,"New Hire (&lt;3y)")</f>
        <v>Established (3-10y)</v>
      </c>
      <c r="AG1176">
        <v>7</v>
      </c>
      <c r="AH1176">
        <v>0</v>
      </c>
      <c r="AI1176">
        <v>8</v>
      </c>
    </row>
    <row r="1177" spans="1:35">
      <c r="A1177">
        <v>45</v>
      </c>
      <c r="B1177" t="str">
        <f t="shared" si="18"/>
        <v>Middle Aged</v>
      </c>
      <c r="C1177">
        <v>0</v>
      </c>
      <c r="D1177" t="s">
        <v>36</v>
      </c>
      <c r="E1177">
        <v>974</v>
      </c>
      <c r="F1177" t="s">
        <v>45</v>
      </c>
      <c r="G1177">
        <v>1</v>
      </c>
      <c r="H1177" t="str" cm="1">
        <f t="array" ref="H1177">_xlfn.IFS(G1177&gt;15,"Long Commute",G1177&gt;5,"Moderate",G1177&lt;=5,"Near Office")</f>
        <v>Near Office</v>
      </c>
      <c r="I1177" t="s">
        <v>83</v>
      </c>
      <c r="J1177" t="s">
        <v>51</v>
      </c>
      <c r="K1177">
        <v>4</v>
      </c>
      <c r="L1177" t="s">
        <v>39</v>
      </c>
      <c r="M1177">
        <v>91</v>
      </c>
      <c r="N1177">
        <v>3</v>
      </c>
      <c r="O1177">
        <v>1</v>
      </c>
      <c r="P1177" t="s">
        <v>50</v>
      </c>
      <c r="Q1177" t="s">
        <v>77</v>
      </c>
      <c r="R1177" t="s">
        <v>52</v>
      </c>
      <c r="S1177">
        <v>2270</v>
      </c>
      <c r="T1177" t="str" cm="1">
        <f t="array" ref="T1177">_xlfn.IFS(S1177&gt;=10000,"High (&gt;10k)",S1177&gt;=5000,"Medium (5k-10k)",S1177&lt;5000,"Low (&lt;5k)")</f>
        <v>Low (&lt;5k)</v>
      </c>
      <c r="U1177">
        <v>11005</v>
      </c>
      <c r="V1177">
        <v>3</v>
      </c>
      <c r="W1177" t="s">
        <v>43</v>
      </c>
      <c r="X1177">
        <v>14</v>
      </c>
      <c r="Y1177">
        <v>3</v>
      </c>
      <c r="Z1177">
        <v>4</v>
      </c>
      <c r="AA1177">
        <v>2</v>
      </c>
      <c r="AB1177">
        <v>8</v>
      </c>
      <c r="AC1177">
        <v>2</v>
      </c>
      <c r="AD1177" t="s">
        <v>74</v>
      </c>
      <c r="AE1177">
        <v>5</v>
      </c>
      <c r="AF1177" t="str" cm="1">
        <f t="array" ref="AF1177">_xlfn.IFS(AE1177&gt;=10,"Veteran (10y+)",AE1177&gt;=3,"Established (3-10y)",AE1177&lt;3,"New Hire (&lt;3y)")</f>
        <v>Established (3-10y)</v>
      </c>
      <c r="AG1177">
        <v>3</v>
      </c>
      <c r="AH1177">
        <v>0</v>
      </c>
      <c r="AI1177">
        <v>2</v>
      </c>
    </row>
    <row r="1178" spans="1:35">
      <c r="A1178">
        <v>45</v>
      </c>
      <c r="B1178" t="str">
        <f t="shared" si="18"/>
        <v>Middle Aged</v>
      </c>
      <c r="C1178">
        <v>0</v>
      </c>
      <c r="D1178" t="s">
        <v>55</v>
      </c>
      <c r="E1178">
        <v>248</v>
      </c>
      <c r="F1178" t="s">
        <v>45</v>
      </c>
      <c r="G1178">
        <v>23</v>
      </c>
      <c r="H1178" t="str" cm="1">
        <f t="array" ref="H1178">_xlfn.IFS(G1178&gt;15,"Long Commute",G1178&gt;5,"Moderate",G1178&lt;=5,"Near Office")</f>
        <v>Long Commute</v>
      </c>
      <c r="I1178" t="s">
        <v>76</v>
      </c>
      <c r="J1178" t="s">
        <v>38</v>
      </c>
      <c r="K1178">
        <v>4</v>
      </c>
      <c r="L1178" t="s">
        <v>46</v>
      </c>
      <c r="M1178">
        <v>42</v>
      </c>
      <c r="N1178">
        <v>3</v>
      </c>
      <c r="O1178">
        <v>2</v>
      </c>
      <c r="P1178" t="s">
        <v>50</v>
      </c>
      <c r="Q1178" t="s">
        <v>82</v>
      </c>
      <c r="R1178" t="s">
        <v>48</v>
      </c>
      <c r="S1178">
        <v>3633</v>
      </c>
      <c r="T1178" t="str" cm="1">
        <f t="array" ref="T1178">_xlfn.IFS(S1178&gt;=10000,"High (&gt;10k)",S1178&gt;=5000,"Medium (5k-10k)",S1178&lt;5000,"Low (&lt;5k)")</f>
        <v>Low (&lt;5k)</v>
      </c>
      <c r="U1178">
        <v>14039</v>
      </c>
      <c r="V1178">
        <v>1</v>
      </c>
      <c r="W1178" t="s">
        <v>35</v>
      </c>
      <c r="X1178">
        <v>15</v>
      </c>
      <c r="Y1178">
        <v>3</v>
      </c>
      <c r="Z1178">
        <v>3</v>
      </c>
      <c r="AA1178">
        <v>1</v>
      </c>
      <c r="AB1178">
        <v>9</v>
      </c>
      <c r="AC1178">
        <v>2</v>
      </c>
      <c r="AD1178" t="s">
        <v>74</v>
      </c>
      <c r="AE1178">
        <v>9</v>
      </c>
      <c r="AF1178" t="str" cm="1">
        <f t="array" ref="AF1178">_xlfn.IFS(AE1178&gt;=10,"Veteran (10y+)",AE1178&gt;=3,"Established (3-10y)",AE1178&lt;3,"New Hire (&lt;3y)")</f>
        <v>Established (3-10y)</v>
      </c>
      <c r="AG1178">
        <v>8</v>
      </c>
      <c r="AH1178">
        <v>0</v>
      </c>
      <c r="AI1178">
        <v>8</v>
      </c>
    </row>
    <row r="1179" spans="1:35">
      <c r="A1179">
        <v>45</v>
      </c>
      <c r="B1179" t="str">
        <f t="shared" si="18"/>
        <v>Middle Aged</v>
      </c>
      <c r="C1179">
        <v>0</v>
      </c>
      <c r="D1179" t="s">
        <v>36</v>
      </c>
      <c r="E1179">
        <v>1234</v>
      </c>
      <c r="F1179" t="s">
        <v>37</v>
      </c>
      <c r="G1179">
        <v>11</v>
      </c>
      <c r="H1179" t="str" cm="1">
        <f t="array" ref="H1179">_xlfn.IFS(G1179&gt;15,"Long Commute",G1179&gt;5,"Moderate",G1179&lt;=5,"Near Office")</f>
        <v>Moderate</v>
      </c>
      <c r="I1179" t="s">
        <v>76</v>
      </c>
      <c r="J1179" t="s">
        <v>38</v>
      </c>
      <c r="K1179">
        <v>4</v>
      </c>
      <c r="L1179" t="s">
        <v>39</v>
      </c>
      <c r="M1179">
        <v>90</v>
      </c>
      <c r="N1179">
        <v>3</v>
      </c>
      <c r="O1179">
        <v>4</v>
      </c>
      <c r="P1179" t="s">
        <v>56</v>
      </c>
      <c r="Q1179" t="s">
        <v>77</v>
      </c>
      <c r="R1179" t="s">
        <v>48</v>
      </c>
      <c r="S1179">
        <v>17650</v>
      </c>
      <c r="T1179" t="str" cm="1">
        <f t="array" ref="T1179">_xlfn.IFS(S1179&gt;=10000,"High (&gt;10k)",S1179&gt;=5000,"Medium (5k-10k)",S1179&lt;5000,"Low (&lt;5k)")</f>
        <v>High (&gt;10k)</v>
      </c>
      <c r="U1179">
        <v>5404</v>
      </c>
      <c r="V1179">
        <v>3</v>
      </c>
      <c r="W1179" t="s">
        <v>43</v>
      </c>
      <c r="X1179">
        <v>13</v>
      </c>
      <c r="Y1179">
        <v>3</v>
      </c>
      <c r="Z1179">
        <v>2</v>
      </c>
      <c r="AA1179">
        <v>1</v>
      </c>
      <c r="AB1179">
        <v>26</v>
      </c>
      <c r="AC1179">
        <v>4</v>
      </c>
      <c r="AD1179" t="s">
        <v>79</v>
      </c>
      <c r="AE1179">
        <v>9</v>
      </c>
      <c r="AF1179" t="str" cm="1">
        <f t="array" ref="AF1179">_xlfn.IFS(AE1179&gt;=10,"Veteran (10y+)",AE1179&gt;=3,"Established (3-10y)",AE1179&lt;3,"New Hire (&lt;3y)")</f>
        <v>Established (3-10y)</v>
      </c>
      <c r="AG1179">
        <v>3</v>
      </c>
      <c r="AH1179">
        <v>1</v>
      </c>
      <c r="AI1179">
        <v>1</v>
      </c>
    </row>
    <row r="1180" spans="1:35">
      <c r="A1180">
        <v>45</v>
      </c>
      <c r="B1180" t="str">
        <f t="shared" si="18"/>
        <v>Middle Aged</v>
      </c>
      <c r="C1180">
        <v>0</v>
      </c>
      <c r="D1180" t="s">
        <v>36</v>
      </c>
      <c r="E1180">
        <v>788</v>
      </c>
      <c r="F1180" t="s">
        <v>61</v>
      </c>
      <c r="G1180">
        <v>24</v>
      </c>
      <c r="H1180" t="str" cm="1">
        <f t="array" ref="H1180">_xlfn.IFS(G1180&gt;15,"Long Commute",G1180&gt;5,"Moderate",G1180&lt;=5,"Near Office")</f>
        <v>Long Commute</v>
      </c>
      <c r="I1180" t="s">
        <v>83</v>
      </c>
      <c r="J1180" t="s">
        <v>51</v>
      </c>
      <c r="K1180">
        <v>2</v>
      </c>
      <c r="L1180" t="s">
        <v>46</v>
      </c>
      <c r="M1180">
        <v>36</v>
      </c>
      <c r="N1180">
        <v>3</v>
      </c>
      <c r="O1180">
        <v>1</v>
      </c>
      <c r="P1180" t="s">
        <v>61</v>
      </c>
      <c r="Q1180" t="s">
        <v>75</v>
      </c>
      <c r="R1180" t="s">
        <v>41</v>
      </c>
      <c r="S1180">
        <v>2177</v>
      </c>
      <c r="T1180" t="str" cm="1">
        <f t="array" ref="T1180">_xlfn.IFS(S1180&gt;=10000,"High (&gt;10k)",S1180&gt;=5000,"Medium (5k-10k)",S1180&lt;5000,"Low (&lt;5k)")</f>
        <v>Low (&lt;5k)</v>
      </c>
      <c r="U1180">
        <v>8318</v>
      </c>
      <c r="V1180">
        <v>1</v>
      </c>
      <c r="W1180" t="s">
        <v>43</v>
      </c>
      <c r="X1180">
        <v>16</v>
      </c>
      <c r="Y1180">
        <v>3</v>
      </c>
      <c r="Z1180">
        <v>1</v>
      </c>
      <c r="AA1180">
        <v>0</v>
      </c>
      <c r="AB1180">
        <v>6</v>
      </c>
      <c r="AC1180">
        <v>3</v>
      </c>
      <c r="AD1180" t="s">
        <v>74</v>
      </c>
      <c r="AE1180">
        <v>6</v>
      </c>
      <c r="AF1180" t="str" cm="1">
        <f t="array" ref="AF1180">_xlfn.IFS(AE1180&gt;=10,"Veteran (10y+)",AE1180&gt;=3,"Established (3-10y)",AE1180&lt;3,"New Hire (&lt;3y)")</f>
        <v>Established (3-10y)</v>
      </c>
      <c r="AG1180">
        <v>3</v>
      </c>
      <c r="AH1180">
        <v>0</v>
      </c>
      <c r="AI1180">
        <v>4</v>
      </c>
    </row>
    <row r="1181" spans="1:35">
      <c r="A1181">
        <v>45</v>
      </c>
      <c r="B1181" t="str">
        <f t="shared" si="18"/>
        <v>Middle Aged</v>
      </c>
      <c r="C1181">
        <v>0</v>
      </c>
      <c r="D1181" t="s">
        <v>55</v>
      </c>
      <c r="E1181">
        <v>1050</v>
      </c>
      <c r="F1181" t="s">
        <v>37</v>
      </c>
      <c r="G1181">
        <v>9</v>
      </c>
      <c r="H1181" t="str" cm="1">
        <f t="array" ref="H1181">_xlfn.IFS(G1181&gt;15,"Long Commute",G1181&gt;5,"Moderate",G1181&lt;=5,"Near Office")</f>
        <v>Moderate</v>
      </c>
      <c r="I1181" t="s">
        <v>83</v>
      </c>
      <c r="J1181" t="s">
        <v>38</v>
      </c>
      <c r="K1181">
        <v>2</v>
      </c>
      <c r="L1181" t="s">
        <v>39</v>
      </c>
      <c r="M1181">
        <v>65</v>
      </c>
      <c r="N1181">
        <v>2</v>
      </c>
      <c r="O1181">
        <v>2</v>
      </c>
      <c r="P1181" t="s">
        <v>40</v>
      </c>
      <c r="Q1181" t="s">
        <v>73</v>
      </c>
      <c r="R1181" t="s">
        <v>48</v>
      </c>
      <c r="S1181">
        <v>5593</v>
      </c>
      <c r="T1181" t="str" cm="1">
        <f t="array" ref="T1181">_xlfn.IFS(S1181&gt;=10000,"High (&gt;10k)",S1181&gt;=5000,"Medium (5k-10k)",S1181&lt;5000,"Low (&lt;5k)")</f>
        <v>Medium (5k-10k)</v>
      </c>
      <c r="U1181">
        <v>17970</v>
      </c>
      <c r="V1181">
        <v>1</v>
      </c>
      <c r="W1181" t="s">
        <v>43</v>
      </c>
      <c r="X1181">
        <v>13</v>
      </c>
      <c r="Y1181">
        <v>3</v>
      </c>
      <c r="Z1181">
        <v>4</v>
      </c>
      <c r="AA1181">
        <v>1</v>
      </c>
      <c r="AB1181">
        <v>15</v>
      </c>
      <c r="AC1181">
        <v>2</v>
      </c>
      <c r="AD1181" t="s">
        <v>74</v>
      </c>
      <c r="AE1181">
        <v>15</v>
      </c>
      <c r="AF1181" t="str" cm="1">
        <f t="array" ref="AF1181">_xlfn.IFS(AE1181&gt;=10,"Veteran (10y+)",AE1181&gt;=3,"Established (3-10y)",AE1181&lt;3,"New Hire (&lt;3y)")</f>
        <v>Veteran (10y+)</v>
      </c>
      <c r="AG1181">
        <v>10</v>
      </c>
      <c r="AH1181">
        <v>4</v>
      </c>
      <c r="AI1181">
        <v>12</v>
      </c>
    </row>
    <row r="1182" spans="1:35">
      <c r="A1182">
        <v>45</v>
      </c>
      <c r="B1182" t="str">
        <f t="shared" si="18"/>
        <v>Middle Aged</v>
      </c>
      <c r="C1182">
        <v>0</v>
      </c>
      <c r="D1182" t="s">
        <v>36</v>
      </c>
      <c r="E1182">
        <v>1457</v>
      </c>
      <c r="F1182" t="s">
        <v>45</v>
      </c>
      <c r="G1182">
        <v>7</v>
      </c>
      <c r="H1182" t="str" cm="1">
        <f t="array" ref="H1182">_xlfn.IFS(G1182&gt;15,"Long Commute",G1182&gt;5,"Moderate",G1182&lt;=5,"Near Office")</f>
        <v>Moderate</v>
      </c>
      <c r="I1182" t="s">
        <v>72</v>
      </c>
      <c r="J1182" t="s">
        <v>51</v>
      </c>
      <c r="K1182">
        <v>1</v>
      </c>
      <c r="L1182" t="s">
        <v>39</v>
      </c>
      <c r="M1182">
        <v>83</v>
      </c>
      <c r="N1182">
        <v>3</v>
      </c>
      <c r="O1182">
        <v>1</v>
      </c>
      <c r="P1182" t="s">
        <v>47</v>
      </c>
      <c r="Q1182" t="s">
        <v>73</v>
      </c>
      <c r="R1182" t="s">
        <v>48</v>
      </c>
      <c r="S1182">
        <v>4477</v>
      </c>
      <c r="T1182" t="str" cm="1">
        <f t="array" ref="T1182">_xlfn.IFS(S1182&gt;=10000,"High (&gt;10k)",S1182&gt;=5000,"Medium (5k-10k)",S1182&lt;5000,"Low (&lt;5k)")</f>
        <v>Low (&lt;5k)</v>
      </c>
      <c r="U1182">
        <v>20100</v>
      </c>
      <c r="V1182">
        <v>4</v>
      </c>
      <c r="W1182" t="s">
        <v>35</v>
      </c>
      <c r="X1182">
        <v>19</v>
      </c>
      <c r="Y1182">
        <v>3</v>
      </c>
      <c r="Z1182">
        <v>3</v>
      </c>
      <c r="AA1182">
        <v>1</v>
      </c>
      <c r="AB1182">
        <v>7</v>
      </c>
      <c r="AC1182">
        <v>2</v>
      </c>
      <c r="AD1182" t="s">
        <v>81</v>
      </c>
      <c r="AE1182">
        <v>3</v>
      </c>
      <c r="AF1182" t="str" cm="1">
        <f t="array" ref="AF1182">_xlfn.IFS(AE1182&gt;=10,"Veteran (10y+)",AE1182&gt;=3,"Established (3-10y)",AE1182&lt;3,"New Hire (&lt;3y)")</f>
        <v>Established (3-10y)</v>
      </c>
      <c r="AG1182">
        <v>2</v>
      </c>
      <c r="AH1182">
        <v>0</v>
      </c>
      <c r="AI1182">
        <v>2</v>
      </c>
    </row>
    <row r="1183" spans="1:35">
      <c r="A1183">
        <v>45</v>
      </c>
      <c r="B1183" t="str">
        <f t="shared" si="18"/>
        <v>Middle Aged</v>
      </c>
      <c r="C1183">
        <v>1</v>
      </c>
      <c r="D1183" t="s">
        <v>36</v>
      </c>
      <c r="E1183">
        <v>1449</v>
      </c>
      <c r="F1183" t="s">
        <v>37</v>
      </c>
      <c r="G1183">
        <v>2</v>
      </c>
      <c r="H1183" t="str" cm="1">
        <f t="array" ref="H1183">_xlfn.IFS(G1183&gt;15,"Long Commute",G1183&gt;5,"Moderate",G1183&lt;=5,"Near Office")</f>
        <v>Near Office</v>
      </c>
      <c r="I1183" t="s">
        <v>72</v>
      </c>
      <c r="J1183" t="s">
        <v>59</v>
      </c>
      <c r="K1183">
        <v>1</v>
      </c>
      <c r="L1183" t="s">
        <v>39</v>
      </c>
      <c r="M1183">
        <v>94</v>
      </c>
      <c r="N1183">
        <v>1</v>
      </c>
      <c r="O1183">
        <v>5</v>
      </c>
      <c r="P1183" t="s">
        <v>56</v>
      </c>
      <c r="Q1183" t="s">
        <v>75</v>
      </c>
      <c r="R1183" t="s">
        <v>41</v>
      </c>
      <c r="S1183">
        <v>18824</v>
      </c>
      <c r="T1183" t="str" cm="1">
        <f t="array" ref="T1183">_xlfn.IFS(S1183&gt;=10000,"High (&gt;10k)",S1183&gt;=5000,"Medium (5k-10k)",S1183&lt;5000,"Low (&lt;5k)")</f>
        <v>High (&gt;10k)</v>
      </c>
      <c r="U1183">
        <v>2493</v>
      </c>
      <c r="V1183">
        <v>2</v>
      </c>
      <c r="W1183" t="s">
        <v>35</v>
      </c>
      <c r="X1183">
        <v>16</v>
      </c>
      <c r="Y1183">
        <v>3</v>
      </c>
      <c r="Z1183">
        <v>1</v>
      </c>
      <c r="AA1183">
        <v>0</v>
      </c>
      <c r="AB1183">
        <v>26</v>
      </c>
      <c r="AC1183">
        <v>2</v>
      </c>
      <c r="AD1183" t="s">
        <v>74</v>
      </c>
      <c r="AE1183">
        <v>24</v>
      </c>
      <c r="AF1183" t="str" cm="1">
        <f t="array" ref="AF1183">_xlfn.IFS(AE1183&gt;=10,"Veteran (10y+)",AE1183&gt;=3,"Established (3-10y)",AE1183&lt;3,"New Hire (&lt;3y)")</f>
        <v>Veteran (10y+)</v>
      </c>
      <c r="AG1183">
        <v>10</v>
      </c>
      <c r="AH1183">
        <v>1</v>
      </c>
      <c r="AI1183">
        <v>11</v>
      </c>
    </row>
    <row r="1184" spans="1:35">
      <c r="A1184">
        <v>45</v>
      </c>
      <c r="B1184" t="str">
        <f t="shared" si="18"/>
        <v>Middle Aged</v>
      </c>
      <c r="C1184">
        <v>0</v>
      </c>
      <c r="D1184" t="s">
        <v>44</v>
      </c>
      <c r="E1184">
        <v>364</v>
      </c>
      <c r="F1184" t="s">
        <v>45</v>
      </c>
      <c r="G1184">
        <v>25</v>
      </c>
      <c r="H1184" t="str" cm="1">
        <f t="array" ref="H1184">_xlfn.IFS(G1184&gt;15,"Long Commute",G1184&gt;5,"Moderate",G1184&lt;=5,"Near Office")</f>
        <v>Long Commute</v>
      </c>
      <c r="I1184" t="s">
        <v>72</v>
      </c>
      <c r="J1184" t="s">
        <v>51</v>
      </c>
      <c r="K1184">
        <v>2</v>
      </c>
      <c r="L1184" t="s">
        <v>39</v>
      </c>
      <c r="M1184">
        <v>83</v>
      </c>
      <c r="N1184">
        <v>3</v>
      </c>
      <c r="O1184">
        <v>5</v>
      </c>
      <c r="P1184" t="s">
        <v>56</v>
      </c>
      <c r="Q1184" t="s">
        <v>75</v>
      </c>
      <c r="R1184" t="s">
        <v>41</v>
      </c>
      <c r="S1184">
        <v>18061</v>
      </c>
      <c r="T1184" t="str" cm="1">
        <f t="array" ref="T1184">_xlfn.IFS(S1184&gt;=10000,"High (&gt;10k)",S1184&gt;=5000,"Medium (5k-10k)",S1184&lt;5000,"Low (&lt;5k)")</f>
        <v>High (&gt;10k)</v>
      </c>
      <c r="U1184">
        <v>13035</v>
      </c>
      <c r="V1184">
        <v>3</v>
      </c>
      <c r="W1184" t="s">
        <v>43</v>
      </c>
      <c r="X1184">
        <v>22</v>
      </c>
      <c r="Y1184">
        <v>4</v>
      </c>
      <c r="Z1184">
        <v>3</v>
      </c>
      <c r="AA1184">
        <v>0</v>
      </c>
      <c r="AB1184">
        <v>22</v>
      </c>
      <c r="AC1184">
        <v>4</v>
      </c>
      <c r="AD1184" t="s">
        <v>74</v>
      </c>
      <c r="AE1184">
        <v>0</v>
      </c>
      <c r="AF1184" t="str" cm="1">
        <f t="array" ref="AF1184">_xlfn.IFS(AE1184&gt;=10,"Veteran (10y+)",AE1184&gt;=3,"Established (3-10y)",AE1184&lt;3,"New Hire (&lt;3y)")</f>
        <v>New Hire (&lt;3y)</v>
      </c>
      <c r="AG1184">
        <v>0</v>
      </c>
      <c r="AH1184">
        <v>0</v>
      </c>
      <c r="AI1184">
        <v>0</v>
      </c>
    </row>
    <row r="1185" spans="1:35">
      <c r="A1185">
        <v>45</v>
      </c>
      <c r="B1185" t="str">
        <f t="shared" si="18"/>
        <v>Middle Aged</v>
      </c>
      <c r="C1185">
        <v>0</v>
      </c>
      <c r="D1185" t="s">
        <v>36</v>
      </c>
      <c r="E1185">
        <v>1038</v>
      </c>
      <c r="F1185" t="s">
        <v>45</v>
      </c>
      <c r="G1185">
        <v>20</v>
      </c>
      <c r="H1185" t="str" cm="1">
        <f t="array" ref="H1185">_xlfn.IFS(G1185&gt;15,"Long Commute",G1185&gt;5,"Moderate",G1185&lt;=5,"Near Office")</f>
        <v>Long Commute</v>
      </c>
      <c r="I1185" t="s">
        <v>72</v>
      </c>
      <c r="J1185" t="s">
        <v>51</v>
      </c>
      <c r="K1185">
        <v>2</v>
      </c>
      <c r="L1185" t="s">
        <v>46</v>
      </c>
      <c r="M1185">
        <v>95</v>
      </c>
      <c r="N1185">
        <v>1</v>
      </c>
      <c r="O1185">
        <v>3</v>
      </c>
      <c r="P1185" t="s">
        <v>54</v>
      </c>
      <c r="Q1185" t="s">
        <v>82</v>
      </c>
      <c r="R1185" t="s">
        <v>52</v>
      </c>
      <c r="S1185">
        <v>10851</v>
      </c>
      <c r="T1185" t="str" cm="1">
        <f t="array" ref="T1185">_xlfn.IFS(S1185&gt;=10000,"High (&gt;10k)",S1185&gt;=5000,"Medium (5k-10k)",S1185&lt;5000,"Low (&lt;5k)")</f>
        <v>High (&gt;10k)</v>
      </c>
      <c r="U1185">
        <v>19863</v>
      </c>
      <c r="V1185">
        <v>2</v>
      </c>
      <c r="W1185" t="s">
        <v>35</v>
      </c>
      <c r="X1185">
        <v>18</v>
      </c>
      <c r="Y1185">
        <v>3</v>
      </c>
      <c r="Z1185">
        <v>2</v>
      </c>
      <c r="AA1185">
        <v>1</v>
      </c>
      <c r="AB1185">
        <v>24</v>
      </c>
      <c r="AC1185">
        <v>2</v>
      </c>
      <c r="AD1185" t="s">
        <v>74</v>
      </c>
      <c r="AE1185">
        <v>7</v>
      </c>
      <c r="AF1185" t="str" cm="1">
        <f t="array" ref="AF1185">_xlfn.IFS(AE1185&gt;=10,"Veteran (10y+)",AE1185&gt;=3,"Established (3-10y)",AE1185&lt;3,"New Hire (&lt;3y)")</f>
        <v>Established (3-10y)</v>
      </c>
      <c r="AG1185">
        <v>7</v>
      </c>
      <c r="AH1185">
        <v>0</v>
      </c>
      <c r="AI1185">
        <v>7</v>
      </c>
    </row>
    <row r="1186" spans="1:35">
      <c r="A1186">
        <v>45</v>
      </c>
      <c r="B1186" t="str">
        <f t="shared" si="18"/>
        <v>Middle Aged</v>
      </c>
      <c r="C1186">
        <v>0</v>
      </c>
      <c r="D1186" t="s">
        <v>36</v>
      </c>
      <c r="E1186">
        <v>1448</v>
      </c>
      <c r="F1186" t="s">
        <v>45</v>
      </c>
      <c r="G1186">
        <v>29</v>
      </c>
      <c r="H1186" t="str" cm="1">
        <f t="array" ref="H1186">_xlfn.IFS(G1186&gt;15,"Long Commute",G1186&gt;5,"Moderate",G1186&lt;=5,"Near Office")</f>
        <v>Long Commute</v>
      </c>
      <c r="I1186" t="s">
        <v>72</v>
      </c>
      <c r="J1186" t="s">
        <v>60</v>
      </c>
      <c r="K1186">
        <v>2</v>
      </c>
      <c r="L1186" t="s">
        <v>46</v>
      </c>
      <c r="M1186">
        <v>55</v>
      </c>
      <c r="N1186">
        <v>3</v>
      </c>
      <c r="O1186">
        <v>3</v>
      </c>
      <c r="P1186" t="s">
        <v>53</v>
      </c>
      <c r="Q1186" t="s">
        <v>77</v>
      </c>
      <c r="R1186" t="s">
        <v>48</v>
      </c>
      <c r="S1186">
        <v>9380</v>
      </c>
      <c r="T1186" t="str" cm="1">
        <f t="array" ref="T1186">_xlfn.IFS(S1186&gt;=10000,"High (&gt;10k)",S1186&gt;=5000,"Medium (5k-10k)",S1186&lt;5000,"Low (&lt;5k)")</f>
        <v>Medium (5k-10k)</v>
      </c>
      <c r="U1186">
        <v>14720</v>
      </c>
      <c r="V1186">
        <v>4</v>
      </c>
      <c r="W1186" t="s">
        <v>35</v>
      </c>
      <c r="X1186">
        <v>18</v>
      </c>
      <c r="Y1186">
        <v>3</v>
      </c>
      <c r="Z1186">
        <v>4</v>
      </c>
      <c r="AA1186">
        <v>2</v>
      </c>
      <c r="AB1186">
        <v>10</v>
      </c>
      <c r="AC1186">
        <v>4</v>
      </c>
      <c r="AD1186" t="s">
        <v>79</v>
      </c>
      <c r="AE1186">
        <v>3</v>
      </c>
      <c r="AF1186" t="str" cm="1">
        <f t="array" ref="AF1186">_xlfn.IFS(AE1186&gt;=10,"Veteran (10y+)",AE1186&gt;=3,"Established (3-10y)",AE1186&lt;3,"New Hire (&lt;3y)")</f>
        <v>Established (3-10y)</v>
      </c>
      <c r="AG1186">
        <v>1</v>
      </c>
      <c r="AH1186">
        <v>1</v>
      </c>
      <c r="AI1186">
        <v>2</v>
      </c>
    </row>
    <row r="1187" spans="1:35">
      <c r="A1187">
        <v>45</v>
      </c>
      <c r="B1187" t="str">
        <f t="shared" si="18"/>
        <v>Middle Aged</v>
      </c>
      <c r="C1187">
        <v>0</v>
      </c>
      <c r="D1187" t="s">
        <v>36</v>
      </c>
      <c r="E1187">
        <v>950</v>
      </c>
      <c r="F1187" t="s">
        <v>45</v>
      </c>
      <c r="G1187">
        <v>28</v>
      </c>
      <c r="H1187" t="str" cm="1">
        <f t="array" ref="H1187">_xlfn.IFS(G1187&gt;15,"Long Commute",G1187&gt;5,"Moderate",G1187&lt;=5,"Near Office")</f>
        <v>Long Commute</v>
      </c>
      <c r="I1187" t="s">
        <v>72</v>
      </c>
      <c r="J1187" t="s">
        <v>60</v>
      </c>
      <c r="K1187">
        <v>4</v>
      </c>
      <c r="L1187" t="s">
        <v>46</v>
      </c>
      <c r="M1187">
        <v>97</v>
      </c>
      <c r="N1187">
        <v>3</v>
      </c>
      <c r="O1187">
        <v>1</v>
      </c>
      <c r="P1187" t="s">
        <v>47</v>
      </c>
      <c r="Q1187" t="s">
        <v>77</v>
      </c>
      <c r="R1187" t="s">
        <v>48</v>
      </c>
      <c r="S1187">
        <v>2132</v>
      </c>
      <c r="T1187" t="str" cm="1">
        <f t="array" ref="T1187">_xlfn.IFS(S1187&gt;=10000,"High (&gt;10k)",S1187&gt;=5000,"Medium (5k-10k)",S1187&lt;5000,"Low (&lt;5k)")</f>
        <v>Low (&lt;5k)</v>
      </c>
      <c r="U1187">
        <v>4585</v>
      </c>
      <c r="V1187">
        <v>4</v>
      </c>
      <c r="W1187" t="s">
        <v>43</v>
      </c>
      <c r="X1187">
        <v>20</v>
      </c>
      <c r="Y1187">
        <v>4</v>
      </c>
      <c r="Z1187">
        <v>4</v>
      </c>
      <c r="AA1187">
        <v>1</v>
      </c>
      <c r="AB1187">
        <v>8</v>
      </c>
      <c r="AC1187">
        <v>3</v>
      </c>
      <c r="AD1187" t="s">
        <v>74</v>
      </c>
      <c r="AE1187">
        <v>5</v>
      </c>
      <c r="AF1187" t="str" cm="1">
        <f t="array" ref="AF1187">_xlfn.IFS(AE1187&gt;=10,"Veteran (10y+)",AE1187&gt;=3,"Established (3-10y)",AE1187&lt;3,"New Hire (&lt;3y)")</f>
        <v>Established (3-10y)</v>
      </c>
      <c r="AG1187">
        <v>4</v>
      </c>
      <c r="AH1187">
        <v>0</v>
      </c>
      <c r="AI1187">
        <v>3</v>
      </c>
    </row>
    <row r="1188" spans="1:35">
      <c r="A1188">
        <v>45</v>
      </c>
      <c r="B1188" t="str">
        <f t="shared" si="18"/>
        <v>Middle Aged</v>
      </c>
      <c r="C1188">
        <v>0</v>
      </c>
      <c r="D1188" t="s">
        <v>36</v>
      </c>
      <c r="E1188">
        <v>538</v>
      </c>
      <c r="F1188" t="s">
        <v>45</v>
      </c>
      <c r="G1188">
        <v>1</v>
      </c>
      <c r="H1188" t="str" cm="1">
        <f t="array" ref="H1188">_xlfn.IFS(G1188&gt;15,"Long Commute",G1188&gt;5,"Moderate",G1188&lt;=5,"Near Office")</f>
        <v>Near Office</v>
      </c>
      <c r="I1188" t="s">
        <v>83</v>
      </c>
      <c r="J1188" t="s">
        <v>60</v>
      </c>
      <c r="K1188">
        <v>1</v>
      </c>
      <c r="L1188" t="s">
        <v>46</v>
      </c>
      <c r="M1188">
        <v>66</v>
      </c>
      <c r="N1188">
        <v>3</v>
      </c>
      <c r="O1188">
        <v>3</v>
      </c>
      <c r="P1188" t="s">
        <v>54</v>
      </c>
      <c r="Q1188" t="s">
        <v>75</v>
      </c>
      <c r="R1188" t="s">
        <v>52</v>
      </c>
      <c r="S1188">
        <v>7441</v>
      </c>
      <c r="T1188" t="str" cm="1">
        <f t="array" ref="T1188">_xlfn.IFS(S1188&gt;=10000,"High (&gt;10k)",S1188&gt;=5000,"Medium (5k-10k)",S1188&lt;5000,"Low (&lt;5k)")</f>
        <v>Medium (5k-10k)</v>
      </c>
      <c r="U1188">
        <v>20933</v>
      </c>
      <c r="V1188">
        <v>1</v>
      </c>
      <c r="W1188" t="s">
        <v>43</v>
      </c>
      <c r="X1188">
        <v>12</v>
      </c>
      <c r="Y1188">
        <v>3</v>
      </c>
      <c r="Z1188">
        <v>1</v>
      </c>
      <c r="AA1188">
        <v>3</v>
      </c>
      <c r="AB1188">
        <v>10</v>
      </c>
      <c r="AC1188">
        <v>4</v>
      </c>
      <c r="AD1188" t="s">
        <v>74</v>
      </c>
      <c r="AE1188">
        <v>10</v>
      </c>
      <c r="AF1188" t="str" cm="1">
        <f t="array" ref="AF1188">_xlfn.IFS(AE1188&gt;=10,"Veteran (10y+)",AE1188&gt;=3,"Established (3-10y)",AE1188&lt;3,"New Hire (&lt;3y)")</f>
        <v>Veteran (10y+)</v>
      </c>
      <c r="AG1188">
        <v>8</v>
      </c>
      <c r="AH1188">
        <v>7</v>
      </c>
      <c r="AI1188">
        <v>7</v>
      </c>
    </row>
    <row r="1189" spans="1:35">
      <c r="A1189">
        <v>45</v>
      </c>
      <c r="B1189" t="str">
        <f t="shared" si="18"/>
        <v>Middle Aged</v>
      </c>
      <c r="C1189">
        <v>0</v>
      </c>
      <c r="D1189" t="s">
        <v>36</v>
      </c>
      <c r="E1189">
        <v>1015</v>
      </c>
      <c r="F1189" t="s">
        <v>45</v>
      </c>
      <c r="G1189">
        <v>5</v>
      </c>
      <c r="H1189" t="str" cm="1">
        <f t="array" ref="H1189">_xlfn.IFS(G1189&gt;15,"Long Commute",G1189&gt;5,"Moderate",G1189&lt;=5,"Near Office")</f>
        <v>Near Office</v>
      </c>
      <c r="I1189" t="s">
        <v>84</v>
      </c>
      <c r="J1189" t="s">
        <v>51</v>
      </c>
      <c r="K1189">
        <v>3</v>
      </c>
      <c r="L1189" t="s">
        <v>39</v>
      </c>
      <c r="M1189">
        <v>50</v>
      </c>
      <c r="N1189">
        <v>1</v>
      </c>
      <c r="O1189">
        <v>2</v>
      </c>
      <c r="P1189" t="s">
        <v>50</v>
      </c>
      <c r="Q1189" t="s">
        <v>82</v>
      </c>
      <c r="R1189" t="s">
        <v>41</v>
      </c>
      <c r="S1189">
        <v>5769</v>
      </c>
      <c r="T1189" t="str" cm="1">
        <f t="array" ref="T1189">_xlfn.IFS(S1189&gt;=10000,"High (&gt;10k)",S1189&gt;=5000,"Medium (5k-10k)",S1189&lt;5000,"Low (&lt;5k)")</f>
        <v>Medium (5k-10k)</v>
      </c>
      <c r="U1189">
        <v>23447</v>
      </c>
      <c r="V1189">
        <v>1</v>
      </c>
      <c r="W1189" t="s">
        <v>35</v>
      </c>
      <c r="X1189">
        <v>14</v>
      </c>
      <c r="Y1189">
        <v>3</v>
      </c>
      <c r="Z1189">
        <v>1</v>
      </c>
      <c r="AA1189">
        <v>0</v>
      </c>
      <c r="AB1189">
        <v>10</v>
      </c>
      <c r="AC1189">
        <v>3</v>
      </c>
      <c r="AD1189" t="s">
        <v>74</v>
      </c>
      <c r="AE1189">
        <v>10</v>
      </c>
      <c r="AF1189" t="str" cm="1">
        <f t="array" ref="AF1189">_xlfn.IFS(AE1189&gt;=10,"Veteran (10y+)",AE1189&gt;=3,"Established (3-10y)",AE1189&lt;3,"New Hire (&lt;3y)")</f>
        <v>Veteran (10y+)</v>
      </c>
      <c r="AG1189">
        <v>7</v>
      </c>
      <c r="AH1189">
        <v>1</v>
      </c>
      <c r="AI1189">
        <v>4</v>
      </c>
    </row>
    <row r="1190" spans="1:35">
      <c r="A1190">
        <v>45</v>
      </c>
      <c r="B1190" t="str">
        <f t="shared" si="18"/>
        <v>Middle Aged</v>
      </c>
      <c r="C1190">
        <v>0</v>
      </c>
      <c r="D1190" t="s">
        <v>55</v>
      </c>
      <c r="E1190">
        <v>336</v>
      </c>
      <c r="F1190" t="s">
        <v>37</v>
      </c>
      <c r="G1190">
        <v>26</v>
      </c>
      <c r="H1190" t="str" cm="1">
        <f t="array" ref="H1190">_xlfn.IFS(G1190&gt;15,"Long Commute",G1190&gt;5,"Moderate",G1190&lt;=5,"Near Office")</f>
        <v>Long Commute</v>
      </c>
      <c r="I1190" t="s">
        <v>72</v>
      </c>
      <c r="J1190" t="s">
        <v>59</v>
      </c>
      <c r="K1190">
        <v>1</v>
      </c>
      <c r="L1190" t="s">
        <v>46</v>
      </c>
      <c r="M1190">
        <v>52</v>
      </c>
      <c r="N1190">
        <v>2</v>
      </c>
      <c r="O1190">
        <v>2</v>
      </c>
      <c r="P1190" t="s">
        <v>40</v>
      </c>
      <c r="Q1190" t="s">
        <v>82</v>
      </c>
      <c r="R1190" t="s">
        <v>48</v>
      </c>
      <c r="S1190">
        <v>4385</v>
      </c>
      <c r="T1190" t="str" cm="1">
        <f t="array" ref="T1190">_xlfn.IFS(S1190&gt;=10000,"High (&gt;10k)",S1190&gt;=5000,"Medium (5k-10k)",S1190&lt;5000,"Low (&lt;5k)")</f>
        <v>Low (&lt;5k)</v>
      </c>
      <c r="U1190">
        <v>24162</v>
      </c>
      <c r="V1190">
        <v>1</v>
      </c>
      <c r="W1190" t="s">
        <v>43</v>
      </c>
      <c r="X1190">
        <v>15</v>
      </c>
      <c r="Y1190">
        <v>3</v>
      </c>
      <c r="Z1190">
        <v>1</v>
      </c>
      <c r="AA1190">
        <v>1</v>
      </c>
      <c r="AB1190">
        <v>10</v>
      </c>
      <c r="AC1190">
        <v>2</v>
      </c>
      <c r="AD1190" t="s">
        <v>74</v>
      </c>
      <c r="AE1190">
        <v>10</v>
      </c>
      <c r="AF1190" t="str" cm="1">
        <f t="array" ref="AF1190">_xlfn.IFS(AE1190&gt;=10,"Veteran (10y+)",AE1190&gt;=3,"Established (3-10y)",AE1190&lt;3,"New Hire (&lt;3y)")</f>
        <v>Veteran (10y+)</v>
      </c>
      <c r="AG1190">
        <v>7</v>
      </c>
      <c r="AH1190">
        <v>4</v>
      </c>
      <c r="AI1190">
        <v>5</v>
      </c>
    </row>
    <row r="1191" spans="1:35">
      <c r="A1191">
        <v>45</v>
      </c>
      <c r="B1191" t="str">
        <f t="shared" si="18"/>
        <v>Middle Aged</v>
      </c>
      <c r="C1191">
        <v>0</v>
      </c>
      <c r="D1191" t="s">
        <v>36</v>
      </c>
      <c r="E1191">
        <v>1329</v>
      </c>
      <c r="F1191" t="s">
        <v>45</v>
      </c>
      <c r="G1191">
        <v>2</v>
      </c>
      <c r="H1191" t="str" cm="1">
        <f t="array" ref="H1191">_xlfn.IFS(G1191&gt;15,"Long Commute",G1191&gt;5,"Moderate",G1191&lt;=5,"Near Office")</f>
        <v>Near Office</v>
      </c>
      <c r="I1191" t="s">
        <v>76</v>
      </c>
      <c r="J1191" t="s">
        <v>49</v>
      </c>
      <c r="K1191">
        <v>4</v>
      </c>
      <c r="L1191" t="s">
        <v>39</v>
      </c>
      <c r="M1191">
        <v>59</v>
      </c>
      <c r="N1191">
        <v>2</v>
      </c>
      <c r="O1191">
        <v>2</v>
      </c>
      <c r="P1191" t="s">
        <v>53</v>
      </c>
      <c r="Q1191" t="s">
        <v>77</v>
      </c>
      <c r="R1191" t="s">
        <v>52</v>
      </c>
      <c r="S1191">
        <v>5770</v>
      </c>
      <c r="T1191" t="str" cm="1">
        <f t="array" ref="T1191">_xlfn.IFS(S1191&gt;=10000,"High (&gt;10k)",S1191&gt;=5000,"Medium (5k-10k)",S1191&lt;5000,"Low (&lt;5k)")</f>
        <v>Medium (5k-10k)</v>
      </c>
      <c r="U1191">
        <v>5388</v>
      </c>
      <c r="V1191">
        <v>1</v>
      </c>
      <c r="W1191" t="s">
        <v>43</v>
      </c>
      <c r="X1191">
        <v>19</v>
      </c>
      <c r="Y1191">
        <v>3</v>
      </c>
      <c r="Z1191">
        <v>1</v>
      </c>
      <c r="AA1191">
        <v>2</v>
      </c>
      <c r="AB1191">
        <v>10</v>
      </c>
      <c r="AC1191">
        <v>3</v>
      </c>
      <c r="AD1191" t="s">
        <v>74</v>
      </c>
      <c r="AE1191">
        <v>10</v>
      </c>
      <c r="AF1191" t="str" cm="1">
        <f t="array" ref="AF1191">_xlfn.IFS(AE1191&gt;=10,"Veteran (10y+)",AE1191&gt;=3,"Established (3-10y)",AE1191&lt;3,"New Hire (&lt;3y)")</f>
        <v>Veteran (10y+)</v>
      </c>
      <c r="AG1191">
        <v>7</v>
      </c>
      <c r="AH1191">
        <v>3</v>
      </c>
      <c r="AI1191">
        <v>9</v>
      </c>
    </row>
    <row r="1192" spans="1:35">
      <c r="A1192">
        <v>45</v>
      </c>
      <c r="B1192" t="str">
        <f t="shared" si="18"/>
        <v>Middle Aged</v>
      </c>
      <c r="C1192">
        <v>0</v>
      </c>
      <c r="D1192" t="s">
        <v>55</v>
      </c>
      <c r="E1192">
        <v>1238</v>
      </c>
      <c r="F1192" t="s">
        <v>45</v>
      </c>
      <c r="G1192">
        <v>1</v>
      </c>
      <c r="H1192" t="str" cm="1">
        <f t="array" ref="H1192">_xlfn.IFS(G1192&gt;15,"Long Commute",G1192&gt;5,"Moderate",G1192&lt;=5,"Near Office")</f>
        <v>Near Office</v>
      </c>
      <c r="I1192" t="s">
        <v>78</v>
      </c>
      <c r="J1192" t="s">
        <v>38</v>
      </c>
      <c r="K1192">
        <v>3</v>
      </c>
      <c r="L1192" t="s">
        <v>46</v>
      </c>
      <c r="M1192">
        <v>74</v>
      </c>
      <c r="N1192">
        <v>2</v>
      </c>
      <c r="O1192">
        <v>3</v>
      </c>
      <c r="P1192" t="s">
        <v>54</v>
      </c>
      <c r="Q1192" t="s">
        <v>73</v>
      </c>
      <c r="R1192" t="s">
        <v>48</v>
      </c>
      <c r="S1192">
        <v>10748</v>
      </c>
      <c r="T1192" t="str" cm="1">
        <f t="array" ref="T1192">_xlfn.IFS(S1192&gt;=10000,"High (&gt;10k)",S1192&gt;=5000,"Medium (5k-10k)",S1192&lt;5000,"Low (&lt;5k)")</f>
        <v>High (&gt;10k)</v>
      </c>
      <c r="U1192">
        <v>3395</v>
      </c>
      <c r="V1192">
        <v>3</v>
      </c>
      <c r="W1192" t="s">
        <v>43</v>
      </c>
      <c r="X1192">
        <v>23</v>
      </c>
      <c r="Y1192">
        <v>4</v>
      </c>
      <c r="Z1192">
        <v>4</v>
      </c>
      <c r="AA1192">
        <v>1</v>
      </c>
      <c r="AB1192">
        <v>25</v>
      </c>
      <c r="AC1192">
        <v>3</v>
      </c>
      <c r="AD1192" t="s">
        <v>81</v>
      </c>
      <c r="AE1192">
        <v>23</v>
      </c>
      <c r="AF1192" t="str" cm="1">
        <f t="array" ref="AF1192">_xlfn.IFS(AE1192&gt;=10,"Veteran (10y+)",AE1192&gt;=3,"Established (3-10y)",AE1192&lt;3,"New Hire (&lt;3y)")</f>
        <v>Veteran (10y+)</v>
      </c>
      <c r="AG1192">
        <v>15</v>
      </c>
      <c r="AH1192">
        <v>14</v>
      </c>
      <c r="AI1192">
        <v>4</v>
      </c>
    </row>
    <row r="1193" spans="1:35">
      <c r="A1193">
        <v>45</v>
      </c>
      <c r="B1193" t="str">
        <f t="shared" si="18"/>
        <v>Middle Aged</v>
      </c>
      <c r="C1193">
        <v>0</v>
      </c>
      <c r="D1193" t="s">
        <v>36</v>
      </c>
      <c r="E1193">
        <v>1005</v>
      </c>
      <c r="F1193" t="s">
        <v>45</v>
      </c>
      <c r="G1193">
        <v>28</v>
      </c>
      <c r="H1193" t="str" cm="1">
        <f t="array" ref="H1193">_xlfn.IFS(G1193&gt;15,"Long Commute",G1193&gt;5,"Moderate",G1193&lt;=5,"Near Office")</f>
        <v>Long Commute</v>
      </c>
      <c r="I1193" t="s">
        <v>76</v>
      </c>
      <c r="J1193" t="s">
        <v>60</v>
      </c>
      <c r="K1193">
        <v>4</v>
      </c>
      <c r="L1193" t="s">
        <v>39</v>
      </c>
      <c r="M1193">
        <v>48</v>
      </c>
      <c r="N1193">
        <v>2</v>
      </c>
      <c r="O1193">
        <v>4</v>
      </c>
      <c r="P1193" t="s">
        <v>58</v>
      </c>
      <c r="Q1193" t="s">
        <v>75</v>
      </c>
      <c r="R1193" t="s">
        <v>41</v>
      </c>
      <c r="S1193">
        <v>16704</v>
      </c>
      <c r="T1193" t="str" cm="1">
        <f t="array" ref="T1193">_xlfn.IFS(S1193&gt;=10000,"High (&gt;10k)",S1193&gt;=5000,"Medium (5k-10k)",S1193&lt;5000,"Low (&lt;5k)")</f>
        <v>High (&gt;10k)</v>
      </c>
      <c r="U1193">
        <v>17119</v>
      </c>
      <c r="V1193">
        <v>1</v>
      </c>
      <c r="W1193" t="s">
        <v>43</v>
      </c>
      <c r="X1193">
        <v>11</v>
      </c>
      <c r="Y1193">
        <v>3</v>
      </c>
      <c r="Z1193">
        <v>3</v>
      </c>
      <c r="AA1193">
        <v>0</v>
      </c>
      <c r="AB1193">
        <v>21</v>
      </c>
      <c r="AC1193">
        <v>2</v>
      </c>
      <c r="AD1193" t="s">
        <v>74</v>
      </c>
      <c r="AE1193">
        <v>21</v>
      </c>
      <c r="AF1193" t="str" cm="1">
        <f t="array" ref="AF1193">_xlfn.IFS(AE1193&gt;=10,"Veteran (10y+)",AE1193&gt;=3,"Established (3-10y)",AE1193&lt;3,"New Hire (&lt;3y)")</f>
        <v>Veteran (10y+)</v>
      </c>
      <c r="AG1193">
        <v>6</v>
      </c>
      <c r="AH1193">
        <v>8</v>
      </c>
      <c r="AI1193">
        <v>6</v>
      </c>
    </row>
    <row r="1194" spans="1:35">
      <c r="A1194">
        <v>45</v>
      </c>
      <c r="B1194" t="str">
        <f t="shared" si="18"/>
        <v>Middle Aged</v>
      </c>
      <c r="C1194">
        <v>0</v>
      </c>
      <c r="D1194" t="s">
        <v>36</v>
      </c>
      <c r="E1194">
        <v>176</v>
      </c>
      <c r="F1194" t="s">
        <v>61</v>
      </c>
      <c r="G1194">
        <v>4</v>
      </c>
      <c r="H1194" t="str" cm="1">
        <f t="array" ref="H1194">_xlfn.IFS(G1194&gt;15,"Long Commute",G1194&gt;5,"Moderate",G1194&lt;=5,"Near Office")</f>
        <v>Near Office</v>
      </c>
      <c r="I1194" t="s">
        <v>72</v>
      </c>
      <c r="J1194" t="s">
        <v>38</v>
      </c>
      <c r="K1194">
        <v>3</v>
      </c>
      <c r="L1194" t="s">
        <v>39</v>
      </c>
      <c r="M1194">
        <v>56</v>
      </c>
      <c r="N1194">
        <v>1</v>
      </c>
      <c r="O1194">
        <v>3</v>
      </c>
      <c r="P1194" t="s">
        <v>61</v>
      </c>
      <c r="Q1194" t="s">
        <v>73</v>
      </c>
      <c r="R1194" t="s">
        <v>48</v>
      </c>
      <c r="S1194">
        <v>9756</v>
      </c>
      <c r="T1194" t="str" cm="1">
        <f t="array" ref="T1194">_xlfn.IFS(S1194&gt;=10000,"High (&gt;10k)",S1194&gt;=5000,"Medium (5k-10k)",S1194&lt;5000,"Low (&lt;5k)")</f>
        <v>Medium (5k-10k)</v>
      </c>
      <c r="U1194">
        <v>6595</v>
      </c>
      <c r="V1194">
        <v>4</v>
      </c>
      <c r="W1194" t="s">
        <v>43</v>
      </c>
      <c r="X1194">
        <v>21</v>
      </c>
      <c r="Y1194">
        <v>4</v>
      </c>
      <c r="Z1194">
        <v>3</v>
      </c>
      <c r="AA1194">
        <v>2</v>
      </c>
      <c r="AB1194">
        <v>9</v>
      </c>
      <c r="AC1194">
        <v>2</v>
      </c>
      <c r="AD1194" t="s">
        <v>79</v>
      </c>
      <c r="AE1194">
        <v>5</v>
      </c>
      <c r="AF1194" t="str" cm="1">
        <f t="array" ref="AF1194">_xlfn.IFS(AE1194&gt;=10,"Veteran (10y+)",AE1194&gt;=3,"Established (3-10y)",AE1194&lt;3,"New Hire (&lt;3y)")</f>
        <v>Established (3-10y)</v>
      </c>
      <c r="AG1194">
        <v>0</v>
      </c>
      <c r="AH1194">
        <v>0</v>
      </c>
      <c r="AI1194">
        <v>3</v>
      </c>
    </row>
    <row r="1195" spans="1:35">
      <c r="A1195">
        <v>45</v>
      </c>
      <c r="B1195" t="str">
        <f t="shared" si="18"/>
        <v>Middle Aged</v>
      </c>
      <c r="C1195">
        <v>0</v>
      </c>
      <c r="D1195" t="s">
        <v>55</v>
      </c>
      <c r="E1195">
        <v>589</v>
      </c>
      <c r="F1195" t="s">
        <v>37</v>
      </c>
      <c r="G1195">
        <v>2</v>
      </c>
      <c r="H1195" t="str" cm="1">
        <f t="array" ref="H1195">_xlfn.IFS(G1195&gt;15,"Long Commute",G1195&gt;5,"Moderate",G1195&lt;=5,"Near Office")</f>
        <v>Near Office</v>
      </c>
      <c r="I1195" t="s">
        <v>83</v>
      </c>
      <c r="J1195" t="s">
        <v>38</v>
      </c>
      <c r="K1195">
        <v>3</v>
      </c>
      <c r="L1195" t="s">
        <v>39</v>
      </c>
      <c r="M1195">
        <v>67</v>
      </c>
      <c r="N1195">
        <v>3</v>
      </c>
      <c r="O1195">
        <v>2</v>
      </c>
      <c r="P1195" t="s">
        <v>40</v>
      </c>
      <c r="Q1195" t="s">
        <v>73</v>
      </c>
      <c r="R1195" t="s">
        <v>48</v>
      </c>
      <c r="S1195">
        <v>5154</v>
      </c>
      <c r="T1195" t="str" cm="1">
        <f t="array" ref="T1195">_xlfn.IFS(S1195&gt;=10000,"High (&gt;10k)",S1195&gt;=5000,"Medium (5k-10k)",S1195&lt;5000,"Low (&lt;5k)")</f>
        <v>Medium (5k-10k)</v>
      </c>
      <c r="U1195">
        <v>19665</v>
      </c>
      <c r="V1195">
        <v>4</v>
      </c>
      <c r="W1195" t="s">
        <v>43</v>
      </c>
      <c r="X1195">
        <v>22</v>
      </c>
      <c r="Y1195">
        <v>4</v>
      </c>
      <c r="Z1195">
        <v>2</v>
      </c>
      <c r="AA1195">
        <v>2</v>
      </c>
      <c r="AB1195">
        <v>10</v>
      </c>
      <c r="AC1195">
        <v>3</v>
      </c>
      <c r="AD1195" t="s">
        <v>79</v>
      </c>
      <c r="AE1195">
        <v>8</v>
      </c>
      <c r="AF1195" t="str" cm="1">
        <f t="array" ref="AF1195">_xlfn.IFS(AE1195&gt;=10,"Veteran (10y+)",AE1195&gt;=3,"Established (3-10y)",AE1195&lt;3,"New Hire (&lt;3y)")</f>
        <v>Established (3-10y)</v>
      </c>
      <c r="AG1195">
        <v>7</v>
      </c>
      <c r="AH1195">
        <v>5</v>
      </c>
      <c r="AI1195">
        <v>7</v>
      </c>
    </row>
    <row r="1196" spans="1:35">
      <c r="A1196">
        <v>45</v>
      </c>
      <c r="B1196" t="str">
        <f t="shared" si="18"/>
        <v>Middle Aged</v>
      </c>
      <c r="C1196">
        <v>0</v>
      </c>
      <c r="D1196" t="s">
        <v>36</v>
      </c>
      <c r="E1196">
        <v>556</v>
      </c>
      <c r="F1196" t="s">
        <v>45</v>
      </c>
      <c r="G1196">
        <v>25</v>
      </c>
      <c r="H1196" t="str" cm="1">
        <f t="array" ref="H1196">_xlfn.IFS(G1196&gt;15,"Long Commute",G1196&gt;5,"Moderate",G1196&lt;=5,"Near Office")</f>
        <v>Long Commute</v>
      </c>
      <c r="I1196" t="s">
        <v>76</v>
      </c>
      <c r="J1196" t="s">
        <v>38</v>
      </c>
      <c r="K1196">
        <v>2</v>
      </c>
      <c r="L1196" t="s">
        <v>39</v>
      </c>
      <c r="M1196">
        <v>93</v>
      </c>
      <c r="N1196">
        <v>2</v>
      </c>
      <c r="O1196">
        <v>2</v>
      </c>
      <c r="P1196" t="s">
        <v>53</v>
      </c>
      <c r="Q1196" t="s">
        <v>77</v>
      </c>
      <c r="R1196" t="s">
        <v>48</v>
      </c>
      <c r="S1196">
        <v>5906</v>
      </c>
      <c r="T1196" t="str" cm="1">
        <f t="array" ref="T1196">_xlfn.IFS(S1196&gt;=10000,"High (&gt;10k)",S1196&gt;=5000,"Medium (5k-10k)",S1196&lt;5000,"Low (&lt;5k)")</f>
        <v>Medium (5k-10k)</v>
      </c>
      <c r="U1196">
        <v>23888</v>
      </c>
      <c r="V1196">
        <v>0</v>
      </c>
      <c r="W1196" t="s">
        <v>43</v>
      </c>
      <c r="X1196">
        <v>13</v>
      </c>
      <c r="Y1196">
        <v>3</v>
      </c>
      <c r="Z1196">
        <v>4</v>
      </c>
      <c r="AA1196">
        <v>2</v>
      </c>
      <c r="AB1196">
        <v>10</v>
      </c>
      <c r="AC1196">
        <v>2</v>
      </c>
      <c r="AD1196" t="s">
        <v>81</v>
      </c>
      <c r="AE1196">
        <v>9</v>
      </c>
      <c r="AF1196" t="str" cm="1">
        <f t="array" ref="AF1196">_xlfn.IFS(AE1196&gt;=10,"Veteran (10y+)",AE1196&gt;=3,"Established (3-10y)",AE1196&lt;3,"New Hire (&lt;3y)")</f>
        <v>Established (3-10y)</v>
      </c>
      <c r="AG1196">
        <v>8</v>
      </c>
      <c r="AH1196">
        <v>3</v>
      </c>
      <c r="AI1196">
        <v>8</v>
      </c>
    </row>
    <row r="1197" spans="1:35">
      <c r="A1197">
        <v>45</v>
      </c>
      <c r="B1197" t="str">
        <f t="shared" si="18"/>
        <v>Middle Aged</v>
      </c>
      <c r="C1197">
        <v>0</v>
      </c>
      <c r="D1197" t="s">
        <v>44</v>
      </c>
      <c r="E1197">
        <v>1297</v>
      </c>
      <c r="F1197" t="s">
        <v>45</v>
      </c>
      <c r="G1197">
        <v>1</v>
      </c>
      <c r="H1197" t="str" cm="1">
        <f t="array" ref="H1197">_xlfn.IFS(G1197&gt;15,"Long Commute",G1197&gt;5,"Moderate",G1197&lt;=5,"Near Office")</f>
        <v>Near Office</v>
      </c>
      <c r="I1197" t="s">
        <v>83</v>
      </c>
      <c r="J1197" t="s">
        <v>51</v>
      </c>
      <c r="K1197">
        <v>2</v>
      </c>
      <c r="L1197" t="s">
        <v>46</v>
      </c>
      <c r="M1197">
        <v>44</v>
      </c>
      <c r="N1197">
        <v>3</v>
      </c>
      <c r="O1197">
        <v>2</v>
      </c>
      <c r="P1197" t="s">
        <v>54</v>
      </c>
      <c r="Q1197" t="s">
        <v>73</v>
      </c>
      <c r="R1197" t="s">
        <v>41</v>
      </c>
      <c r="S1197">
        <v>5399</v>
      </c>
      <c r="T1197" t="str" cm="1">
        <f t="array" ref="T1197">_xlfn.IFS(S1197&gt;=10000,"High (&gt;10k)",S1197&gt;=5000,"Medium (5k-10k)",S1197&lt;5000,"Low (&lt;5k)")</f>
        <v>Medium (5k-10k)</v>
      </c>
      <c r="U1197">
        <v>14511</v>
      </c>
      <c r="V1197">
        <v>4</v>
      </c>
      <c r="W1197" t="s">
        <v>43</v>
      </c>
      <c r="X1197">
        <v>12</v>
      </c>
      <c r="Y1197">
        <v>3</v>
      </c>
      <c r="Z1197">
        <v>3</v>
      </c>
      <c r="AA1197">
        <v>0</v>
      </c>
      <c r="AB1197">
        <v>12</v>
      </c>
      <c r="AC1197">
        <v>3</v>
      </c>
      <c r="AD1197" t="s">
        <v>74</v>
      </c>
      <c r="AE1197">
        <v>4</v>
      </c>
      <c r="AF1197" t="str" cm="1">
        <f t="array" ref="AF1197">_xlfn.IFS(AE1197&gt;=10,"Veteran (10y+)",AE1197&gt;=3,"Established (3-10y)",AE1197&lt;3,"New Hire (&lt;3y)")</f>
        <v>Established (3-10y)</v>
      </c>
      <c r="AG1197">
        <v>2</v>
      </c>
      <c r="AH1197">
        <v>0</v>
      </c>
      <c r="AI1197">
        <v>3</v>
      </c>
    </row>
    <row r="1198" spans="1:35">
      <c r="A1198">
        <v>45</v>
      </c>
      <c r="B1198" t="str">
        <f t="shared" si="18"/>
        <v>Middle Aged</v>
      </c>
      <c r="C1198">
        <v>0</v>
      </c>
      <c r="D1198" t="s">
        <v>36</v>
      </c>
      <c r="E1198">
        <v>374</v>
      </c>
      <c r="F1198" t="s">
        <v>37</v>
      </c>
      <c r="G1198">
        <v>20</v>
      </c>
      <c r="H1198" t="str" cm="1">
        <f t="array" ref="H1198">_xlfn.IFS(G1198&gt;15,"Long Commute",G1198&gt;5,"Moderate",G1198&lt;=5,"Near Office")</f>
        <v>Long Commute</v>
      </c>
      <c r="I1198" t="s">
        <v>72</v>
      </c>
      <c r="J1198" t="s">
        <v>38</v>
      </c>
      <c r="K1198">
        <v>4</v>
      </c>
      <c r="L1198" t="s">
        <v>39</v>
      </c>
      <c r="M1198">
        <v>50</v>
      </c>
      <c r="N1198">
        <v>3</v>
      </c>
      <c r="O1198">
        <v>2</v>
      </c>
      <c r="P1198" t="s">
        <v>40</v>
      </c>
      <c r="Q1198" t="s">
        <v>73</v>
      </c>
      <c r="R1198" t="s">
        <v>41</v>
      </c>
      <c r="S1198">
        <v>4850</v>
      </c>
      <c r="T1198" t="str" cm="1">
        <f t="array" ref="T1198">_xlfn.IFS(S1198&gt;=10000,"High (&gt;10k)",S1198&gt;=5000,"Medium (5k-10k)",S1198&lt;5000,"Low (&lt;5k)")</f>
        <v>Low (&lt;5k)</v>
      </c>
      <c r="U1198">
        <v>23333</v>
      </c>
      <c r="V1198">
        <v>8</v>
      </c>
      <c r="W1198" t="s">
        <v>43</v>
      </c>
      <c r="X1198">
        <v>15</v>
      </c>
      <c r="Y1198">
        <v>3</v>
      </c>
      <c r="Z1198">
        <v>3</v>
      </c>
      <c r="AA1198">
        <v>0</v>
      </c>
      <c r="AB1198">
        <v>8</v>
      </c>
      <c r="AC1198">
        <v>3</v>
      </c>
      <c r="AD1198" t="s">
        <v>74</v>
      </c>
      <c r="AE1198">
        <v>5</v>
      </c>
      <c r="AF1198" t="str" cm="1">
        <f t="array" ref="AF1198">_xlfn.IFS(AE1198&gt;=10,"Veteran (10y+)",AE1198&gt;=3,"Established (3-10y)",AE1198&lt;3,"New Hire (&lt;3y)")</f>
        <v>Established (3-10y)</v>
      </c>
      <c r="AG1198">
        <v>3</v>
      </c>
      <c r="AH1198">
        <v>0</v>
      </c>
      <c r="AI1198">
        <v>1</v>
      </c>
    </row>
    <row r="1199" spans="1:35">
      <c r="A1199">
        <v>46</v>
      </c>
      <c r="B1199" t="str">
        <f t="shared" si="18"/>
        <v>Senior</v>
      </c>
      <c r="C1199">
        <v>0</v>
      </c>
      <c r="D1199" t="s">
        <v>36</v>
      </c>
      <c r="E1199">
        <v>705</v>
      </c>
      <c r="F1199" t="s">
        <v>37</v>
      </c>
      <c r="G1199">
        <v>2</v>
      </c>
      <c r="H1199" t="str" cm="1">
        <f t="array" ref="H1199">_xlfn.IFS(G1199&gt;15,"Long Commute",G1199&gt;5,"Moderate",G1199&lt;=5,"Near Office")</f>
        <v>Near Office</v>
      </c>
      <c r="I1199" t="s">
        <v>83</v>
      </c>
      <c r="J1199" t="s">
        <v>59</v>
      </c>
      <c r="K1199">
        <v>2</v>
      </c>
      <c r="L1199" t="s">
        <v>39</v>
      </c>
      <c r="M1199">
        <v>83</v>
      </c>
      <c r="N1199">
        <v>3</v>
      </c>
      <c r="O1199">
        <v>5</v>
      </c>
      <c r="P1199" t="s">
        <v>56</v>
      </c>
      <c r="Q1199" t="s">
        <v>82</v>
      </c>
      <c r="R1199" t="s">
        <v>41</v>
      </c>
      <c r="S1199">
        <v>18947</v>
      </c>
      <c r="T1199" t="str" cm="1">
        <f t="array" ref="T1199">_xlfn.IFS(S1199&gt;=10000,"High (&gt;10k)",S1199&gt;=5000,"Medium (5k-10k)",S1199&lt;5000,"Low (&lt;5k)")</f>
        <v>High (&gt;10k)</v>
      </c>
      <c r="U1199">
        <v>22822</v>
      </c>
      <c r="V1199">
        <v>3</v>
      </c>
      <c r="W1199" t="s">
        <v>43</v>
      </c>
      <c r="X1199">
        <v>12</v>
      </c>
      <c r="Y1199">
        <v>3</v>
      </c>
      <c r="Z1199">
        <v>4</v>
      </c>
      <c r="AA1199">
        <v>0</v>
      </c>
      <c r="AB1199">
        <v>22</v>
      </c>
      <c r="AC1199">
        <v>2</v>
      </c>
      <c r="AD1199" t="s">
        <v>81</v>
      </c>
      <c r="AE1199">
        <v>2</v>
      </c>
      <c r="AF1199" t="str" cm="1">
        <f t="array" ref="AF1199">_xlfn.IFS(AE1199&gt;=10,"Veteran (10y+)",AE1199&gt;=3,"Established (3-10y)",AE1199&lt;3,"New Hire (&lt;3y)")</f>
        <v>New Hire (&lt;3y)</v>
      </c>
      <c r="AG1199">
        <v>2</v>
      </c>
      <c r="AH1199">
        <v>2</v>
      </c>
      <c r="AI1199">
        <v>1</v>
      </c>
    </row>
    <row r="1200" spans="1:35">
      <c r="A1200">
        <v>46</v>
      </c>
      <c r="B1200" t="str">
        <f t="shared" si="18"/>
        <v>Senior</v>
      </c>
      <c r="C1200">
        <v>0</v>
      </c>
      <c r="D1200" t="s">
        <v>44</v>
      </c>
      <c r="E1200">
        <v>1211</v>
      </c>
      <c r="F1200" t="s">
        <v>37</v>
      </c>
      <c r="G1200">
        <v>5</v>
      </c>
      <c r="H1200" t="str" cm="1">
        <f t="array" ref="H1200">_xlfn.IFS(G1200&gt;15,"Long Commute",G1200&gt;5,"Moderate",G1200&lt;=5,"Near Office")</f>
        <v>Near Office</v>
      </c>
      <c r="I1200" t="s">
        <v>83</v>
      </c>
      <c r="J1200" t="s">
        <v>59</v>
      </c>
      <c r="K1200">
        <v>1</v>
      </c>
      <c r="L1200" t="s">
        <v>46</v>
      </c>
      <c r="M1200">
        <v>98</v>
      </c>
      <c r="N1200">
        <v>3</v>
      </c>
      <c r="O1200">
        <v>2</v>
      </c>
      <c r="P1200" t="s">
        <v>40</v>
      </c>
      <c r="Q1200" t="s">
        <v>77</v>
      </c>
      <c r="R1200" t="s">
        <v>41</v>
      </c>
      <c r="S1200">
        <v>5772</v>
      </c>
      <c r="T1200" t="str" cm="1">
        <f t="array" ref="T1200">_xlfn.IFS(S1200&gt;=10000,"High (&gt;10k)",S1200&gt;=5000,"Medium (5k-10k)",S1200&lt;5000,"Low (&lt;5k)")</f>
        <v>Medium (5k-10k)</v>
      </c>
      <c r="U1200">
        <v>20445</v>
      </c>
      <c r="V1200">
        <v>4</v>
      </c>
      <c r="W1200" t="s">
        <v>35</v>
      </c>
      <c r="X1200">
        <v>21</v>
      </c>
      <c r="Y1200">
        <v>4</v>
      </c>
      <c r="Z1200">
        <v>3</v>
      </c>
      <c r="AA1200">
        <v>0</v>
      </c>
      <c r="AB1200">
        <v>14</v>
      </c>
      <c r="AC1200">
        <v>4</v>
      </c>
      <c r="AD1200" t="s">
        <v>74</v>
      </c>
      <c r="AE1200">
        <v>9</v>
      </c>
      <c r="AF1200" t="str" cm="1">
        <f t="array" ref="AF1200">_xlfn.IFS(AE1200&gt;=10,"Veteran (10y+)",AE1200&gt;=3,"Established (3-10y)",AE1200&lt;3,"New Hire (&lt;3y)")</f>
        <v>Established (3-10y)</v>
      </c>
      <c r="AG1200">
        <v>6</v>
      </c>
      <c r="AH1200">
        <v>0</v>
      </c>
      <c r="AI1200">
        <v>8</v>
      </c>
    </row>
    <row r="1201" spans="1:35">
      <c r="A1201">
        <v>46</v>
      </c>
      <c r="B1201" t="str">
        <f t="shared" si="18"/>
        <v>Senior</v>
      </c>
      <c r="C1201">
        <v>0</v>
      </c>
      <c r="D1201" t="s">
        <v>36</v>
      </c>
      <c r="E1201">
        <v>945</v>
      </c>
      <c r="F1201" t="s">
        <v>61</v>
      </c>
      <c r="G1201">
        <v>5</v>
      </c>
      <c r="H1201" t="str" cm="1">
        <f t="array" ref="H1201">_xlfn.IFS(G1201&gt;15,"Long Commute",G1201&gt;5,"Moderate",G1201&lt;=5,"Near Office")</f>
        <v>Near Office</v>
      </c>
      <c r="I1201" t="s">
        <v>76</v>
      </c>
      <c r="J1201" t="s">
        <v>51</v>
      </c>
      <c r="K1201">
        <v>2</v>
      </c>
      <c r="L1201" t="s">
        <v>46</v>
      </c>
      <c r="M1201">
        <v>80</v>
      </c>
      <c r="N1201">
        <v>3</v>
      </c>
      <c r="O1201">
        <v>2</v>
      </c>
      <c r="P1201" t="s">
        <v>61</v>
      </c>
      <c r="Q1201" t="s">
        <v>75</v>
      </c>
      <c r="R1201" t="s">
        <v>52</v>
      </c>
      <c r="S1201">
        <v>5021</v>
      </c>
      <c r="T1201" t="str" cm="1">
        <f t="array" ref="T1201">_xlfn.IFS(S1201&gt;=10000,"High (&gt;10k)",S1201&gt;=5000,"Medium (5k-10k)",S1201&lt;5000,"Low (&lt;5k)")</f>
        <v>Medium (5k-10k)</v>
      </c>
      <c r="U1201">
        <v>10425</v>
      </c>
      <c r="V1201">
        <v>8</v>
      </c>
      <c r="W1201" t="s">
        <v>35</v>
      </c>
      <c r="X1201">
        <v>22</v>
      </c>
      <c r="Y1201">
        <v>4</v>
      </c>
      <c r="Z1201">
        <v>4</v>
      </c>
      <c r="AA1201">
        <v>1</v>
      </c>
      <c r="AB1201">
        <v>16</v>
      </c>
      <c r="AC1201">
        <v>2</v>
      </c>
      <c r="AD1201" t="s">
        <v>74</v>
      </c>
      <c r="AE1201">
        <v>4</v>
      </c>
      <c r="AF1201" t="str" cm="1">
        <f t="array" ref="AF1201">_xlfn.IFS(AE1201&gt;=10,"Veteran (10y+)",AE1201&gt;=3,"Established (3-10y)",AE1201&lt;3,"New Hire (&lt;3y)")</f>
        <v>Established (3-10y)</v>
      </c>
      <c r="AG1201">
        <v>2</v>
      </c>
      <c r="AH1201">
        <v>0</v>
      </c>
      <c r="AI1201">
        <v>2</v>
      </c>
    </row>
    <row r="1202" spans="1:35">
      <c r="A1202">
        <v>46</v>
      </c>
      <c r="B1202" t="str">
        <f t="shared" si="18"/>
        <v>Senior</v>
      </c>
      <c r="C1202">
        <v>1</v>
      </c>
      <c r="D1202" t="s">
        <v>36</v>
      </c>
      <c r="E1202">
        <v>669</v>
      </c>
      <c r="F1202" t="s">
        <v>37</v>
      </c>
      <c r="G1202">
        <v>9</v>
      </c>
      <c r="H1202" t="str" cm="1">
        <f t="array" ref="H1202">_xlfn.IFS(G1202&gt;15,"Long Commute",G1202&gt;5,"Moderate",G1202&lt;=5,"Near Office")</f>
        <v>Moderate</v>
      </c>
      <c r="I1202" t="s">
        <v>76</v>
      </c>
      <c r="J1202" t="s">
        <v>51</v>
      </c>
      <c r="K1202">
        <v>3</v>
      </c>
      <c r="L1202" t="s">
        <v>46</v>
      </c>
      <c r="M1202">
        <v>64</v>
      </c>
      <c r="N1202">
        <v>2</v>
      </c>
      <c r="O1202">
        <v>3</v>
      </c>
      <c r="P1202" t="s">
        <v>40</v>
      </c>
      <c r="Q1202" t="s">
        <v>77</v>
      </c>
      <c r="R1202" t="s">
        <v>41</v>
      </c>
      <c r="S1202">
        <v>9619</v>
      </c>
      <c r="T1202" t="str" cm="1">
        <f t="array" ref="T1202">_xlfn.IFS(S1202&gt;=10000,"High (&gt;10k)",S1202&gt;=5000,"Medium (5k-10k)",S1202&lt;5000,"Low (&lt;5k)")</f>
        <v>Medium (5k-10k)</v>
      </c>
      <c r="U1202">
        <v>13596</v>
      </c>
      <c r="V1202">
        <v>1</v>
      </c>
      <c r="W1202" t="s">
        <v>43</v>
      </c>
      <c r="X1202">
        <v>16</v>
      </c>
      <c r="Y1202">
        <v>3</v>
      </c>
      <c r="Z1202">
        <v>4</v>
      </c>
      <c r="AA1202">
        <v>0</v>
      </c>
      <c r="AB1202">
        <v>9</v>
      </c>
      <c r="AC1202">
        <v>3</v>
      </c>
      <c r="AD1202" t="s">
        <v>74</v>
      </c>
      <c r="AE1202">
        <v>9</v>
      </c>
      <c r="AF1202" t="str" cm="1">
        <f t="array" ref="AF1202">_xlfn.IFS(AE1202&gt;=10,"Veteran (10y+)",AE1202&gt;=3,"Established (3-10y)",AE1202&lt;3,"New Hire (&lt;3y)")</f>
        <v>Established (3-10y)</v>
      </c>
      <c r="AG1202">
        <v>8</v>
      </c>
      <c r="AH1202">
        <v>4</v>
      </c>
      <c r="AI1202">
        <v>7</v>
      </c>
    </row>
    <row r="1203" spans="1:35">
      <c r="A1203">
        <v>46</v>
      </c>
      <c r="B1203" t="str">
        <f t="shared" si="18"/>
        <v>Senior</v>
      </c>
      <c r="C1203">
        <v>0</v>
      </c>
      <c r="D1203" t="s">
        <v>44</v>
      </c>
      <c r="E1203">
        <v>638</v>
      </c>
      <c r="F1203" t="s">
        <v>45</v>
      </c>
      <c r="G1203">
        <v>1</v>
      </c>
      <c r="H1203" t="str" cm="1">
        <f t="array" ref="H1203">_xlfn.IFS(G1203&gt;15,"Long Commute",G1203&gt;5,"Moderate",G1203&lt;=5,"Near Office")</f>
        <v>Near Office</v>
      </c>
      <c r="I1203" t="s">
        <v>72</v>
      </c>
      <c r="J1203" t="s">
        <v>51</v>
      </c>
      <c r="K1203">
        <v>3</v>
      </c>
      <c r="L1203" t="s">
        <v>46</v>
      </c>
      <c r="M1203">
        <v>40</v>
      </c>
      <c r="N1203">
        <v>2</v>
      </c>
      <c r="O1203">
        <v>3</v>
      </c>
      <c r="P1203" t="s">
        <v>54</v>
      </c>
      <c r="Q1203" t="s">
        <v>82</v>
      </c>
      <c r="R1203" t="s">
        <v>48</v>
      </c>
      <c r="S1203">
        <v>10673</v>
      </c>
      <c r="T1203" t="str" cm="1">
        <f t="array" ref="T1203">_xlfn.IFS(S1203&gt;=10000,"High (&gt;10k)",S1203&gt;=5000,"Medium (5k-10k)",S1203&lt;5000,"Low (&lt;5k)")</f>
        <v>High (&gt;10k)</v>
      </c>
      <c r="U1203">
        <v>3142</v>
      </c>
      <c r="V1203">
        <v>2</v>
      </c>
      <c r="W1203" t="s">
        <v>35</v>
      </c>
      <c r="X1203">
        <v>13</v>
      </c>
      <c r="Y1203">
        <v>3</v>
      </c>
      <c r="Z1203">
        <v>3</v>
      </c>
      <c r="AA1203">
        <v>1</v>
      </c>
      <c r="AB1203">
        <v>21</v>
      </c>
      <c r="AC1203">
        <v>5</v>
      </c>
      <c r="AD1203" t="s">
        <v>81</v>
      </c>
      <c r="AE1203">
        <v>10</v>
      </c>
      <c r="AF1203" t="str" cm="1">
        <f t="array" ref="AF1203">_xlfn.IFS(AE1203&gt;=10,"Veteran (10y+)",AE1203&gt;=3,"Established (3-10y)",AE1203&lt;3,"New Hire (&lt;3y)")</f>
        <v>Veteran (10y+)</v>
      </c>
      <c r="AG1203">
        <v>9</v>
      </c>
      <c r="AH1203">
        <v>9</v>
      </c>
      <c r="AI1203">
        <v>5</v>
      </c>
    </row>
    <row r="1204" spans="1:35">
      <c r="A1204">
        <v>46</v>
      </c>
      <c r="B1204" t="str">
        <f t="shared" si="18"/>
        <v>Senior</v>
      </c>
      <c r="C1204">
        <v>0</v>
      </c>
      <c r="D1204" t="s">
        <v>36</v>
      </c>
      <c r="E1204">
        <v>526</v>
      </c>
      <c r="F1204" t="s">
        <v>37</v>
      </c>
      <c r="G1204">
        <v>1</v>
      </c>
      <c r="H1204" t="str" cm="1">
        <f t="array" ref="H1204">_xlfn.IFS(G1204&gt;15,"Long Commute",G1204&gt;5,"Moderate",G1204&lt;=5,"Near Office")</f>
        <v>Near Office</v>
      </c>
      <c r="I1204" t="s">
        <v>76</v>
      </c>
      <c r="J1204" t="s">
        <v>59</v>
      </c>
      <c r="K1204">
        <v>2</v>
      </c>
      <c r="L1204" t="s">
        <v>39</v>
      </c>
      <c r="M1204">
        <v>92</v>
      </c>
      <c r="N1204">
        <v>3</v>
      </c>
      <c r="O1204">
        <v>3</v>
      </c>
      <c r="P1204" t="s">
        <v>40</v>
      </c>
      <c r="Q1204" t="s">
        <v>82</v>
      </c>
      <c r="R1204" t="s">
        <v>52</v>
      </c>
      <c r="S1204">
        <v>10453</v>
      </c>
      <c r="T1204" t="str" cm="1">
        <f t="array" ref="T1204">_xlfn.IFS(S1204&gt;=10000,"High (&gt;10k)",S1204&gt;=5000,"Medium (5k-10k)",S1204&lt;5000,"Low (&lt;5k)")</f>
        <v>High (&gt;10k)</v>
      </c>
      <c r="U1204">
        <v>2137</v>
      </c>
      <c r="V1204">
        <v>1</v>
      </c>
      <c r="W1204" t="s">
        <v>43</v>
      </c>
      <c r="X1204">
        <v>25</v>
      </c>
      <c r="Y1204">
        <v>4</v>
      </c>
      <c r="Z1204">
        <v>3</v>
      </c>
      <c r="AA1204">
        <v>3</v>
      </c>
      <c r="AB1204">
        <v>24</v>
      </c>
      <c r="AC1204">
        <v>2</v>
      </c>
      <c r="AD1204" t="s">
        <v>74</v>
      </c>
      <c r="AE1204">
        <v>24</v>
      </c>
      <c r="AF1204" t="str" cm="1">
        <f t="array" ref="AF1204">_xlfn.IFS(AE1204&gt;=10,"Veteran (10y+)",AE1204&gt;=3,"Established (3-10y)",AE1204&lt;3,"New Hire (&lt;3y)")</f>
        <v>Veteran (10y+)</v>
      </c>
      <c r="AG1204">
        <v>13</v>
      </c>
      <c r="AH1204">
        <v>15</v>
      </c>
      <c r="AI1204">
        <v>7</v>
      </c>
    </row>
    <row r="1205" spans="1:35">
      <c r="A1205">
        <v>46</v>
      </c>
      <c r="B1205" t="str">
        <f t="shared" si="18"/>
        <v>Senior</v>
      </c>
      <c r="C1205">
        <v>0</v>
      </c>
      <c r="D1205" t="s">
        <v>36</v>
      </c>
      <c r="E1205">
        <v>644</v>
      </c>
      <c r="F1205" t="s">
        <v>45</v>
      </c>
      <c r="G1205">
        <v>1</v>
      </c>
      <c r="H1205" t="str" cm="1">
        <f t="array" ref="H1205">_xlfn.IFS(G1205&gt;15,"Long Commute",G1205&gt;5,"Moderate",G1205&lt;=5,"Near Office")</f>
        <v>Near Office</v>
      </c>
      <c r="I1205" t="s">
        <v>83</v>
      </c>
      <c r="J1205" t="s">
        <v>51</v>
      </c>
      <c r="K1205">
        <v>4</v>
      </c>
      <c r="L1205" t="s">
        <v>46</v>
      </c>
      <c r="M1205">
        <v>97</v>
      </c>
      <c r="N1205">
        <v>3</v>
      </c>
      <c r="O1205">
        <v>3</v>
      </c>
      <c r="P1205" t="s">
        <v>54</v>
      </c>
      <c r="Q1205" t="s">
        <v>82</v>
      </c>
      <c r="R1205" t="s">
        <v>52</v>
      </c>
      <c r="S1205">
        <v>9396</v>
      </c>
      <c r="T1205" t="str" cm="1">
        <f t="array" ref="T1205">_xlfn.IFS(S1205&gt;=10000,"High (&gt;10k)",S1205&gt;=5000,"Medium (5k-10k)",S1205&lt;5000,"Low (&lt;5k)")</f>
        <v>Medium (5k-10k)</v>
      </c>
      <c r="U1205">
        <v>12368</v>
      </c>
      <c r="V1205">
        <v>7</v>
      </c>
      <c r="W1205" t="s">
        <v>43</v>
      </c>
      <c r="X1205">
        <v>16</v>
      </c>
      <c r="Y1205">
        <v>3</v>
      </c>
      <c r="Z1205">
        <v>3</v>
      </c>
      <c r="AA1205">
        <v>1</v>
      </c>
      <c r="AB1205">
        <v>17</v>
      </c>
      <c r="AC1205">
        <v>3</v>
      </c>
      <c r="AD1205" t="s">
        <v>74</v>
      </c>
      <c r="AE1205">
        <v>4</v>
      </c>
      <c r="AF1205" t="str" cm="1">
        <f t="array" ref="AF1205">_xlfn.IFS(AE1205&gt;=10,"Veteran (10y+)",AE1205&gt;=3,"Established (3-10y)",AE1205&lt;3,"New Hire (&lt;3y)")</f>
        <v>Established (3-10y)</v>
      </c>
      <c r="AG1205">
        <v>2</v>
      </c>
      <c r="AH1205">
        <v>0</v>
      </c>
      <c r="AI1205">
        <v>3</v>
      </c>
    </row>
    <row r="1206" spans="1:35">
      <c r="A1206">
        <v>46</v>
      </c>
      <c r="B1206" t="str">
        <f t="shared" si="18"/>
        <v>Senior</v>
      </c>
      <c r="C1206">
        <v>0</v>
      </c>
      <c r="D1206" t="s">
        <v>36</v>
      </c>
      <c r="E1206">
        <v>488</v>
      </c>
      <c r="F1206" t="s">
        <v>37</v>
      </c>
      <c r="G1206">
        <v>2</v>
      </c>
      <c r="H1206" t="str" cm="1">
        <f t="array" ref="H1206">_xlfn.IFS(G1206&gt;15,"Long Commute",G1206&gt;5,"Moderate",G1206&lt;=5,"Near Office")</f>
        <v>Near Office</v>
      </c>
      <c r="I1206" t="s">
        <v>72</v>
      </c>
      <c r="J1206" t="s">
        <v>60</v>
      </c>
      <c r="K1206">
        <v>3</v>
      </c>
      <c r="L1206" t="s">
        <v>39</v>
      </c>
      <c r="M1206">
        <v>75</v>
      </c>
      <c r="N1206">
        <v>1</v>
      </c>
      <c r="O1206">
        <v>4</v>
      </c>
      <c r="P1206" t="s">
        <v>56</v>
      </c>
      <c r="Q1206" t="s">
        <v>75</v>
      </c>
      <c r="R1206" t="s">
        <v>48</v>
      </c>
      <c r="S1206">
        <v>16872</v>
      </c>
      <c r="T1206" t="str" cm="1">
        <f t="array" ref="T1206">_xlfn.IFS(S1206&gt;=10000,"High (&gt;10k)",S1206&gt;=5000,"Medium (5k-10k)",S1206&lt;5000,"Low (&lt;5k)")</f>
        <v>High (&gt;10k)</v>
      </c>
      <c r="U1206">
        <v>14977</v>
      </c>
      <c r="V1206">
        <v>3</v>
      </c>
      <c r="W1206" t="s">
        <v>35</v>
      </c>
      <c r="X1206">
        <v>12</v>
      </c>
      <c r="Y1206">
        <v>3</v>
      </c>
      <c r="Z1206">
        <v>2</v>
      </c>
      <c r="AA1206">
        <v>1</v>
      </c>
      <c r="AB1206">
        <v>28</v>
      </c>
      <c r="AC1206">
        <v>2</v>
      </c>
      <c r="AD1206" t="s">
        <v>81</v>
      </c>
      <c r="AE1206">
        <v>7</v>
      </c>
      <c r="AF1206" t="str" cm="1">
        <f t="array" ref="AF1206">_xlfn.IFS(AE1206&gt;=10,"Veteran (10y+)",AE1206&gt;=3,"Established (3-10y)",AE1206&lt;3,"New Hire (&lt;3y)")</f>
        <v>Established (3-10y)</v>
      </c>
      <c r="AG1206">
        <v>7</v>
      </c>
      <c r="AH1206">
        <v>7</v>
      </c>
      <c r="AI1206">
        <v>7</v>
      </c>
    </row>
    <row r="1207" spans="1:35">
      <c r="A1207">
        <v>46</v>
      </c>
      <c r="B1207" t="str">
        <f t="shared" si="18"/>
        <v>Senior</v>
      </c>
      <c r="C1207">
        <v>0</v>
      </c>
      <c r="D1207" t="s">
        <v>55</v>
      </c>
      <c r="E1207">
        <v>1144</v>
      </c>
      <c r="F1207" t="s">
        <v>45</v>
      </c>
      <c r="G1207">
        <v>7</v>
      </c>
      <c r="H1207" t="str" cm="1">
        <f t="array" ref="H1207">_xlfn.IFS(G1207&gt;15,"Long Commute",G1207&gt;5,"Moderate",G1207&lt;=5,"Near Office")</f>
        <v>Moderate</v>
      </c>
      <c r="I1207" t="s">
        <v>83</v>
      </c>
      <c r="J1207" t="s">
        <v>51</v>
      </c>
      <c r="K1207">
        <v>3</v>
      </c>
      <c r="L1207" t="s">
        <v>39</v>
      </c>
      <c r="M1207">
        <v>30</v>
      </c>
      <c r="N1207">
        <v>3</v>
      </c>
      <c r="O1207">
        <v>2</v>
      </c>
      <c r="P1207" t="s">
        <v>53</v>
      </c>
      <c r="Q1207" t="s">
        <v>73</v>
      </c>
      <c r="R1207" t="s">
        <v>48</v>
      </c>
      <c r="S1207">
        <v>5258</v>
      </c>
      <c r="T1207" t="str" cm="1">
        <f t="array" ref="T1207">_xlfn.IFS(S1207&gt;=10000,"High (&gt;10k)",S1207&gt;=5000,"Medium (5k-10k)",S1207&lt;5000,"Low (&lt;5k)")</f>
        <v>Medium (5k-10k)</v>
      </c>
      <c r="U1207">
        <v>16044</v>
      </c>
      <c r="V1207">
        <v>2</v>
      </c>
      <c r="W1207" t="s">
        <v>43</v>
      </c>
      <c r="X1207">
        <v>14</v>
      </c>
      <c r="Y1207">
        <v>3</v>
      </c>
      <c r="Z1207">
        <v>3</v>
      </c>
      <c r="AA1207">
        <v>0</v>
      </c>
      <c r="AB1207">
        <v>7</v>
      </c>
      <c r="AC1207">
        <v>2</v>
      </c>
      <c r="AD1207" t="s">
        <v>79</v>
      </c>
      <c r="AE1207">
        <v>1</v>
      </c>
      <c r="AF1207" t="str" cm="1">
        <f t="array" ref="AF1207">_xlfn.IFS(AE1207&gt;=10,"Veteran (10y+)",AE1207&gt;=3,"Established (3-10y)",AE1207&lt;3,"New Hire (&lt;3y)")</f>
        <v>New Hire (&lt;3y)</v>
      </c>
      <c r="AG1207">
        <v>0</v>
      </c>
      <c r="AH1207">
        <v>0</v>
      </c>
      <c r="AI1207">
        <v>0</v>
      </c>
    </row>
    <row r="1208" spans="1:35">
      <c r="A1208">
        <v>46</v>
      </c>
      <c r="B1208" t="str">
        <f t="shared" si="18"/>
        <v>Senior</v>
      </c>
      <c r="C1208">
        <v>0</v>
      </c>
      <c r="D1208" t="s">
        <v>36</v>
      </c>
      <c r="E1208">
        <v>1485</v>
      </c>
      <c r="F1208" t="s">
        <v>45</v>
      </c>
      <c r="G1208">
        <v>18</v>
      </c>
      <c r="H1208" t="str" cm="1">
        <f t="array" ref="H1208">_xlfn.IFS(G1208&gt;15,"Long Commute",G1208&gt;5,"Moderate",G1208&lt;=5,"Near Office")</f>
        <v>Long Commute</v>
      </c>
      <c r="I1208" t="s">
        <v>72</v>
      </c>
      <c r="J1208" t="s">
        <v>51</v>
      </c>
      <c r="K1208">
        <v>3</v>
      </c>
      <c r="L1208" t="s">
        <v>39</v>
      </c>
      <c r="M1208">
        <v>87</v>
      </c>
      <c r="N1208">
        <v>3</v>
      </c>
      <c r="O1208">
        <v>2</v>
      </c>
      <c r="P1208" t="s">
        <v>53</v>
      </c>
      <c r="Q1208" t="s">
        <v>73</v>
      </c>
      <c r="R1208" t="s">
        <v>52</v>
      </c>
      <c r="S1208">
        <v>4810</v>
      </c>
      <c r="T1208" t="str" cm="1">
        <f t="array" ref="T1208">_xlfn.IFS(S1208&gt;=10000,"High (&gt;10k)",S1208&gt;=5000,"Medium (5k-10k)",S1208&lt;5000,"Low (&lt;5k)")</f>
        <v>Low (&lt;5k)</v>
      </c>
      <c r="U1208">
        <v>26314</v>
      </c>
      <c r="V1208">
        <v>2</v>
      </c>
      <c r="W1208" t="s">
        <v>43</v>
      </c>
      <c r="X1208">
        <v>14</v>
      </c>
      <c r="Y1208">
        <v>3</v>
      </c>
      <c r="Z1208">
        <v>3</v>
      </c>
      <c r="AA1208">
        <v>1</v>
      </c>
      <c r="AB1208">
        <v>19</v>
      </c>
      <c r="AC1208">
        <v>5</v>
      </c>
      <c r="AD1208" t="s">
        <v>81</v>
      </c>
      <c r="AE1208">
        <v>10</v>
      </c>
      <c r="AF1208" t="str" cm="1">
        <f t="array" ref="AF1208">_xlfn.IFS(AE1208&gt;=10,"Veteran (10y+)",AE1208&gt;=3,"Established (3-10y)",AE1208&lt;3,"New Hire (&lt;3y)")</f>
        <v>Veteran (10y+)</v>
      </c>
      <c r="AG1208">
        <v>7</v>
      </c>
      <c r="AH1208">
        <v>0</v>
      </c>
      <c r="AI1208">
        <v>8</v>
      </c>
    </row>
    <row r="1209" spans="1:35">
      <c r="A1209">
        <v>46</v>
      </c>
      <c r="B1209" t="str">
        <f t="shared" si="18"/>
        <v>Senior</v>
      </c>
      <c r="C1209">
        <v>0</v>
      </c>
      <c r="D1209" t="s">
        <v>36</v>
      </c>
      <c r="E1209">
        <v>1009</v>
      </c>
      <c r="F1209" t="s">
        <v>45</v>
      </c>
      <c r="G1209">
        <v>2</v>
      </c>
      <c r="H1209" t="str" cm="1">
        <f t="array" ref="H1209">_xlfn.IFS(G1209&gt;15,"Long Commute",G1209&gt;5,"Moderate",G1209&lt;=5,"Near Office")</f>
        <v>Near Office</v>
      </c>
      <c r="I1209" t="s">
        <v>72</v>
      </c>
      <c r="J1209" t="s">
        <v>38</v>
      </c>
      <c r="K1209">
        <v>1</v>
      </c>
      <c r="L1209" t="s">
        <v>46</v>
      </c>
      <c r="M1209">
        <v>51</v>
      </c>
      <c r="N1209">
        <v>3</v>
      </c>
      <c r="O1209">
        <v>4</v>
      </c>
      <c r="P1209" t="s">
        <v>58</v>
      </c>
      <c r="Q1209" t="s">
        <v>73</v>
      </c>
      <c r="R1209" t="s">
        <v>48</v>
      </c>
      <c r="S1209">
        <v>17861</v>
      </c>
      <c r="T1209" t="str" cm="1">
        <f t="array" ref="T1209">_xlfn.IFS(S1209&gt;=10000,"High (&gt;10k)",S1209&gt;=5000,"Medium (5k-10k)",S1209&lt;5000,"Low (&lt;5k)")</f>
        <v>High (&gt;10k)</v>
      </c>
      <c r="U1209">
        <v>2288</v>
      </c>
      <c r="V1209">
        <v>6</v>
      </c>
      <c r="W1209" t="s">
        <v>43</v>
      </c>
      <c r="X1209">
        <v>13</v>
      </c>
      <c r="Y1209">
        <v>3</v>
      </c>
      <c r="Z1209">
        <v>3</v>
      </c>
      <c r="AA1209">
        <v>0</v>
      </c>
      <c r="AB1209">
        <v>26</v>
      </c>
      <c r="AC1209">
        <v>2</v>
      </c>
      <c r="AD1209" t="s">
        <v>80</v>
      </c>
      <c r="AE1209">
        <v>3</v>
      </c>
      <c r="AF1209" t="str" cm="1">
        <f t="array" ref="AF1209">_xlfn.IFS(AE1209&gt;=10,"Veteran (10y+)",AE1209&gt;=3,"Established (3-10y)",AE1209&lt;3,"New Hire (&lt;3y)")</f>
        <v>Established (3-10y)</v>
      </c>
      <c r="AG1209">
        <v>2</v>
      </c>
      <c r="AH1209">
        <v>0</v>
      </c>
      <c r="AI1209">
        <v>1</v>
      </c>
    </row>
    <row r="1210" spans="1:35">
      <c r="A1210">
        <v>46</v>
      </c>
      <c r="B1210" t="str">
        <f t="shared" si="18"/>
        <v>Senior</v>
      </c>
      <c r="C1210">
        <v>0</v>
      </c>
      <c r="D1210" t="s">
        <v>36</v>
      </c>
      <c r="E1210">
        <v>1125</v>
      </c>
      <c r="F1210" t="s">
        <v>37</v>
      </c>
      <c r="G1210">
        <v>10</v>
      </c>
      <c r="H1210" t="str" cm="1">
        <f t="array" ref="H1210">_xlfn.IFS(G1210&gt;15,"Long Commute",G1210&gt;5,"Moderate",G1210&lt;=5,"Near Office")</f>
        <v>Moderate</v>
      </c>
      <c r="I1210" t="s">
        <v>72</v>
      </c>
      <c r="J1210" t="s">
        <v>59</v>
      </c>
      <c r="K1210">
        <v>3</v>
      </c>
      <c r="L1210" t="s">
        <v>39</v>
      </c>
      <c r="M1210">
        <v>94</v>
      </c>
      <c r="N1210">
        <v>2</v>
      </c>
      <c r="O1210">
        <v>3</v>
      </c>
      <c r="P1210" t="s">
        <v>40</v>
      </c>
      <c r="Q1210" t="s">
        <v>77</v>
      </c>
      <c r="R1210" t="s">
        <v>48</v>
      </c>
      <c r="S1210">
        <v>9071</v>
      </c>
      <c r="T1210" t="str" cm="1">
        <f t="array" ref="T1210">_xlfn.IFS(S1210&gt;=10000,"High (&gt;10k)",S1210&gt;=5000,"Medium (5k-10k)",S1210&lt;5000,"Low (&lt;5k)")</f>
        <v>Medium (5k-10k)</v>
      </c>
      <c r="U1210">
        <v>11563</v>
      </c>
      <c r="V1210">
        <v>2</v>
      </c>
      <c r="W1210" t="s">
        <v>35</v>
      </c>
      <c r="X1210">
        <v>19</v>
      </c>
      <c r="Y1210">
        <v>3</v>
      </c>
      <c r="Z1210">
        <v>3</v>
      </c>
      <c r="AA1210">
        <v>1</v>
      </c>
      <c r="AB1210">
        <v>15</v>
      </c>
      <c r="AC1210">
        <v>3</v>
      </c>
      <c r="AD1210" t="s">
        <v>74</v>
      </c>
      <c r="AE1210">
        <v>3</v>
      </c>
      <c r="AF1210" t="str" cm="1">
        <f t="array" ref="AF1210">_xlfn.IFS(AE1210&gt;=10,"Veteran (10y+)",AE1210&gt;=3,"Established (3-10y)",AE1210&lt;3,"New Hire (&lt;3y)")</f>
        <v>Established (3-10y)</v>
      </c>
      <c r="AG1210">
        <v>2</v>
      </c>
      <c r="AH1210">
        <v>1</v>
      </c>
      <c r="AI1210">
        <v>2</v>
      </c>
    </row>
    <row r="1211" spans="1:35">
      <c r="A1211">
        <v>46</v>
      </c>
      <c r="B1211" t="str">
        <f t="shared" si="18"/>
        <v>Senior</v>
      </c>
      <c r="C1211">
        <v>0</v>
      </c>
      <c r="D1211" t="s">
        <v>44</v>
      </c>
      <c r="E1211">
        <v>1034</v>
      </c>
      <c r="F1211" t="s">
        <v>45</v>
      </c>
      <c r="G1211">
        <v>18</v>
      </c>
      <c r="H1211" t="str" cm="1">
        <f t="array" ref="H1211">_xlfn.IFS(G1211&gt;15,"Long Commute",G1211&gt;5,"Moderate",G1211&lt;=5,"Near Office")</f>
        <v>Long Commute</v>
      </c>
      <c r="I1211" t="s">
        <v>78</v>
      </c>
      <c r="J1211" t="s">
        <v>51</v>
      </c>
      <c r="K1211">
        <v>1</v>
      </c>
      <c r="L1211" t="s">
        <v>39</v>
      </c>
      <c r="M1211">
        <v>86</v>
      </c>
      <c r="N1211">
        <v>3</v>
      </c>
      <c r="O1211">
        <v>3</v>
      </c>
      <c r="P1211" t="s">
        <v>54</v>
      </c>
      <c r="Q1211" t="s">
        <v>73</v>
      </c>
      <c r="R1211" t="s">
        <v>48</v>
      </c>
      <c r="S1211">
        <v>10527</v>
      </c>
      <c r="T1211" t="str" cm="1">
        <f t="array" ref="T1211">_xlfn.IFS(S1211&gt;=10000,"High (&gt;10k)",S1211&gt;=5000,"Medium (5k-10k)",S1211&lt;5000,"Low (&lt;5k)")</f>
        <v>High (&gt;10k)</v>
      </c>
      <c r="U1211">
        <v>8984</v>
      </c>
      <c r="V1211">
        <v>5</v>
      </c>
      <c r="W1211" t="s">
        <v>43</v>
      </c>
      <c r="X1211">
        <v>11</v>
      </c>
      <c r="Y1211">
        <v>3</v>
      </c>
      <c r="Z1211">
        <v>4</v>
      </c>
      <c r="AA1211">
        <v>0</v>
      </c>
      <c r="AB1211">
        <v>28</v>
      </c>
      <c r="AC1211">
        <v>3</v>
      </c>
      <c r="AD1211" t="s">
        <v>81</v>
      </c>
      <c r="AE1211">
        <v>2</v>
      </c>
      <c r="AF1211" t="str" cm="1">
        <f t="array" ref="AF1211">_xlfn.IFS(AE1211&gt;=10,"Veteran (10y+)",AE1211&gt;=3,"Established (3-10y)",AE1211&lt;3,"New Hire (&lt;3y)")</f>
        <v>New Hire (&lt;3y)</v>
      </c>
      <c r="AG1211">
        <v>2</v>
      </c>
      <c r="AH1211">
        <v>1</v>
      </c>
      <c r="AI1211">
        <v>2</v>
      </c>
    </row>
    <row r="1212" spans="1:35">
      <c r="A1212">
        <v>46</v>
      </c>
      <c r="B1212" t="str">
        <f t="shared" si="18"/>
        <v>Senior</v>
      </c>
      <c r="C1212">
        <v>0</v>
      </c>
      <c r="D1212" t="s">
        <v>36</v>
      </c>
      <c r="E1212">
        <v>566</v>
      </c>
      <c r="F1212" t="s">
        <v>45</v>
      </c>
      <c r="G1212">
        <v>7</v>
      </c>
      <c r="H1212" t="str" cm="1">
        <f t="array" ref="H1212">_xlfn.IFS(G1212&gt;15,"Long Commute",G1212&gt;5,"Moderate",G1212&lt;=5,"Near Office")</f>
        <v>Moderate</v>
      </c>
      <c r="I1212" t="s">
        <v>76</v>
      </c>
      <c r="J1212" t="s">
        <v>51</v>
      </c>
      <c r="K1212">
        <v>4</v>
      </c>
      <c r="L1212" t="s">
        <v>46</v>
      </c>
      <c r="M1212">
        <v>75</v>
      </c>
      <c r="N1212">
        <v>3</v>
      </c>
      <c r="O1212">
        <v>3</v>
      </c>
      <c r="P1212" t="s">
        <v>53</v>
      </c>
      <c r="Q1212" t="s">
        <v>73</v>
      </c>
      <c r="R1212" t="s">
        <v>52</v>
      </c>
      <c r="S1212">
        <v>10845</v>
      </c>
      <c r="T1212" t="str" cm="1">
        <f t="array" ref="T1212">_xlfn.IFS(S1212&gt;=10000,"High (&gt;10k)",S1212&gt;=5000,"Medium (5k-10k)",S1212&lt;5000,"Low (&lt;5k)")</f>
        <v>High (&gt;10k)</v>
      </c>
      <c r="U1212">
        <v>24208</v>
      </c>
      <c r="V1212">
        <v>6</v>
      </c>
      <c r="W1212" t="s">
        <v>43</v>
      </c>
      <c r="X1212">
        <v>13</v>
      </c>
      <c r="Y1212">
        <v>3</v>
      </c>
      <c r="Z1212">
        <v>2</v>
      </c>
      <c r="AA1212">
        <v>1</v>
      </c>
      <c r="AB1212">
        <v>13</v>
      </c>
      <c r="AC1212">
        <v>3</v>
      </c>
      <c r="AD1212" t="s">
        <v>74</v>
      </c>
      <c r="AE1212">
        <v>8</v>
      </c>
      <c r="AF1212" t="str" cm="1">
        <f t="array" ref="AF1212">_xlfn.IFS(AE1212&gt;=10,"Veteran (10y+)",AE1212&gt;=3,"Established (3-10y)",AE1212&lt;3,"New Hire (&lt;3y)")</f>
        <v>Established (3-10y)</v>
      </c>
      <c r="AG1212">
        <v>7</v>
      </c>
      <c r="AH1212">
        <v>0</v>
      </c>
      <c r="AI1212">
        <v>7</v>
      </c>
    </row>
    <row r="1213" spans="1:35">
      <c r="A1213">
        <v>46</v>
      </c>
      <c r="B1213" t="str">
        <f t="shared" si="18"/>
        <v>Senior</v>
      </c>
      <c r="C1213">
        <v>0</v>
      </c>
      <c r="D1213" t="s">
        <v>36</v>
      </c>
      <c r="E1213">
        <v>430</v>
      </c>
      <c r="F1213" t="s">
        <v>45</v>
      </c>
      <c r="G1213">
        <v>1</v>
      </c>
      <c r="H1213" t="str" cm="1">
        <f t="array" ref="H1213">_xlfn.IFS(G1213&gt;15,"Long Commute",G1213&gt;5,"Moderate",G1213&lt;=5,"Near Office")</f>
        <v>Near Office</v>
      </c>
      <c r="I1213" t="s">
        <v>83</v>
      </c>
      <c r="J1213" t="s">
        <v>51</v>
      </c>
      <c r="K1213">
        <v>4</v>
      </c>
      <c r="L1213" t="s">
        <v>46</v>
      </c>
      <c r="M1213">
        <v>40</v>
      </c>
      <c r="N1213">
        <v>3</v>
      </c>
      <c r="O1213">
        <v>5</v>
      </c>
      <c r="P1213" t="s">
        <v>58</v>
      </c>
      <c r="Q1213" t="s">
        <v>77</v>
      </c>
      <c r="R1213" t="s">
        <v>52</v>
      </c>
      <c r="S1213">
        <v>19627</v>
      </c>
      <c r="T1213" t="str" cm="1">
        <f t="array" ref="T1213">_xlfn.IFS(S1213&gt;=10000,"High (&gt;10k)",S1213&gt;=5000,"Medium (5k-10k)",S1213&lt;5000,"Low (&lt;5k)")</f>
        <v>High (&gt;10k)</v>
      </c>
      <c r="U1213">
        <v>21445</v>
      </c>
      <c r="V1213">
        <v>9</v>
      </c>
      <c r="W1213" t="s">
        <v>43</v>
      </c>
      <c r="X1213">
        <v>17</v>
      </c>
      <c r="Y1213">
        <v>3</v>
      </c>
      <c r="Z1213">
        <v>4</v>
      </c>
      <c r="AA1213">
        <v>2</v>
      </c>
      <c r="AB1213">
        <v>23</v>
      </c>
      <c r="AC1213">
        <v>0</v>
      </c>
      <c r="AD1213" t="s">
        <v>74</v>
      </c>
      <c r="AE1213">
        <v>2</v>
      </c>
      <c r="AF1213" t="str" cm="1">
        <f t="array" ref="AF1213">_xlfn.IFS(AE1213&gt;=10,"Veteran (10y+)",AE1213&gt;=3,"Established (3-10y)",AE1213&lt;3,"New Hire (&lt;3y)")</f>
        <v>New Hire (&lt;3y)</v>
      </c>
      <c r="AG1213">
        <v>2</v>
      </c>
      <c r="AH1213">
        <v>2</v>
      </c>
      <c r="AI1213">
        <v>2</v>
      </c>
    </row>
    <row r="1214" spans="1:35">
      <c r="A1214">
        <v>46</v>
      </c>
      <c r="B1214" t="str">
        <f t="shared" si="18"/>
        <v>Senior</v>
      </c>
      <c r="C1214">
        <v>0</v>
      </c>
      <c r="D1214" t="s">
        <v>36</v>
      </c>
      <c r="E1214">
        <v>1003</v>
      </c>
      <c r="F1214" t="s">
        <v>45</v>
      </c>
      <c r="G1214">
        <v>8</v>
      </c>
      <c r="H1214" t="str" cm="1">
        <f t="array" ref="H1214">_xlfn.IFS(G1214&gt;15,"Long Commute",G1214&gt;5,"Moderate",G1214&lt;=5,"Near Office")</f>
        <v>Moderate</v>
      </c>
      <c r="I1214" t="s">
        <v>83</v>
      </c>
      <c r="J1214" t="s">
        <v>38</v>
      </c>
      <c r="K1214">
        <v>4</v>
      </c>
      <c r="L1214" t="s">
        <v>39</v>
      </c>
      <c r="M1214">
        <v>74</v>
      </c>
      <c r="N1214">
        <v>2</v>
      </c>
      <c r="O1214">
        <v>2</v>
      </c>
      <c r="P1214" t="s">
        <v>47</v>
      </c>
      <c r="Q1214" t="s">
        <v>82</v>
      </c>
      <c r="R1214" t="s">
        <v>52</v>
      </c>
      <c r="S1214">
        <v>4615</v>
      </c>
      <c r="T1214" t="str" cm="1">
        <f t="array" ref="T1214">_xlfn.IFS(S1214&gt;=10000,"High (&gt;10k)",S1214&gt;=5000,"Medium (5k-10k)",S1214&lt;5000,"Low (&lt;5k)")</f>
        <v>Low (&lt;5k)</v>
      </c>
      <c r="U1214">
        <v>21029</v>
      </c>
      <c r="V1214">
        <v>8</v>
      </c>
      <c r="W1214" t="s">
        <v>35</v>
      </c>
      <c r="X1214">
        <v>23</v>
      </c>
      <c r="Y1214">
        <v>4</v>
      </c>
      <c r="Z1214">
        <v>1</v>
      </c>
      <c r="AA1214">
        <v>3</v>
      </c>
      <c r="AB1214">
        <v>19</v>
      </c>
      <c r="AC1214">
        <v>2</v>
      </c>
      <c r="AD1214" t="s">
        <v>74</v>
      </c>
      <c r="AE1214">
        <v>16</v>
      </c>
      <c r="AF1214" t="str" cm="1">
        <f t="array" ref="AF1214">_xlfn.IFS(AE1214&gt;=10,"Veteran (10y+)",AE1214&gt;=3,"Established (3-10y)",AE1214&lt;3,"New Hire (&lt;3y)")</f>
        <v>Veteran (10y+)</v>
      </c>
      <c r="AG1214">
        <v>13</v>
      </c>
      <c r="AH1214">
        <v>1</v>
      </c>
      <c r="AI1214">
        <v>7</v>
      </c>
    </row>
    <row r="1215" spans="1:35">
      <c r="A1215">
        <v>46</v>
      </c>
      <c r="B1215" t="str">
        <f t="shared" si="18"/>
        <v>Senior</v>
      </c>
      <c r="C1215">
        <v>0</v>
      </c>
      <c r="D1215" t="s">
        <v>36</v>
      </c>
      <c r="E1215">
        <v>406</v>
      </c>
      <c r="F1215" t="s">
        <v>37</v>
      </c>
      <c r="G1215">
        <v>3</v>
      </c>
      <c r="H1215" t="str" cm="1">
        <f t="array" ref="H1215">_xlfn.IFS(G1215&gt;15,"Long Commute",G1215&gt;5,"Moderate",G1215&lt;=5,"Near Office")</f>
        <v>Near Office</v>
      </c>
      <c r="I1215" t="s">
        <v>78</v>
      </c>
      <c r="J1215" t="s">
        <v>59</v>
      </c>
      <c r="K1215">
        <v>1</v>
      </c>
      <c r="L1215" t="s">
        <v>46</v>
      </c>
      <c r="M1215">
        <v>52</v>
      </c>
      <c r="N1215">
        <v>3</v>
      </c>
      <c r="O1215">
        <v>4</v>
      </c>
      <c r="P1215" t="s">
        <v>56</v>
      </c>
      <c r="Q1215" t="s">
        <v>73</v>
      </c>
      <c r="R1215" t="s">
        <v>48</v>
      </c>
      <c r="S1215">
        <v>17465</v>
      </c>
      <c r="T1215" t="str" cm="1">
        <f t="array" ref="T1215">_xlfn.IFS(S1215&gt;=10000,"High (&gt;10k)",S1215&gt;=5000,"Medium (5k-10k)",S1215&lt;5000,"Low (&lt;5k)")</f>
        <v>High (&gt;10k)</v>
      </c>
      <c r="U1215">
        <v>15596</v>
      </c>
      <c r="V1215">
        <v>3</v>
      </c>
      <c r="W1215" t="s">
        <v>43</v>
      </c>
      <c r="X1215">
        <v>12</v>
      </c>
      <c r="Y1215">
        <v>3</v>
      </c>
      <c r="Z1215">
        <v>4</v>
      </c>
      <c r="AA1215">
        <v>1</v>
      </c>
      <c r="AB1215">
        <v>23</v>
      </c>
      <c r="AC1215">
        <v>3</v>
      </c>
      <c r="AD1215" t="s">
        <v>74</v>
      </c>
      <c r="AE1215">
        <v>12</v>
      </c>
      <c r="AF1215" t="str" cm="1">
        <f t="array" ref="AF1215">_xlfn.IFS(AE1215&gt;=10,"Veteran (10y+)",AE1215&gt;=3,"Established (3-10y)",AE1215&lt;3,"New Hire (&lt;3y)")</f>
        <v>Veteran (10y+)</v>
      </c>
      <c r="AG1215">
        <v>9</v>
      </c>
      <c r="AH1215">
        <v>4</v>
      </c>
      <c r="AI1215">
        <v>9</v>
      </c>
    </row>
    <row r="1216" spans="1:35">
      <c r="A1216">
        <v>46</v>
      </c>
      <c r="B1216" t="str">
        <f t="shared" si="18"/>
        <v>Senior</v>
      </c>
      <c r="C1216">
        <v>0</v>
      </c>
      <c r="D1216" t="s">
        <v>36</v>
      </c>
      <c r="E1216">
        <v>1402</v>
      </c>
      <c r="F1216" t="s">
        <v>37</v>
      </c>
      <c r="G1216">
        <v>2</v>
      </c>
      <c r="H1216" t="str" cm="1">
        <f t="array" ref="H1216">_xlfn.IFS(G1216&gt;15,"Long Commute",G1216&gt;5,"Moderate",G1216&lt;=5,"Near Office")</f>
        <v>Near Office</v>
      </c>
      <c r="I1216" t="s">
        <v>72</v>
      </c>
      <c r="J1216" t="s">
        <v>59</v>
      </c>
      <c r="K1216">
        <v>3</v>
      </c>
      <c r="L1216" t="s">
        <v>39</v>
      </c>
      <c r="M1216">
        <v>69</v>
      </c>
      <c r="N1216">
        <v>3</v>
      </c>
      <c r="O1216">
        <v>4</v>
      </c>
      <c r="P1216" t="s">
        <v>56</v>
      </c>
      <c r="Q1216" t="s">
        <v>82</v>
      </c>
      <c r="R1216" t="s">
        <v>48</v>
      </c>
      <c r="S1216">
        <v>17048</v>
      </c>
      <c r="T1216" t="str" cm="1">
        <f t="array" ref="T1216">_xlfn.IFS(S1216&gt;=10000,"High (&gt;10k)",S1216&gt;=5000,"Medium (5k-10k)",S1216&lt;5000,"Low (&lt;5k)")</f>
        <v>High (&gt;10k)</v>
      </c>
      <c r="U1216">
        <v>24097</v>
      </c>
      <c r="V1216">
        <v>8</v>
      </c>
      <c r="W1216" t="s">
        <v>43</v>
      </c>
      <c r="X1216">
        <v>23</v>
      </c>
      <c r="Y1216">
        <v>4</v>
      </c>
      <c r="Z1216">
        <v>1</v>
      </c>
      <c r="AA1216">
        <v>0</v>
      </c>
      <c r="AB1216">
        <v>28</v>
      </c>
      <c r="AC1216">
        <v>2</v>
      </c>
      <c r="AD1216" t="s">
        <v>74</v>
      </c>
      <c r="AE1216">
        <v>26</v>
      </c>
      <c r="AF1216" t="str" cm="1">
        <f t="array" ref="AF1216">_xlfn.IFS(AE1216&gt;=10,"Veteran (10y+)",AE1216&gt;=3,"Established (3-10y)",AE1216&lt;3,"New Hire (&lt;3y)")</f>
        <v>Veteran (10y+)</v>
      </c>
      <c r="AG1216">
        <v>15</v>
      </c>
      <c r="AH1216">
        <v>15</v>
      </c>
      <c r="AI1216">
        <v>9</v>
      </c>
    </row>
    <row r="1217" spans="1:35">
      <c r="A1217">
        <v>46</v>
      </c>
      <c r="B1217" t="str">
        <f t="shared" si="18"/>
        <v>Senior</v>
      </c>
      <c r="C1217">
        <v>0</v>
      </c>
      <c r="D1217" t="s">
        <v>36</v>
      </c>
      <c r="E1217">
        <v>1450</v>
      </c>
      <c r="F1217" t="s">
        <v>45</v>
      </c>
      <c r="G1217">
        <v>15</v>
      </c>
      <c r="H1217" t="str" cm="1">
        <f t="array" ref="H1217">_xlfn.IFS(G1217&gt;15,"Long Commute",G1217&gt;5,"Moderate",G1217&lt;=5,"Near Office")</f>
        <v>Moderate</v>
      </c>
      <c r="I1217" t="s">
        <v>76</v>
      </c>
      <c r="J1217" t="s">
        <v>38</v>
      </c>
      <c r="K1217">
        <v>4</v>
      </c>
      <c r="L1217" t="s">
        <v>46</v>
      </c>
      <c r="M1217">
        <v>52</v>
      </c>
      <c r="N1217">
        <v>3</v>
      </c>
      <c r="O1217">
        <v>5</v>
      </c>
      <c r="P1217" t="s">
        <v>58</v>
      </c>
      <c r="Q1217" t="s">
        <v>75</v>
      </c>
      <c r="R1217" t="s">
        <v>48</v>
      </c>
      <c r="S1217">
        <v>19081</v>
      </c>
      <c r="T1217" t="str" cm="1">
        <f t="array" ref="T1217">_xlfn.IFS(S1217&gt;=10000,"High (&gt;10k)",S1217&gt;=5000,"Medium (5k-10k)",S1217&lt;5000,"Low (&lt;5k)")</f>
        <v>High (&gt;10k)</v>
      </c>
      <c r="U1217">
        <v>10849</v>
      </c>
      <c r="V1217">
        <v>5</v>
      </c>
      <c r="W1217" t="s">
        <v>43</v>
      </c>
      <c r="X1217">
        <v>11</v>
      </c>
      <c r="Y1217">
        <v>3</v>
      </c>
      <c r="Z1217">
        <v>1</v>
      </c>
      <c r="AA1217">
        <v>1</v>
      </c>
      <c r="AB1217">
        <v>25</v>
      </c>
      <c r="AC1217">
        <v>2</v>
      </c>
      <c r="AD1217" t="s">
        <v>74</v>
      </c>
      <c r="AE1217">
        <v>4</v>
      </c>
      <c r="AF1217" t="str" cm="1">
        <f t="array" ref="AF1217">_xlfn.IFS(AE1217&gt;=10,"Veteran (10y+)",AE1217&gt;=3,"Established (3-10y)",AE1217&lt;3,"New Hire (&lt;3y)")</f>
        <v>Established (3-10y)</v>
      </c>
      <c r="AG1217">
        <v>2</v>
      </c>
      <c r="AH1217">
        <v>0</v>
      </c>
      <c r="AI1217">
        <v>3</v>
      </c>
    </row>
    <row r="1218" spans="1:35">
      <c r="A1218">
        <v>46</v>
      </c>
      <c r="B1218" t="str">
        <f t="shared" si="18"/>
        <v>Senior</v>
      </c>
      <c r="C1218">
        <v>0</v>
      </c>
      <c r="D1218" t="s">
        <v>36</v>
      </c>
      <c r="E1218">
        <v>150</v>
      </c>
      <c r="F1218" t="s">
        <v>45</v>
      </c>
      <c r="G1218">
        <v>2</v>
      </c>
      <c r="H1218" t="str" cm="1">
        <f t="array" ref="H1218">_xlfn.IFS(G1218&gt;15,"Long Commute",G1218&gt;5,"Moderate",G1218&lt;=5,"Near Office")</f>
        <v>Near Office</v>
      </c>
      <c r="I1218" t="s">
        <v>83</v>
      </c>
      <c r="J1218" t="s">
        <v>60</v>
      </c>
      <c r="K1218">
        <v>4</v>
      </c>
      <c r="L1218" t="s">
        <v>46</v>
      </c>
      <c r="M1218">
        <v>60</v>
      </c>
      <c r="N1218">
        <v>3</v>
      </c>
      <c r="O1218">
        <v>2</v>
      </c>
      <c r="P1218" t="s">
        <v>53</v>
      </c>
      <c r="Q1218" t="s">
        <v>77</v>
      </c>
      <c r="R1218" t="s">
        <v>52</v>
      </c>
      <c r="S1218">
        <v>7379</v>
      </c>
      <c r="T1218" t="str" cm="1">
        <f t="array" ref="T1218">_xlfn.IFS(S1218&gt;=10000,"High (&gt;10k)",S1218&gt;=5000,"Medium (5k-10k)",S1218&lt;5000,"Low (&lt;5k)")</f>
        <v>Medium (5k-10k)</v>
      </c>
      <c r="U1218">
        <v>17433</v>
      </c>
      <c r="V1218">
        <v>2</v>
      </c>
      <c r="W1218" t="s">
        <v>43</v>
      </c>
      <c r="X1218">
        <v>11</v>
      </c>
      <c r="Y1218">
        <v>3</v>
      </c>
      <c r="Z1218">
        <v>3</v>
      </c>
      <c r="AA1218">
        <v>1</v>
      </c>
      <c r="AB1218">
        <v>12</v>
      </c>
      <c r="AC1218">
        <v>3</v>
      </c>
      <c r="AD1218" t="s">
        <v>81</v>
      </c>
      <c r="AE1218">
        <v>6</v>
      </c>
      <c r="AF1218" t="str" cm="1">
        <f t="array" ref="AF1218">_xlfn.IFS(AE1218&gt;=10,"Veteran (10y+)",AE1218&gt;=3,"Established (3-10y)",AE1218&lt;3,"New Hire (&lt;3y)")</f>
        <v>Established (3-10y)</v>
      </c>
      <c r="AG1218">
        <v>3</v>
      </c>
      <c r="AH1218">
        <v>1</v>
      </c>
      <c r="AI1218">
        <v>4</v>
      </c>
    </row>
    <row r="1219" spans="1:35">
      <c r="A1219">
        <v>46</v>
      </c>
      <c r="B1219" t="str">
        <f t="shared" ref="B1219:B1282" si="19">IF(A1219&gt;=46,"Senior",IF(A1219&gt;=30,"Middle Aged","Young Adults"))</f>
        <v>Senior</v>
      </c>
      <c r="C1219">
        <v>0</v>
      </c>
      <c r="D1219" t="s">
        <v>36</v>
      </c>
      <c r="E1219">
        <v>168</v>
      </c>
      <c r="F1219" t="s">
        <v>37</v>
      </c>
      <c r="G1219">
        <v>4</v>
      </c>
      <c r="H1219" t="str" cm="1">
        <f t="array" ref="H1219">_xlfn.IFS(G1219&gt;15,"Long Commute",G1219&gt;5,"Moderate",G1219&lt;=5,"Near Office")</f>
        <v>Near Office</v>
      </c>
      <c r="I1219" t="s">
        <v>76</v>
      </c>
      <c r="J1219" t="s">
        <v>59</v>
      </c>
      <c r="K1219">
        <v>4</v>
      </c>
      <c r="L1219" t="s">
        <v>39</v>
      </c>
      <c r="M1219">
        <v>33</v>
      </c>
      <c r="N1219">
        <v>2</v>
      </c>
      <c r="O1219">
        <v>5</v>
      </c>
      <c r="P1219" t="s">
        <v>56</v>
      </c>
      <c r="Q1219" t="s">
        <v>75</v>
      </c>
      <c r="R1219" t="s">
        <v>48</v>
      </c>
      <c r="S1219">
        <v>18789</v>
      </c>
      <c r="T1219" t="str" cm="1">
        <f t="array" ref="T1219">_xlfn.IFS(S1219&gt;=10000,"High (&gt;10k)",S1219&gt;=5000,"Medium (5k-10k)",S1219&lt;5000,"Low (&lt;5k)")</f>
        <v>High (&gt;10k)</v>
      </c>
      <c r="U1219">
        <v>9946</v>
      </c>
      <c r="V1219">
        <v>2</v>
      </c>
      <c r="W1219" t="s">
        <v>43</v>
      </c>
      <c r="X1219">
        <v>14</v>
      </c>
      <c r="Y1219">
        <v>3</v>
      </c>
      <c r="Z1219">
        <v>3</v>
      </c>
      <c r="AA1219">
        <v>1</v>
      </c>
      <c r="AB1219">
        <v>26</v>
      </c>
      <c r="AC1219">
        <v>2</v>
      </c>
      <c r="AD1219" t="s">
        <v>74</v>
      </c>
      <c r="AE1219">
        <v>11</v>
      </c>
      <c r="AF1219" t="str" cm="1">
        <f t="array" ref="AF1219">_xlfn.IFS(AE1219&gt;=10,"Veteran (10y+)",AE1219&gt;=3,"Established (3-10y)",AE1219&lt;3,"New Hire (&lt;3y)")</f>
        <v>Veteran (10y+)</v>
      </c>
      <c r="AG1219">
        <v>4</v>
      </c>
      <c r="AH1219">
        <v>0</v>
      </c>
      <c r="AI1219">
        <v>8</v>
      </c>
    </row>
    <row r="1220" spans="1:35">
      <c r="A1220">
        <v>46</v>
      </c>
      <c r="B1220" t="str">
        <f t="shared" si="19"/>
        <v>Senior</v>
      </c>
      <c r="C1220">
        <v>0</v>
      </c>
      <c r="D1220" t="s">
        <v>36</v>
      </c>
      <c r="E1220">
        <v>991</v>
      </c>
      <c r="F1220" t="s">
        <v>61</v>
      </c>
      <c r="G1220">
        <v>1</v>
      </c>
      <c r="H1220" t="str" cm="1">
        <f t="array" ref="H1220">_xlfn.IFS(G1220&gt;15,"Long Commute",G1220&gt;5,"Moderate",G1220&lt;=5,"Near Office")</f>
        <v>Near Office</v>
      </c>
      <c r="I1220" t="s">
        <v>76</v>
      </c>
      <c r="J1220" t="s">
        <v>38</v>
      </c>
      <c r="K1220">
        <v>4</v>
      </c>
      <c r="L1220" t="s">
        <v>39</v>
      </c>
      <c r="M1220">
        <v>44</v>
      </c>
      <c r="N1220">
        <v>3</v>
      </c>
      <c r="O1220">
        <v>1</v>
      </c>
      <c r="P1220" t="s">
        <v>61</v>
      </c>
      <c r="Q1220" t="s">
        <v>82</v>
      </c>
      <c r="R1220" t="s">
        <v>41</v>
      </c>
      <c r="S1220">
        <v>3423</v>
      </c>
      <c r="T1220" t="str" cm="1">
        <f t="array" ref="T1220">_xlfn.IFS(S1220&gt;=10000,"High (&gt;10k)",S1220&gt;=5000,"Medium (5k-10k)",S1220&lt;5000,"Low (&lt;5k)")</f>
        <v>Low (&lt;5k)</v>
      </c>
      <c r="U1220">
        <v>22957</v>
      </c>
      <c r="V1220">
        <v>6</v>
      </c>
      <c r="W1220" t="s">
        <v>43</v>
      </c>
      <c r="X1220">
        <v>12</v>
      </c>
      <c r="Y1220">
        <v>3</v>
      </c>
      <c r="Z1220">
        <v>3</v>
      </c>
      <c r="AA1220">
        <v>0</v>
      </c>
      <c r="AB1220">
        <v>10</v>
      </c>
      <c r="AC1220">
        <v>3</v>
      </c>
      <c r="AD1220" t="s">
        <v>79</v>
      </c>
      <c r="AE1220">
        <v>7</v>
      </c>
      <c r="AF1220" t="str" cm="1">
        <f t="array" ref="AF1220">_xlfn.IFS(AE1220&gt;=10,"Veteran (10y+)",AE1220&gt;=3,"Established (3-10y)",AE1220&lt;3,"New Hire (&lt;3y)")</f>
        <v>Established (3-10y)</v>
      </c>
      <c r="AG1220">
        <v>6</v>
      </c>
      <c r="AH1220">
        <v>5</v>
      </c>
      <c r="AI1220">
        <v>7</v>
      </c>
    </row>
    <row r="1221" spans="1:35">
      <c r="A1221">
        <v>46</v>
      </c>
      <c r="B1221" t="str">
        <f t="shared" si="19"/>
        <v>Senior</v>
      </c>
      <c r="C1221">
        <v>1</v>
      </c>
      <c r="D1221" t="s">
        <v>36</v>
      </c>
      <c r="E1221">
        <v>377</v>
      </c>
      <c r="F1221" t="s">
        <v>37</v>
      </c>
      <c r="G1221">
        <v>9</v>
      </c>
      <c r="H1221" t="str" cm="1">
        <f t="array" ref="H1221">_xlfn.IFS(G1221&gt;15,"Long Commute",G1221&gt;5,"Moderate",G1221&lt;=5,"Near Office")</f>
        <v>Moderate</v>
      </c>
      <c r="I1221" t="s">
        <v>72</v>
      </c>
      <c r="J1221" t="s">
        <v>59</v>
      </c>
      <c r="K1221">
        <v>1</v>
      </c>
      <c r="L1221" t="s">
        <v>46</v>
      </c>
      <c r="M1221">
        <v>52</v>
      </c>
      <c r="N1221">
        <v>3</v>
      </c>
      <c r="O1221">
        <v>3</v>
      </c>
      <c r="P1221" t="s">
        <v>40</v>
      </c>
      <c r="Q1221" t="s">
        <v>77</v>
      </c>
      <c r="R1221" t="s">
        <v>52</v>
      </c>
      <c r="S1221">
        <v>10096</v>
      </c>
      <c r="T1221" t="str" cm="1">
        <f t="array" ref="T1221">_xlfn.IFS(S1221&gt;=10000,"High (&gt;10k)",S1221&gt;=5000,"Medium (5k-10k)",S1221&lt;5000,"Low (&lt;5k)")</f>
        <v>High (&gt;10k)</v>
      </c>
      <c r="U1221">
        <v>15986</v>
      </c>
      <c r="V1221">
        <v>4</v>
      </c>
      <c r="W1221" t="s">
        <v>43</v>
      </c>
      <c r="X1221">
        <v>11</v>
      </c>
      <c r="Y1221">
        <v>3</v>
      </c>
      <c r="Z1221">
        <v>1</v>
      </c>
      <c r="AA1221">
        <v>1</v>
      </c>
      <c r="AB1221">
        <v>28</v>
      </c>
      <c r="AC1221">
        <v>1</v>
      </c>
      <c r="AD1221" t="s">
        <v>79</v>
      </c>
      <c r="AE1221">
        <v>7</v>
      </c>
      <c r="AF1221" t="str" cm="1">
        <f t="array" ref="AF1221">_xlfn.IFS(AE1221&gt;=10,"Veteran (10y+)",AE1221&gt;=3,"Established (3-10y)",AE1221&lt;3,"New Hire (&lt;3y)")</f>
        <v>Established (3-10y)</v>
      </c>
      <c r="AG1221">
        <v>7</v>
      </c>
      <c r="AH1221">
        <v>4</v>
      </c>
      <c r="AI1221">
        <v>3</v>
      </c>
    </row>
    <row r="1222" spans="1:35">
      <c r="A1222">
        <v>46</v>
      </c>
      <c r="B1222" t="str">
        <f t="shared" si="19"/>
        <v>Senior</v>
      </c>
      <c r="C1222">
        <v>0</v>
      </c>
      <c r="D1222" t="s">
        <v>36</v>
      </c>
      <c r="E1222">
        <v>228</v>
      </c>
      <c r="F1222" t="s">
        <v>37</v>
      </c>
      <c r="G1222">
        <v>3</v>
      </c>
      <c r="H1222" t="str" cm="1">
        <f t="array" ref="H1222">_xlfn.IFS(G1222&gt;15,"Long Commute",G1222&gt;5,"Moderate",G1222&lt;=5,"Near Office")</f>
        <v>Near Office</v>
      </c>
      <c r="I1222" t="s">
        <v>72</v>
      </c>
      <c r="J1222" t="s">
        <v>38</v>
      </c>
      <c r="K1222">
        <v>3</v>
      </c>
      <c r="L1222" t="s">
        <v>39</v>
      </c>
      <c r="M1222">
        <v>51</v>
      </c>
      <c r="N1222">
        <v>3</v>
      </c>
      <c r="O1222">
        <v>4</v>
      </c>
      <c r="P1222" t="s">
        <v>56</v>
      </c>
      <c r="Q1222" t="s">
        <v>75</v>
      </c>
      <c r="R1222" t="s">
        <v>48</v>
      </c>
      <c r="S1222">
        <v>16606</v>
      </c>
      <c r="T1222" t="str" cm="1">
        <f t="array" ref="T1222">_xlfn.IFS(S1222&gt;=10000,"High (&gt;10k)",S1222&gt;=5000,"Medium (5k-10k)",S1222&lt;5000,"Low (&lt;5k)")</f>
        <v>High (&gt;10k)</v>
      </c>
      <c r="U1222">
        <v>11380</v>
      </c>
      <c r="V1222">
        <v>8</v>
      </c>
      <c r="W1222" t="s">
        <v>43</v>
      </c>
      <c r="X1222">
        <v>12</v>
      </c>
      <c r="Y1222">
        <v>3</v>
      </c>
      <c r="Z1222">
        <v>4</v>
      </c>
      <c r="AA1222">
        <v>1</v>
      </c>
      <c r="AB1222">
        <v>23</v>
      </c>
      <c r="AC1222">
        <v>2</v>
      </c>
      <c r="AD1222" t="s">
        <v>79</v>
      </c>
      <c r="AE1222">
        <v>13</v>
      </c>
      <c r="AF1222" t="str" cm="1">
        <f t="array" ref="AF1222">_xlfn.IFS(AE1222&gt;=10,"Veteran (10y+)",AE1222&gt;=3,"Established (3-10y)",AE1222&lt;3,"New Hire (&lt;3y)")</f>
        <v>Veteran (10y+)</v>
      </c>
      <c r="AG1222">
        <v>12</v>
      </c>
      <c r="AH1222">
        <v>5</v>
      </c>
      <c r="AI1222">
        <v>1</v>
      </c>
    </row>
    <row r="1223" spans="1:35">
      <c r="A1223">
        <v>46</v>
      </c>
      <c r="B1223" t="str">
        <f t="shared" si="19"/>
        <v>Senior</v>
      </c>
      <c r="C1223">
        <v>0</v>
      </c>
      <c r="D1223" t="s">
        <v>36</v>
      </c>
      <c r="E1223">
        <v>563</v>
      </c>
      <c r="F1223" t="s">
        <v>37</v>
      </c>
      <c r="G1223">
        <v>1</v>
      </c>
      <c r="H1223" t="str" cm="1">
        <f t="array" ref="H1223">_xlfn.IFS(G1223&gt;15,"Long Commute",G1223&gt;5,"Moderate",G1223&lt;=5,"Near Office")</f>
        <v>Near Office</v>
      </c>
      <c r="I1223" t="s">
        <v>83</v>
      </c>
      <c r="J1223" t="s">
        <v>38</v>
      </c>
      <c r="K1223">
        <v>4</v>
      </c>
      <c r="L1223" t="s">
        <v>46</v>
      </c>
      <c r="M1223">
        <v>56</v>
      </c>
      <c r="N1223">
        <v>4</v>
      </c>
      <c r="O1223">
        <v>4</v>
      </c>
      <c r="P1223" t="s">
        <v>56</v>
      </c>
      <c r="Q1223" t="s">
        <v>82</v>
      </c>
      <c r="R1223" t="s">
        <v>41</v>
      </c>
      <c r="S1223">
        <v>17567</v>
      </c>
      <c r="T1223" t="str" cm="1">
        <f t="array" ref="T1223">_xlfn.IFS(S1223&gt;=10000,"High (&gt;10k)",S1223&gt;=5000,"Medium (5k-10k)",S1223&lt;5000,"Low (&lt;5k)")</f>
        <v>High (&gt;10k)</v>
      </c>
      <c r="U1223">
        <v>3156</v>
      </c>
      <c r="V1223">
        <v>1</v>
      </c>
      <c r="W1223" t="s">
        <v>43</v>
      </c>
      <c r="X1223">
        <v>15</v>
      </c>
      <c r="Y1223">
        <v>3</v>
      </c>
      <c r="Z1223">
        <v>2</v>
      </c>
      <c r="AA1223">
        <v>0</v>
      </c>
      <c r="AB1223">
        <v>27</v>
      </c>
      <c r="AC1223">
        <v>5</v>
      </c>
      <c r="AD1223" t="s">
        <v>80</v>
      </c>
      <c r="AE1223">
        <v>26</v>
      </c>
      <c r="AF1223" t="str" cm="1">
        <f t="array" ref="AF1223">_xlfn.IFS(AE1223&gt;=10,"Veteran (10y+)",AE1223&gt;=3,"Established (3-10y)",AE1223&lt;3,"New Hire (&lt;3y)")</f>
        <v>Veteran (10y+)</v>
      </c>
      <c r="AG1223">
        <v>0</v>
      </c>
      <c r="AH1223">
        <v>0</v>
      </c>
      <c r="AI1223">
        <v>12</v>
      </c>
    </row>
    <row r="1224" spans="1:35">
      <c r="A1224">
        <v>46</v>
      </c>
      <c r="B1224" t="str">
        <f t="shared" si="19"/>
        <v>Senior</v>
      </c>
      <c r="C1224">
        <v>0</v>
      </c>
      <c r="D1224" t="s">
        <v>36</v>
      </c>
      <c r="E1224">
        <v>717</v>
      </c>
      <c r="F1224" t="s">
        <v>45</v>
      </c>
      <c r="G1224">
        <v>13</v>
      </c>
      <c r="H1224" t="str" cm="1">
        <f t="array" ref="H1224">_xlfn.IFS(G1224&gt;15,"Long Commute",G1224&gt;5,"Moderate",G1224&lt;=5,"Near Office")</f>
        <v>Moderate</v>
      </c>
      <c r="I1224" t="s">
        <v>83</v>
      </c>
      <c r="J1224" t="s">
        <v>38</v>
      </c>
      <c r="K1224">
        <v>3</v>
      </c>
      <c r="L1224" t="s">
        <v>46</v>
      </c>
      <c r="M1224">
        <v>34</v>
      </c>
      <c r="N1224">
        <v>3</v>
      </c>
      <c r="O1224">
        <v>2</v>
      </c>
      <c r="P1224" t="s">
        <v>54</v>
      </c>
      <c r="Q1224" t="s">
        <v>75</v>
      </c>
      <c r="R1224" t="s">
        <v>41</v>
      </c>
      <c r="S1224">
        <v>5562</v>
      </c>
      <c r="T1224" t="str" cm="1">
        <f t="array" ref="T1224">_xlfn.IFS(S1224&gt;=10000,"High (&gt;10k)",S1224&gt;=5000,"Medium (5k-10k)",S1224&lt;5000,"Low (&lt;5k)")</f>
        <v>Medium (5k-10k)</v>
      </c>
      <c r="U1224">
        <v>9697</v>
      </c>
      <c r="V1224">
        <v>6</v>
      </c>
      <c r="W1224" t="s">
        <v>43</v>
      </c>
      <c r="X1224">
        <v>14</v>
      </c>
      <c r="Y1224">
        <v>3</v>
      </c>
      <c r="Z1224">
        <v>4</v>
      </c>
      <c r="AA1224">
        <v>0</v>
      </c>
      <c r="AB1224">
        <v>19</v>
      </c>
      <c r="AC1224">
        <v>3</v>
      </c>
      <c r="AD1224" t="s">
        <v>74</v>
      </c>
      <c r="AE1224">
        <v>10</v>
      </c>
      <c r="AF1224" t="str" cm="1">
        <f t="array" ref="AF1224">_xlfn.IFS(AE1224&gt;=10,"Veteran (10y+)",AE1224&gt;=3,"Established (3-10y)",AE1224&lt;3,"New Hire (&lt;3y)")</f>
        <v>Veteran (10y+)</v>
      </c>
      <c r="AG1224">
        <v>7</v>
      </c>
      <c r="AH1224">
        <v>0</v>
      </c>
      <c r="AI1224">
        <v>9</v>
      </c>
    </row>
    <row r="1225" spans="1:35">
      <c r="A1225">
        <v>46</v>
      </c>
      <c r="B1225" t="str">
        <f t="shared" si="19"/>
        <v>Senior</v>
      </c>
      <c r="C1225">
        <v>0</v>
      </c>
      <c r="D1225" t="s">
        <v>36</v>
      </c>
      <c r="E1225">
        <v>1277</v>
      </c>
      <c r="F1225" t="s">
        <v>37</v>
      </c>
      <c r="G1225">
        <v>2</v>
      </c>
      <c r="H1225" t="str" cm="1">
        <f t="array" ref="H1225">_xlfn.IFS(G1225&gt;15,"Long Commute",G1225&gt;5,"Moderate",G1225&lt;=5,"Near Office")</f>
        <v>Near Office</v>
      </c>
      <c r="I1225" t="s">
        <v>72</v>
      </c>
      <c r="J1225" t="s">
        <v>38</v>
      </c>
      <c r="K1225">
        <v>3</v>
      </c>
      <c r="L1225" t="s">
        <v>46</v>
      </c>
      <c r="M1225">
        <v>74</v>
      </c>
      <c r="N1225">
        <v>3</v>
      </c>
      <c r="O1225">
        <v>3</v>
      </c>
      <c r="P1225" t="s">
        <v>40</v>
      </c>
      <c r="Q1225" t="s">
        <v>77</v>
      </c>
      <c r="R1225" t="s">
        <v>52</v>
      </c>
      <c r="S1225">
        <v>10368</v>
      </c>
      <c r="T1225" t="str" cm="1">
        <f t="array" ref="T1225">_xlfn.IFS(S1225&gt;=10000,"High (&gt;10k)",S1225&gt;=5000,"Medium (5k-10k)",S1225&lt;5000,"Low (&lt;5k)")</f>
        <v>High (&gt;10k)</v>
      </c>
      <c r="U1225">
        <v>5596</v>
      </c>
      <c r="V1225">
        <v>4</v>
      </c>
      <c r="W1225" t="s">
        <v>35</v>
      </c>
      <c r="X1225">
        <v>12</v>
      </c>
      <c r="Y1225">
        <v>3</v>
      </c>
      <c r="Z1225">
        <v>2</v>
      </c>
      <c r="AA1225">
        <v>1</v>
      </c>
      <c r="AB1225">
        <v>13</v>
      </c>
      <c r="AC1225">
        <v>5</v>
      </c>
      <c r="AD1225" t="s">
        <v>81</v>
      </c>
      <c r="AE1225">
        <v>10</v>
      </c>
      <c r="AF1225" t="str" cm="1">
        <f t="array" ref="AF1225">_xlfn.IFS(AE1225&gt;=10,"Veteran (10y+)",AE1225&gt;=3,"Established (3-10y)",AE1225&lt;3,"New Hire (&lt;3y)")</f>
        <v>Veteran (10y+)</v>
      </c>
      <c r="AG1225">
        <v>6</v>
      </c>
      <c r="AH1225">
        <v>0</v>
      </c>
      <c r="AI1225">
        <v>3</v>
      </c>
    </row>
    <row r="1226" spans="1:35">
      <c r="A1226">
        <v>46</v>
      </c>
      <c r="B1226" t="str">
        <f t="shared" si="19"/>
        <v>Senior</v>
      </c>
      <c r="C1226">
        <v>0</v>
      </c>
      <c r="D1226" t="s">
        <v>36</v>
      </c>
      <c r="E1226">
        <v>734</v>
      </c>
      <c r="F1226" t="s">
        <v>45</v>
      </c>
      <c r="G1226">
        <v>2</v>
      </c>
      <c r="H1226" t="str" cm="1">
        <f t="array" ref="H1226">_xlfn.IFS(G1226&gt;15,"Long Commute",G1226&gt;5,"Moderate",G1226&lt;=5,"Near Office")</f>
        <v>Near Office</v>
      </c>
      <c r="I1226" t="s">
        <v>83</v>
      </c>
      <c r="J1226" t="s">
        <v>51</v>
      </c>
      <c r="K1226">
        <v>3</v>
      </c>
      <c r="L1226" t="s">
        <v>46</v>
      </c>
      <c r="M1226">
        <v>46</v>
      </c>
      <c r="N1226">
        <v>3</v>
      </c>
      <c r="O1226">
        <v>5</v>
      </c>
      <c r="P1226" t="s">
        <v>58</v>
      </c>
      <c r="Q1226" t="s">
        <v>77</v>
      </c>
      <c r="R1226" t="s">
        <v>52</v>
      </c>
      <c r="S1226">
        <v>19328</v>
      </c>
      <c r="T1226" t="str" cm="1">
        <f t="array" ref="T1226">_xlfn.IFS(S1226&gt;=10000,"High (&gt;10k)",S1226&gt;=5000,"Medium (5k-10k)",S1226&lt;5000,"Low (&lt;5k)")</f>
        <v>High (&gt;10k)</v>
      </c>
      <c r="U1226">
        <v>14218</v>
      </c>
      <c r="V1226">
        <v>7</v>
      </c>
      <c r="W1226" t="s">
        <v>35</v>
      </c>
      <c r="X1226">
        <v>17</v>
      </c>
      <c r="Y1226">
        <v>3</v>
      </c>
      <c r="Z1226">
        <v>3</v>
      </c>
      <c r="AA1226">
        <v>1</v>
      </c>
      <c r="AB1226">
        <v>24</v>
      </c>
      <c r="AC1226">
        <v>3</v>
      </c>
      <c r="AD1226" t="s">
        <v>74</v>
      </c>
      <c r="AE1226">
        <v>2</v>
      </c>
      <c r="AF1226" t="str" cm="1">
        <f t="array" ref="AF1226">_xlfn.IFS(AE1226&gt;=10,"Veteran (10y+)",AE1226&gt;=3,"Established (3-10y)",AE1226&lt;3,"New Hire (&lt;3y)")</f>
        <v>New Hire (&lt;3y)</v>
      </c>
      <c r="AG1226">
        <v>1</v>
      </c>
      <c r="AH1226">
        <v>2</v>
      </c>
      <c r="AI1226">
        <v>2</v>
      </c>
    </row>
    <row r="1227" spans="1:35">
      <c r="A1227">
        <v>46</v>
      </c>
      <c r="B1227" t="str">
        <f t="shared" si="19"/>
        <v>Senior</v>
      </c>
      <c r="C1227">
        <v>0</v>
      </c>
      <c r="D1227" t="s">
        <v>55</v>
      </c>
      <c r="E1227">
        <v>849</v>
      </c>
      <c r="F1227" t="s">
        <v>37</v>
      </c>
      <c r="G1227">
        <v>26</v>
      </c>
      <c r="H1227" t="str" cm="1">
        <f t="array" ref="H1227">_xlfn.IFS(G1227&gt;15,"Long Commute",G1227&gt;5,"Moderate",G1227&lt;=5,"Near Office")</f>
        <v>Long Commute</v>
      </c>
      <c r="I1227" t="s">
        <v>76</v>
      </c>
      <c r="J1227" t="s">
        <v>38</v>
      </c>
      <c r="K1227">
        <v>2</v>
      </c>
      <c r="L1227" t="s">
        <v>46</v>
      </c>
      <c r="M1227">
        <v>98</v>
      </c>
      <c r="N1227">
        <v>2</v>
      </c>
      <c r="O1227">
        <v>2</v>
      </c>
      <c r="P1227" t="s">
        <v>40</v>
      </c>
      <c r="Q1227" t="s">
        <v>75</v>
      </c>
      <c r="R1227" t="s">
        <v>41</v>
      </c>
      <c r="S1227">
        <v>7991</v>
      </c>
      <c r="T1227" t="str" cm="1">
        <f t="array" ref="T1227">_xlfn.IFS(S1227&gt;=10000,"High (&gt;10k)",S1227&gt;=5000,"Medium (5k-10k)",S1227&lt;5000,"Low (&lt;5k)")</f>
        <v>Medium (5k-10k)</v>
      </c>
      <c r="U1227">
        <v>25166</v>
      </c>
      <c r="V1227">
        <v>8</v>
      </c>
      <c r="W1227" t="s">
        <v>43</v>
      </c>
      <c r="X1227">
        <v>15</v>
      </c>
      <c r="Y1227">
        <v>3</v>
      </c>
      <c r="Z1227">
        <v>3</v>
      </c>
      <c r="AA1227">
        <v>0</v>
      </c>
      <c r="AB1227">
        <v>6</v>
      </c>
      <c r="AC1227">
        <v>3</v>
      </c>
      <c r="AD1227" t="s">
        <v>74</v>
      </c>
      <c r="AE1227">
        <v>2</v>
      </c>
      <c r="AF1227" t="str" cm="1">
        <f t="array" ref="AF1227">_xlfn.IFS(AE1227&gt;=10,"Veteran (10y+)",AE1227&gt;=3,"Established (3-10y)",AE1227&lt;3,"New Hire (&lt;3y)")</f>
        <v>New Hire (&lt;3y)</v>
      </c>
      <c r="AG1227">
        <v>2</v>
      </c>
      <c r="AH1227">
        <v>2</v>
      </c>
      <c r="AI1227">
        <v>2</v>
      </c>
    </row>
    <row r="1228" spans="1:35">
      <c r="A1228">
        <v>46</v>
      </c>
      <c r="B1228" t="str">
        <f t="shared" si="19"/>
        <v>Senior</v>
      </c>
      <c r="C1228">
        <v>1</v>
      </c>
      <c r="D1228" t="s">
        <v>36</v>
      </c>
      <c r="E1228">
        <v>261</v>
      </c>
      <c r="F1228" t="s">
        <v>45</v>
      </c>
      <c r="G1228">
        <v>21</v>
      </c>
      <c r="H1228" t="str" cm="1">
        <f t="array" ref="H1228">_xlfn.IFS(G1228&gt;15,"Long Commute",G1228&gt;5,"Moderate",G1228&lt;=5,"Near Office")</f>
        <v>Long Commute</v>
      </c>
      <c r="I1228" t="s">
        <v>76</v>
      </c>
      <c r="J1228" t="s">
        <v>51</v>
      </c>
      <c r="K1228">
        <v>4</v>
      </c>
      <c r="L1228" t="s">
        <v>39</v>
      </c>
      <c r="M1228">
        <v>66</v>
      </c>
      <c r="N1228">
        <v>3</v>
      </c>
      <c r="O1228">
        <v>2</v>
      </c>
      <c r="P1228" t="s">
        <v>54</v>
      </c>
      <c r="Q1228" t="s">
        <v>75</v>
      </c>
      <c r="R1228" t="s">
        <v>48</v>
      </c>
      <c r="S1228">
        <v>8926</v>
      </c>
      <c r="T1228" t="str" cm="1">
        <f t="array" ref="T1228">_xlfn.IFS(S1228&gt;=10000,"High (&gt;10k)",S1228&gt;=5000,"Medium (5k-10k)",S1228&lt;5000,"Low (&lt;5k)")</f>
        <v>Medium (5k-10k)</v>
      </c>
      <c r="U1228">
        <v>10842</v>
      </c>
      <c r="V1228">
        <v>4</v>
      </c>
      <c r="W1228" t="s">
        <v>43</v>
      </c>
      <c r="X1228">
        <v>22</v>
      </c>
      <c r="Y1228">
        <v>4</v>
      </c>
      <c r="Z1228">
        <v>4</v>
      </c>
      <c r="AA1228">
        <v>1</v>
      </c>
      <c r="AB1228">
        <v>13</v>
      </c>
      <c r="AC1228">
        <v>2</v>
      </c>
      <c r="AD1228" t="s">
        <v>79</v>
      </c>
      <c r="AE1228">
        <v>9</v>
      </c>
      <c r="AF1228" t="str" cm="1">
        <f t="array" ref="AF1228">_xlfn.IFS(AE1228&gt;=10,"Veteran (10y+)",AE1228&gt;=3,"Established (3-10y)",AE1228&lt;3,"New Hire (&lt;3y)")</f>
        <v>Established (3-10y)</v>
      </c>
      <c r="AG1228">
        <v>7</v>
      </c>
      <c r="AH1228">
        <v>3</v>
      </c>
      <c r="AI1228">
        <v>7</v>
      </c>
    </row>
    <row r="1229" spans="1:35">
      <c r="A1229">
        <v>46</v>
      </c>
      <c r="B1229" t="str">
        <f t="shared" si="19"/>
        <v>Senior</v>
      </c>
      <c r="C1229">
        <v>0</v>
      </c>
      <c r="D1229" t="s">
        <v>36</v>
      </c>
      <c r="E1229">
        <v>706</v>
      </c>
      <c r="F1229" t="s">
        <v>45</v>
      </c>
      <c r="G1229">
        <v>2</v>
      </c>
      <c r="H1229" t="str" cm="1">
        <f t="array" ref="H1229">_xlfn.IFS(G1229&gt;15,"Long Commute",G1229&gt;5,"Moderate",G1229&lt;=5,"Near Office")</f>
        <v>Near Office</v>
      </c>
      <c r="I1229" t="s">
        <v>76</v>
      </c>
      <c r="J1229" t="s">
        <v>38</v>
      </c>
      <c r="K1229">
        <v>4</v>
      </c>
      <c r="L1229" t="s">
        <v>46</v>
      </c>
      <c r="M1229">
        <v>82</v>
      </c>
      <c r="N1229">
        <v>3</v>
      </c>
      <c r="O1229">
        <v>3</v>
      </c>
      <c r="P1229" t="s">
        <v>53</v>
      </c>
      <c r="Q1229" t="s">
        <v>77</v>
      </c>
      <c r="R1229" t="s">
        <v>52</v>
      </c>
      <c r="S1229">
        <v>8578</v>
      </c>
      <c r="T1229" t="str" cm="1">
        <f t="array" ref="T1229">_xlfn.IFS(S1229&gt;=10000,"High (&gt;10k)",S1229&gt;=5000,"Medium (5k-10k)",S1229&lt;5000,"Low (&lt;5k)")</f>
        <v>Medium (5k-10k)</v>
      </c>
      <c r="U1229">
        <v>19989</v>
      </c>
      <c r="V1229">
        <v>3</v>
      </c>
      <c r="W1229" t="s">
        <v>43</v>
      </c>
      <c r="X1229">
        <v>14</v>
      </c>
      <c r="Y1229">
        <v>3</v>
      </c>
      <c r="Z1229">
        <v>3</v>
      </c>
      <c r="AA1229">
        <v>1</v>
      </c>
      <c r="AB1229">
        <v>12</v>
      </c>
      <c r="AC1229">
        <v>4</v>
      </c>
      <c r="AD1229" t="s">
        <v>81</v>
      </c>
      <c r="AE1229">
        <v>9</v>
      </c>
      <c r="AF1229" t="str" cm="1">
        <f t="array" ref="AF1229">_xlfn.IFS(AE1229&gt;=10,"Veteran (10y+)",AE1229&gt;=3,"Established (3-10y)",AE1229&lt;3,"New Hire (&lt;3y)")</f>
        <v>Established (3-10y)</v>
      </c>
      <c r="AG1229">
        <v>8</v>
      </c>
      <c r="AH1229">
        <v>4</v>
      </c>
      <c r="AI1229">
        <v>7</v>
      </c>
    </row>
    <row r="1230" spans="1:35">
      <c r="A1230">
        <v>46</v>
      </c>
      <c r="B1230" t="str">
        <f t="shared" si="19"/>
        <v>Senior</v>
      </c>
      <c r="C1230">
        <v>0</v>
      </c>
      <c r="D1230" t="s">
        <v>36</v>
      </c>
      <c r="E1230">
        <v>1319</v>
      </c>
      <c r="F1230" t="s">
        <v>37</v>
      </c>
      <c r="G1230">
        <v>3</v>
      </c>
      <c r="H1230" t="str" cm="1">
        <f t="array" ref="H1230">_xlfn.IFS(G1230&gt;15,"Long Commute",G1230&gt;5,"Moderate",G1230&lt;=5,"Near Office")</f>
        <v>Near Office</v>
      </c>
      <c r="I1230" t="s">
        <v>72</v>
      </c>
      <c r="J1230" t="s">
        <v>60</v>
      </c>
      <c r="K1230">
        <v>1</v>
      </c>
      <c r="L1230" t="s">
        <v>39</v>
      </c>
      <c r="M1230">
        <v>45</v>
      </c>
      <c r="N1230">
        <v>4</v>
      </c>
      <c r="O1230">
        <v>4</v>
      </c>
      <c r="P1230" t="s">
        <v>40</v>
      </c>
      <c r="Q1230" t="s">
        <v>82</v>
      </c>
      <c r="R1230" t="s">
        <v>52</v>
      </c>
      <c r="S1230">
        <v>13225</v>
      </c>
      <c r="T1230" t="str" cm="1">
        <f t="array" ref="T1230">_xlfn.IFS(S1230&gt;=10000,"High (&gt;10k)",S1230&gt;=5000,"Medium (5k-10k)",S1230&lt;5000,"Low (&lt;5k)")</f>
        <v>High (&gt;10k)</v>
      </c>
      <c r="U1230">
        <v>7739</v>
      </c>
      <c r="V1230">
        <v>2</v>
      </c>
      <c r="W1230" t="s">
        <v>43</v>
      </c>
      <c r="X1230">
        <v>12</v>
      </c>
      <c r="Y1230">
        <v>3</v>
      </c>
      <c r="Z1230">
        <v>4</v>
      </c>
      <c r="AA1230">
        <v>1</v>
      </c>
      <c r="AB1230">
        <v>25</v>
      </c>
      <c r="AC1230">
        <v>5</v>
      </c>
      <c r="AD1230" t="s">
        <v>74</v>
      </c>
      <c r="AE1230">
        <v>19</v>
      </c>
      <c r="AF1230" t="str" cm="1">
        <f t="array" ref="AF1230">_xlfn.IFS(AE1230&gt;=10,"Veteran (10y+)",AE1230&gt;=3,"Established (3-10y)",AE1230&lt;3,"New Hire (&lt;3y)")</f>
        <v>Veteran (10y+)</v>
      </c>
      <c r="AG1230">
        <v>17</v>
      </c>
      <c r="AH1230">
        <v>2</v>
      </c>
      <c r="AI1230">
        <v>8</v>
      </c>
    </row>
    <row r="1231" spans="1:35">
      <c r="A1231">
        <v>46</v>
      </c>
      <c r="B1231" t="str">
        <f t="shared" si="19"/>
        <v>Senior</v>
      </c>
      <c r="C1231">
        <v>1</v>
      </c>
      <c r="D1231" t="s">
        <v>36</v>
      </c>
      <c r="E1231">
        <v>1254</v>
      </c>
      <c r="F1231" t="s">
        <v>37</v>
      </c>
      <c r="G1231">
        <v>10</v>
      </c>
      <c r="H1231" t="str" cm="1">
        <f t="array" ref="H1231">_xlfn.IFS(G1231&gt;15,"Long Commute",G1231&gt;5,"Moderate",G1231&lt;=5,"Near Office")</f>
        <v>Moderate</v>
      </c>
      <c r="I1231" t="s">
        <v>72</v>
      </c>
      <c r="J1231" t="s">
        <v>38</v>
      </c>
      <c r="K1231">
        <v>3</v>
      </c>
      <c r="L1231" t="s">
        <v>39</v>
      </c>
      <c r="M1231">
        <v>64</v>
      </c>
      <c r="N1231">
        <v>3</v>
      </c>
      <c r="O1231">
        <v>3</v>
      </c>
      <c r="P1231" t="s">
        <v>40</v>
      </c>
      <c r="Q1231" t="s">
        <v>75</v>
      </c>
      <c r="R1231" t="s">
        <v>48</v>
      </c>
      <c r="S1231">
        <v>7314</v>
      </c>
      <c r="T1231" t="str" cm="1">
        <f t="array" ref="T1231">_xlfn.IFS(S1231&gt;=10000,"High (&gt;10k)",S1231&gt;=5000,"Medium (5k-10k)",S1231&lt;5000,"Low (&lt;5k)")</f>
        <v>Medium (5k-10k)</v>
      </c>
      <c r="U1231">
        <v>14011</v>
      </c>
      <c r="V1231">
        <v>5</v>
      </c>
      <c r="W1231" t="s">
        <v>43</v>
      </c>
      <c r="X1231">
        <v>21</v>
      </c>
      <c r="Y1231">
        <v>4</v>
      </c>
      <c r="Z1231">
        <v>3</v>
      </c>
      <c r="AA1231">
        <v>3</v>
      </c>
      <c r="AB1231">
        <v>14</v>
      </c>
      <c r="AC1231">
        <v>2</v>
      </c>
      <c r="AD1231" t="s">
        <v>74</v>
      </c>
      <c r="AE1231">
        <v>8</v>
      </c>
      <c r="AF1231" t="str" cm="1">
        <f t="array" ref="AF1231">_xlfn.IFS(AE1231&gt;=10,"Veteran (10y+)",AE1231&gt;=3,"Established (3-10y)",AE1231&lt;3,"New Hire (&lt;3y)")</f>
        <v>Established (3-10y)</v>
      </c>
      <c r="AG1231">
        <v>7</v>
      </c>
      <c r="AH1231">
        <v>0</v>
      </c>
      <c r="AI1231">
        <v>7</v>
      </c>
    </row>
    <row r="1232" spans="1:35">
      <c r="A1232">
        <v>47</v>
      </c>
      <c r="B1232" t="str">
        <f t="shared" si="19"/>
        <v>Senior</v>
      </c>
      <c r="C1232">
        <v>1</v>
      </c>
      <c r="D1232" t="s">
        <v>55</v>
      </c>
      <c r="E1232">
        <v>666</v>
      </c>
      <c r="F1232" t="s">
        <v>45</v>
      </c>
      <c r="G1232">
        <v>29</v>
      </c>
      <c r="H1232" t="str" cm="1">
        <f t="array" ref="H1232">_xlfn.IFS(G1232&gt;15,"Long Commute",G1232&gt;5,"Moderate",G1232&lt;=5,"Near Office")</f>
        <v>Long Commute</v>
      </c>
      <c r="I1232" t="s">
        <v>83</v>
      </c>
      <c r="J1232" t="s">
        <v>38</v>
      </c>
      <c r="K1232">
        <v>1</v>
      </c>
      <c r="L1232" t="s">
        <v>46</v>
      </c>
      <c r="M1232">
        <v>88</v>
      </c>
      <c r="N1232">
        <v>3</v>
      </c>
      <c r="O1232">
        <v>3</v>
      </c>
      <c r="P1232" t="s">
        <v>56</v>
      </c>
      <c r="Q1232" t="s">
        <v>75</v>
      </c>
      <c r="R1232" t="s">
        <v>48</v>
      </c>
      <c r="S1232">
        <v>11849</v>
      </c>
      <c r="T1232" t="str" cm="1">
        <f t="array" ref="T1232">_xlfn.IFS(S1232&gt;=10000,"High (&gt;10k)",S1232&gt;=5000,"Medium (5k-10k)",S1232&lt;5000,"Low (&lt;5k)")</f>
        <v>High (&gt;10k)</v>
      </c>
      <c r="U1232">
        <v>10268</v>
      </c>
      <c r="V1232">
        <v>1</v>
      </c>
      <c r="W1232" t="s">
        <v>35</v>
      </c>
      <c r="X1232">
        <v>12</v>
      </c>
      <c r="Y1232">
        <v>3</v>
      </c>
      <c r="Z1232">
        <v>4</v>
      </c>
      <c r="AA1232">
        <v>1</v>
      </c>
      <c r="AB1232">
        <v>10</v>
      </c>
      <c r="AC1232">
        <v>2</v>
      </c>
      <c r="AD1232" t="s">
        <v>81</v>
      </c>
      <c r="AE1232">
        <v>10</v>
      </c>
      <c r="AF1232" t="str" cm="1">
        <f t="array" ref="AF1232">_xlfn.IFS(AE1232&gt;=10,"Veteran (10y+)",AE1232&gt;=3,"Established (3-10y)",AE1232&lt;3,"New Hire (&lt;3y)")</f>
        <v>Veteran (10y+)</v>
      </c>
      <c r="AG1232">
        <v>7</v>
      </c>
      <c r="AH1232">
        <v>9</v>
      </c>
      <c r="AI1232">
        <v>9</v>
      </c>
    </row>
    <row r="1233" spans="1:35">
      <c r="A1233">
        <v>47</v>
      </c>
      <c r="B1233" t="str">
        <f t="shared" si="19"/>
        <v>Senior</v>
      </c>
      <c r="C1233">
        <v>0</v>
      </c>
      <c r="D1233" t="s">
        <v>36</v>
      </c>
      <c r="E1233">
        <v>1482</v>
      </c>
      <c r="F1233" t="s">
        <v>45</v>
      </c>
      <c r="G1233">
        <v>5</v>
      </c>
      <c r="H1233" t="str" cm="1">
        <f t="array" ref="H1233">_xlfn.IFS(G1233&gt;15,"Long Commute",G1233&gt;5,"Moderate",G1233&lt;=5,"Near Office")</f>
        <v>Near Office</v>
      </c>
      <c r="I1233" t="s">
        <v>84</v>
      </c>
      <c r="J1233" t="s">
        <v>38</v>
      </c>
      <c r="K1233">
        <v>4</v>
      </c>
      <c r="L1233" t="s">
        <v>46</v>
      </c>
      <c r="M1233">
        <v>42</v>
      </c>
      <c r="N1233">
        <v>3</v>
      </c>
      <c r="O1233">
        <v>5</v>
      </c>
      <c r="P1233" t="s">
        <v>58</v>
      </c>
      <c r="Q1233" t="s">
        <v>73</v>
      </c>
      <c r="R1233" t="s">
        <v>48</v>
      </c>
      <c r="S1233">
        <v>18300</v>
      </c>
      <c r="T1233" t="str" cm="1">
        <f t="array" ref="T1233">_xlfn.IFS(S1233&gt;=10000,"High (&gt;10k)",S1233&gt;=5000,"Medium (5k-10k)",S1233&lt;5000,"Low (&lt;5k)")</f>
        <v>High (&gt;10k)</v>
      </c>
      <c r="U1233">
        <v>16375</v>
      </c>
      <c r="V1233">
        <v>4</v>
      </c>
      <c r="W1233" t="s">
        <v>43</v>
      </c>
      <c r="X1233">
        <v>11</v>
      </c>
      <c r="Y1233">
        <v>3</v>
      </c>
      <c r="Z1233">
        <v>2</v>
      </c>
      <c r="AA1233">
        <v>1</v>
      </c>
      <c r="AB1233">
        <v>21</v>
      </c>
      <c r="AC1233">
        <v>2</v>
      </c>
      <c r="AD1233" t="s">
        <v>74</v>
      </c>
      <c r="AE1233">
        <v>3</v>
      </c>
      <c r="AF1233" t="str" cm="1">
        <f t="array" ref="AF1233">_xlfn.IFS(AE1233&gt;=10,"Veteran (10y+)",AE1233&gt;=3,"Established (3-10y)",AE1233&lt;3,"New Hire (&lt;3y)")</f>
        <v>Established (3-10y)</v>
      </c>
      <c r="AG1233">
        <v>2</v>
      </c>
      <c r="AH1233">
        <v>1</v>
      </c>
      <c r="AI1233">
        <v>1</v>
      </c>
    </row>
    <row r="1234" spans="1:35">
      <c r="A1234">
        <v>47</v>
      </c>
      <c r="B1234" t="str">
        <f t="shared" si="19"/>
        <v>Senior</v>
      </c>
      <c r="C1234">
        <v>0</v>
      </c>
      <c r="D1234" t="s">
        <v>44</v>
      </c>
      <c r="E1234">
        <v>1309</v>
      </c>
      <c r="F1234" t="s">
        <v>37</v>
      </c>
      <c r="G1234">
        <v>4</v>
      </c>
      <c r="H1234" t="str" cm="1">
        <f t="array" ref="H1234">_xlfn.IFS(G1234&gt;15,"Long Commute",G1234&gt;5,"Moderate",G1234&lt;=5,"Near Office")</f>
        <v>Near Office</v>
      </c>
      <c r="I1234" t="s">
        <v>78</v>
      </c>
      <c r="J1234" t="s">
        <v>51</v>
      </c>
      <c r="K1234">
        <v>2</v>
      </c>
      <c r="L1234" t="s">
        <v>46</v>
      </c>
      <c r="M1234">
        <v>99</v>
      </c>
      <c r="N1234">
        <v>3</v>
      </c>
      <c r="O1234">
        <v>2</v>
      </c>
      <c r="P1234" t="s">
        <v>57</v>
      </c>
      <c r="Q1234" t="s">
        <v>73</v>
      </c>
      <c r="R1234" t="s">
        <v>41</v>
      </c>
      <c r="S1234">
        <v>2976</v>
      </c>
      <c r="T1234" t="str" cm="1">
        <f t="array" ref="T1234">_xlfn.IFS(S1234&gt;=10000,"High (&gt;10k)",S1234&gt;=5000,"Medium (5k-10k)",S1234&lt;5000,"Low (&lt;5k)")</f>
        <v>Low (&lt;5k)</v>
      </c>
      <c r="U1234">
        <v>25751</v>
      </c>
      <c r="V1234">
        <v>3</v>
      </c>
      <c r="W1234" t="s">
        <v>43</v>
      </c>
      <c r="X1234">
        <v>19</v>
      </c>
      <c r="Y1234">
        <v>3</v>
      </c>
      <c r="Z1234">
        <v>1</v>
      </c>
      <c r="AA1234">
        <v>0</v>
      </c>
      <c r="AB1234">
        <v>5</v>
      </c>
      <c r="AC1234">
        <v>3</v>
      </c>
      <c r="AD1234" t="s">
        <v>74</v>
      </c>
      <c r="AE1234">
        <v>0</v>
      </c>
      <c r="AF1234" t="str" cm="1">
        <f t="array" ref="AF1234">_xlfn.IFS(AE1234&gt;=10,"Veteran (10y+)",AE1234&gt;=3,"Established (3-10y)",AE1234&lt;3,"New Hire (&lt;3y)")</f>
        <v>New Hire (&lt;3y)</v>
      </c>
      <c r="AG1234">
        <v>0</v>
      </c>
      <c r="AH1234">
        <v>0</v>
      </c>
      <c r="AI1234">
        <v>0</v>
      </c>
    </row>
    <row r="1235" spans="1:35">
      <c r="A1235">
        <v>47</v>
      </c>
      <c r="B1235" t="str">
        <f t="shared" si="19"/>
        <v>Senior</v>
      </c>
      <c r="C1235">
        <v>0</v>
      </c>
      <c r="D1235" t="s">
        <v>36</v>
      </c>
      <c r="E1235">
        <v>983</v>
      </c>
      <c r="F1235" t="s">
        <v>45</v>
      </c>
      <c r="G1235">
        <v>2</v>
      </c>
      <c r="H1235" t="str" cm="1">
        <f t="array" ref="H1235">_xlfn.IFS(G1235&gt;15,"Long Commute",G1235&gt;5,"Moderate",G1235&lt;=5,"Near Office")</f>
        <v>Near Office</v>
      </c>
      <c r="I1235" t="s">
        <v>76</v>
      </c>
      <c r="J1235" t="s">
        <v>51</v>
      </c>
      <c r="K1235">
        <v>1</v>
      </c>
      <c r="L1235" t="s">
        <v>39</v>
      </c>
      <c r="M1235">
        <v>65</v>
      </c>
      <c r="N1235">
        <v>3</v>
      </c>
      <c r="O1235">
        <v>2</v>
      </c>
      <c r="P1235" t="s">
        <v>53</v>
      </c>
      <c r="Q1235" t="s">
        <v>77</v>
      </c>
      <c r="R1235" t="s">
        <v>52</v>
      </c>
      <c r="S1235">
        <v>5070</v>
      </c>
      <c r="T1235" t="str" cm="1">
        <f t="array" ref="T1235">_xlfn.IFS(S1235&gt;=10000,"High (&gt;10k)",S1235&gt;=5000,"Medium (5k-10k)",S1235&lt;5000,"Low (&lt;5k)")</f>
        <v>Medium (5k-10k)</v>
      </c>
      <c r="U1235">
        <v>7389</v>
      </c>
      <c r="V1235">
        <v>5</v>
      </c>
      <c r="W1235" t="s">
        <v>43</v>
      </c>
      <c r="X1235">
        <v>13</v>
      </c>
      <c r="Y1235">
        <v>3</v>
      </c>
      <c r="Z1235">
        <v>3</v>
      </c>
      <c r="AA1235">
        <v>3</v>
      </c>
      <c r="AB1235">
        <v>20</v>
      </c>
      <c r="AC1235">
        <v>2</v>
      </c>
      <c r="AD1235" t="s">
        <v>74</v>
      </c>
      <c r="AE1235">
        <v>5</v>
      </c>
      <c r="AF1235" t="str" cm="1">
        <f t="array" ref="AF1235">_xlfn.IFS(AE1235&gt;=10,"Veteran (10y+)",AE1235&gt;=3,"Established (3-10y)",AE1235&lt;3,"New Hire (&lt;3y)")</f>
        <v>Established (3-10y)</v>
      </c>
      <c r="AG1235">
        <v>0</v>
      </c>
      <c r="AH1235">
        <v>0</v>
      </c>
      <c r="AI1235">
        <v>4</v>
      </c>
    </row>
    <row r="1236" spans="1:35">
      <c r="A1236">
        <v>47</v>
      </c>
      <c r="B1236" t="str">
        <f t="shared" si="19"/>
        <v>Senior</v>
      </c>
      <c r="C1236">
        <v>0</v>
      </c>
      <c r="D1236" t="s">
        <v>36</v>
      </c>
      <c r="E1236">
        <v>703</v>
      </c>
      <c r="F1236" t="s">
        <v>37</v>
      </c>
      <c r="G1236">
        <v>14</v>
      </c>
      <c r="H1236" t="str" cm="1">
        <f t="array" ref="H1236">_xlfn.IFS(G1236&gt;15,"Long Commute",G1236&gt;5,"Moderate",G1236&lt;=5,"Near Office")</f>
        <v>Moderate</v>
      </c>
      <c r="I1236" t="s">
        <v>83</v>
      </c>
      <c r="J1236" t="s">
        <v>59</v>
      </c>
      <c r="K1236">
        <v>4</v>
      </c>
      <c r="L1236" t="s">
        <v>46</v>
      </c>
      <c r="M1236">
        <v>42</v>
      </c>
      <c r="N1236">
        <v>3</v>
      </c>
      <c r="O1236">
        <v>2</v>
      </c>
      <c r="P1236" t="s">
        <v>40</v>
      </c>
      <c r="Q1236" t="s">
        <v>82</v>
      </c>
      <c r="R1236" t="s">
        <v>41</v>
      </c>
      <c r="S1236">
        <v>4960</v>
      </c>
      <c r="T1236" t="str" cm="1">
        <f t="array" ref="T1236">_xlfn.IFS(S1236&gt;=10000,"High (&gt;10k)",S1236&gt;=5000,"Medium (5k-10k)",S1236&lt;5000,"Low (&lt;5k)")</f>
        <v>Low (&lt;5k)</v>
      </c>
      <c r="U1236">
        <v>11825</v>
      </c>
      <c r="V1236">
        <v>2</v>
      </c>
      <c r="W1236" t="s">
        <v>43</v>
      </c>
      <c r="X1236">
        <v>12</v>
      </c>
      <c r="Y1236">
        <v>3</v>
      </c>
      <c r="Z1236">
        <v>4</v>
      </c>
      <c r="AA1236">
        <v>0</v>
      </c>
      <c r="AB1236">
        <v>20</v>
      </c>
      <c r="AC1236">
        <v>2</v>
      </c>
      <c r="AD1236" t="s">
        <v>74</v>
      </c>
      <c r="AE1236">
        <v>7</v>
      </c>
      <c r="AF1236" t="str" cm="1">
        <f t="array" ref="AF1236">_xlfn.IFS(AE1236&gt;=10,"Veteran (10y+)",AE1236&gt;=3,"Established (3-10y)",AE1236&lt;3,"New Hire (&lt;3y)")</f>
        <v>Established (3-10y)</v>
      </c>
      <c r="AG1236">
        <v>7</v>
      </c>
      <c r="AH1236">
        <v>1</v>
      </c>
      <c r="AI1236">
        <v>7</v>
      </c>
    </row>
    <row r="1237" spans="1:35">
      <c r="A1237">
        <v>47</v>
      </c>
      <c r="B1237" t="str">
        <f t="shared" si="19"/>
        <v>Senior</v>
      </c>
      <c r="C1237">
        <v>0</v>
      </c>
      <c r="D1237" t="s">
        <v>44</v>
      </c>
      <c r="E1237">
        <v>217</v>
      </c>
      <c r="F1237" t="s">
        <v>37</v>
      </c>
      <c r="G1237">
        <v>3</v>
      </c>
      <c r="H1237" t="str" cm="1">
        <f t="array" ref="H1237">_xlfn.IFS(G1237&gt;15,"Long Commute",G1237&gt;5,"Moderate",G1237&lt;=5,"Near Office")</f>
        <v>Near Office</v>
      </c>
      <c r="I1237" t="s">
        <v>72</v>
      </c>
      <c r="J1237" t="s">
        <v>51</v>
      </c>
      <c r="K1237">
        <v>4</v>
      </c>
      <c r="L1237" t="s">
        <v>39</v>
      </c>
      <c r="M1237">
        <v>49</v>
      </c>
      <c r="N1237">
        <v>3</v>
      </c>
      <c r="O1237">
        <v>4</v>
      </c>
      <c r="P1237" t="s">
        <v>40</v>
      </c>
      <c r="Q1237" t="s">
        <v>73</v>
      </c>
      <c r="R1237" t="s">
        <v>52</v>
      </c>
      <c r="S1237">
        <v>13770</v>
      </c>
      <c r="T1237" t="str" cm="1">
        <f t="array" ref="T1237">_xlfn.IFS(S1237&gt;=10000,"High (&gt;10k)",S1237&gt;=5000,"Medium (5k-10k)",S1237&lt;5000,"Low (&lt;5k)")</f>
        <v>High (&gt;10k)</v>
      </c>
      <c r="U1237">
        <v>10225</v>
      </c>
      <c r="V1237">
        <v>9</v>
      </c>
      <c r="W1237" t="s">
        <v>35</v>
      </c>
      <c r="X1237">
        <v>12</v>
      </c>
      <c r="Y1237">
        <v>3</v>
      </c>
      <c r="Z1237">
        <v>4</v>
      </c>
      <c r="AA1237">
        <v>2</v>
      </c>
      <c r="AB1237">
        <v>28</v>
      </c>
      <c r="AC1237">
        <v>2</v>
      </c>
      <c r="AD1237" t="s">
        <v>81</v>
      </c>
      <c r="AE1237">
        <v>22</v>
      </c>
      <c r="AF1237" t="str" cm="1">
        <f t="array" ref="AF1237">_xlfn.IFS(AE1237&gt;=10,"Veteran (10y+)",AE1237&gt;=3,"Established (3-10y)",AE1237&lt;3,"New Hire (&lt;3y)")</f>
        <v>Veteran (10y+)</v>
      </c>
      <c r="AG1237">
        <v>2</v>
      </c>
      <c r="AH1237">
        <v>11</v>
      </c>
      <c r="AI1237">
        <v>13</v>
      </c>
    </row>
    <row r="1238" spans="1:35">
      <c r="A1238">
        <v>47</v>
      </c>
      <c r="B1238" t="str">
        <f t="shared" si="19"/>
        <v>Senior</v>
      </c>
      <c r="C1238">
        <v>1</v>
      </c>
      <c r="D1238" t="s">
        <v>44</v>
      </c>
      <c r="E1238">
        <v>719</v>
      </c>
      <c r="F1238" t="s">
        <v>37</v>
      </c>
      <c r="G1238">
        <v>27</v>
      </c>
      <c r="H1238" t="str" cm="1">
        <f t="array" ref="H1238">_xlfn.IFS(G1238&gt;15,"Long Commute",G1238&gt;5,"Moderate",G1238&lt;=5,"Near Office")</f>
        <v>Long Commute</v>
      </c>
      <c r="I1238" t="s">
        <v>76</v>
      </c>
      <c r="J1238" t="s">
        <v>38</v>
      </c>
      <c r="K1238">
        <v>2</v>
      </c>
      <c r="L1238" t="s">
        <v>39</v>
      </c>
      <c r="M1238">
        <v>77</v>
      </c>
      <c r="N1238">
        <v>4</v>
      </c>
      <c r="O1238">
        <v>2</v>
      </c>
      <c r="P1238" t="s">
        <v>40</v>
      </c>
      <c r="Q1238" t="s">
        <v>73</v>
      </c>
      <c r="R1238" t="s">
        <v>41</v>
      </c>
      <c r="S1238">
        <v>6397</v>
      </c>
      <c r="T1238" t="str" cm="1">
        <f t="array" ref="T1238">_xlfn.IFS(S1238&gt;=10000,"High (&gt;10k)",S1238&gt;=5000,"Medium (5k-10k)",S1238&lt;5000,"Low (&lt;5k)")</f>
        <v>Medium (5k-10k)</v>
      </c>
      <c r="U1238">
        <v>10339</v>
      </c>
      <c r="V1238">
        <v>4</v>
      </c>
      <c r="W1238" t="s">
        <v>35</v>
      </c>
      <c r="X1238">
        <v>12</v>
      </c>
      <c r="Y1238">
        <v>3</v>
      </c>
      <c r="Z1238">
        <v>4</v>
      </c>
      <c r="AA1238">
        <v>0</v>
      </c>
      <c r="AB1238">
        <v>8</v>
      </c>
      <c r="AC1238">
        <v>2</v>
      </c>
      <c r="AD1238" t="s">
        <v>74</v>
      </c>
      <c r="AE1238">
        <v>5</v>
      </c>
      <c r="AF1238" t="str" cm="1">
        <f t="array" ref="AF1238">_xlfn.IFS(AE1238&gt;=10,"Veteran (10y+)",AE1238&gt;=3,"Established (3-10y)",AE1238&lt;3,"New Hire (&lt;3y)")</f>
        <v>Established (3-10y)</v>
      </c>
      <c r="AG1238">
        <v>4</v>
      </c>
      <c r="AH1238">
        <v>1</v>
      </c>
      <c r="AI1238">
        <v>3</v>
      </c>
    </row>
    <row r="1239" spans="1:35">
      <c r="A1239">
        <v>47</v>
      </c>
      <c r="B1239" t="str">
        <f t="shared" si="19"/>
        <v>Senior</v>
      </c>
      <c r="C1239">
        <v>0</v>
      </c>
      <c r="D1239" t="s">
        <v>36</v>
      </c>
      <c r="E1239">
        <v>202</v>
      </c>
      <c r="F1239" t="s">
        <v>45</v>
      </c>
      <c r="G1239">
        <v>2</v>
      </c>
      <c r="H1239" t="str" cm="1">
        <f t="array" ref="H1239">_xlfn.IFS(G1239&gt;15,"Long Commute",G1239&gt;5,"Moderate",G1239&lt;=5,"Near Office")</f>
        <v>Near Office</v>
      </c>
      <c r="I1239" t="s">
        <v>76</v>
      </c>
      <c r="J1239" t="s">
        <v>49</v>
      </c>
      <c r="K1239">
        <v>3</v>
      </c>
      <c r="L1239" t="s">
        <v>39</v>
      </c>
      <c r="M1239">
        <v>33</v>
      </c>
      <c r="N1239">
        <v>3</v>
      </c>
      <c r="O1239">
        <v>4</v>
      </c>
      <c r="P1239" t="s">
        <v>56</v>
      </c>
      <c r="Q1239" t="s">
        <v>77</v>
      </c>
      <c r="R1239" t="s">
        <v>48</v>
      </c>
      <c r="S1239">
        <v>16752</v>
      </c>
      <c r="T1239" t="str" cm="1">
        <f t="array" ref="T1239">_xlfn.IFS(S1239&gt;=10000,"High (&gt;10k)",S1239&gt;=5000,"Medium (5k-10k)",S1239&lt;5000,"Low (&lt;5k)")</f>
        <v>High (&gt;10k)</v>
      </c>
      <c r="U1239">
        <v>12982</v>
      </c>
      <c r="V1239">
        <v>1</v>
      </c>
      <c r="W1239" t="s">
        <v>35</v>
      </c>
      <c r="X1239">
        <v>11</v>
      </c>
      <c r="Y1239">
        <v>3</v>
      </c>
      <c r="Z1239">
        <v>3</v>
      </c>
      <c r="AA1239">
        <v>1</v>
      </c>
      <c r="AB1239">
        <v>26</v>
      </c>
      <c r="AC1239">
        <v>3</v>
      </c>
      <c r="AD1239" t="s">
        <v>81</v>
      </c>
      <c r="AE1239">
        <v>26</v>
      </c>
      <c r="AF1239" t="str" cm="1">
        <f t="array" ref="AF1239">_xlfn.IFS(AE1239&gt;=10,"Veteran (10y+)",AE1239&gt;=3,"Established (3-10y)",AE1239&lt;3,"New Hire (&lt;3y)")</f>
        <v>Veteran (10y+)</v>
      </c>
      <c r="AG1239">
        <v>14</v>
      </c>
      <c r="AH1239">
        <v>3</v>
      </c>
      <c r="AI1239">
        <v>0</v>
      </c>
    </row>
    <row r="1240" spans="1:35">
      <c r="A1240">
        <v>47</v>
      </c>
      <c r="B1240" t="str">
        <f t="shared" si="19"/>
        <v>Senior</v>
      </c>
      <c r="C1240">
        <v>0</v>
      </c>
      <c r="D1240" t="s">
        <v>36</v>
      </c>
      <c r="E1240">
        <v>249</v>
      </c>
      <c r="F1240" t="s">
        <v>37</v>
      </c>
      <c r="G1240">
        <v>2</v>
      </c>
      <c r="H1240" t="str" cm="1">
        <f t="array" ref="H1240">_xlfn.IFS(G1240&gt;15,"Long Commute",G1240&gt;5,"Moderate",G1240&lt;=5,"Near Office")</f>
        <v>Near Office</v>
      </c>
      <c r="I1240" t="s">
        <v>76</v>
      </c>
      <c r="J1240" t="s">
        <v>59</v>
      </c>
      <c r="K1240">
        <v>3</v>
      </c>
      <c r="L1240" t="s">
        <v>39</v>
      </c>
      <c r="M1240">
        <v>35</v>
      </c>
      <c r="N1240">
        <v>3</v>
      </c>
      <c r="O1240">
        <v>2</v>
      </c>
      <c r="P1240" t="s">
        <v>40</v>
      </c>
      <c r="Q1240" t="s">
        <v>77</v>
      </c>
      <c r="R1240" t="s">
        <v>48</v>
      </c>
      <c r="S1240">
        <v>4537</v>
      </c>
      <c r="T1240" t="str" cm="1">
        <f t="array" ref="T1240">_xlfn.IFS(S1240&gt;=10000,"High (&gt;10k)",S1240&gt;=5000,"Medium (5k-10k)",S1240&lt;5000,"Low (&lt;5k)")</f>
        <v>Low (&lt;5k)</v>
      </c>
      <c r="U1240">
        <v>17783</v>
      </c>
      <c r="V1240">
        <v>0</v>
      </c>
      <c r="W1240" t="s">
        <v>35</v>
      </c>
      <c r="X1240">
        <v>22</v>
      </c>
      <c r="Y1240">
        <v>4</v>
      </c>
      <c r="Z1240">
        <v>1</v>
      </c>
      <c r="AA1240">
        <v>1</v>
      </c>
      <c r="AB1240">
        <v>8</v>
      </c>
      <c r="AC1240">
        <v>2</v>
      </c>
      <c r="AD1240" t="s">
        <v>74</v>
      </c>
      <c r="AE1240">
        <v>7</v>
      </c>
      <c r="AF1240" t="str" cm="1">
        <f t="array" ref="AF1240">_xlfn.IFS(AE1240&gt;=10,"Veteran (10y+)",AE1240&gt;=3,"Established (3-10y)",AE1240&lt;3,"New Hire (&lt;3y)")</f>
        <v>Established (3-10y)</v>
      </c>
      <c r="AG1240">
        <v>6</v>
      </c>
      <c r="AH1240">
        <v>7</v>
      </c>
      <c r="AI1240">
        <v>7</v>
      </c>
    </row>
    <row r="1241" spans="1:35">
      <c r="A1241">
        <v>47</v>
      </c>
      <c r="B1241" t="str">
        <f t="shared" si="19"/>
        <v>Senior</v>
      </c>
      <c r="C1241">
        <v>0</v>
      </c>
      <c r="D1241" t="s">
        <v>36</v>
      </c>
      <c r="E1241">
        <v>1454</v>
      </c>
      <c r="F1241" t="s">
        <v>37</v>
      </c>
      <c r="G1241">
        <v>2</v>
      </c>
      <c r="H1241" t="str" cm="1">
        <f t="array" ref="H1241">_xlfn.IFS(G1241&gt;15,"Long Commute",G1241&gt;5,"Moderate",G1241&lt;=5,"Near Office")</f>
        <v>Near Office</v>
      </c>
      <c r="I1241" t="s">
        <v>83</v>
      </c>
      <c r="J1241" t="s">
        <v>38</v>
      </c>
      <c r="K1241">
        <v>4</v>
      </c>
      <c r="L1241" t="s">
        <v>39</v>
      </c>
      <c r="M1241">
        <v>65</v>
      </c>
      <c r="N1241">
        <v>2</v>
      </c>
      <c r="O1241">
        <v>1</v>
      </c>
      <c r="P1241" t="s">
        <v>57</v>
      </c>
      <c r="Q1241" t="s">
        <v>77</v>
      </c>
      <c r="R1241" t="s">
        <v>41</v>
      </c>
      <c r="S1241">
        <v>3294</v>
      </c>
      <c r="T1241" t="str" cm="1">
        <f t="array" ref="T1241">_xlfn.IFS(S1241&gt;=10000,"High (&gt;10k)",S1241&gt;=5000,"Medium (5k-10k)",S1241&lt;5000,"Low (&lt;5k)")</f>
        <v>Low (&lt;5k)</v>
      </c>
      <c r="U1241">
        <v>13137</v>
      </c>
      <c r="V1241">
        <v>1</v>
      </c>
      <c r="W1241" t="s">
        <v>35</v>
      </c>
      <c r="X1241">
        <v>18</v>
      </c>
      <c r="Y1241">
        <v>3</v>
      </c>
      <c r="Z1241">
        <v>1</v>
      </c>
      <c r="AA1241">
        <v>0</v>
      </c>
      <c r="AB1241">
        <v>3</v>
      </c>
      <c r="AC1241">
        <v>3</v>
      </c>
      <c r="AD1241" t="s">
        <v>81</v>
      </c>
      <c r="AE1241">
        <v>3</v>
      </c>
      <c r="AF1241" t="str" cm="1">
        <f t="array" ref="AF1241">_xlfn.IFS(AE1241&gt;=10,"Veteran (10y+)",AE1241&gt;=3,"Established (3-10y)",AE1241&lt;3,"New Hire (&lt;3y)")</f>
        <v>Established (3-10y)</v>
      </c>
      <c r="AG1241">
        <v>2</v>
      </c>
      <c r="AH1241">
        <v>1</v>
      </c>
      <c r="AI1241">
        <v>2</v>
      </c>
    </row>
    <row r="1242" spans="1:35">
      <c r="A1242">
        <v>47</v>
      </c>
      <c r="B1242" t="str">
        <f t="shared" si="19"/>
        <v>Senior</v>
      </c>
      <c r="C1242">
        <v>0</v>
      </c>
      <c r="D1242" t="s">
        <v>44</v>
      </c>
      <c r="E1242">
        <v>1379</v>
      </c>
      <c r="F1242" t="s">
        <v>45</v>
      </c>
      <c r="G1242">
        <v>16</v>
      </c>
      <c r="H1242" t="str" cm="1">
        <f t="array" ref="H1242">_xlfn.IFS(G1242&gt;15,"Long Commute",G1242&gt;5,"Moderate",G1242&lt;=5,"Near Office")</f>
        <v>Long Commute</v>
      </c>
      <c r="I1242" t="s">
        <v>83</v>
      </c>
      <c r="J1242" t="s">
        <v>51</v>
      </c>
      <c r="K1242">
        <v>3</v>
      </c>
      <c r="L1242" t="s">
        <v>46</v>
      </c>
      <c r="M1242">
        <v>64</v>
      </c>
      <c r="N1242">
        <v>4</v>
      </c>
      <c r="O1242">
        <v>2</v>
      </c>
      <c r="P1242" t="s">
        <v>53</v>
      </c>
      <c r="Q1242" t="s">
        <v>73</v>
      </c>
      <c r="R1242" t="s">
        <v>52</v>
      </c>
      <c r="S1242">
        <v>5067</v>
      </c>
      <c r="T1242" t="str" cm="1">
        <f t="array" ref="T1242">_xlfn.IFS(S1242&gt;=10000,"High (&gt;10k)",S1242&gt;=5000,"Medium (5k-10k)",S1242&lt;5000,"Low (&lt;5k)")</f>
        <v>Medium (5k-10k)</v>
      </c>
      <c r="U1242">
        <v>6759</v>
      </c>
      <c r="V1242">
        <v>1</v>
      </c>
      <c r="W1242" t="s">
        <v>35</v>
      </c>
      <c r="X1242">
        <v>19</v>
      </c>
      <c r="Y1242">
        <v>3</v>
      </c>
      <c r="Z1242">
        <v>3</v>
      </c>
      <c r="AA1242">
        <v>0</v>
      </c>
      <c r="AB1242">
        <v>20</v>
      </c>
      <c r="AC1242">
        <v>3</v>
      </c>
      <c r="AD1242" t="s">
        <v>79</v>
      </c>
      <c r="AE1242">
        <v>19</v>
      </c>
      <c r="AF1242" t="str" cm="1">
        <f t="array" ref="AF1242">_xlfn.IFS(AE1242&gt;=10,"Veteran (10y+)",AE1242&gt;=3,"Established (3-10y)",AE1242&lt;3,"New Hire (&lt;3y)")</f>
        <v>Veteran (10y+)</v>
      </c>
      <c r="AG1242">
        <v>10</v>
      </c>
      <c r="AH1242">
        <v>2</v>
      </c>
      <c r="AI1242">
        <v>7</v>
      </c>
    </row>
    <row r="1243" spans="1:35">
      <c r="A1243">
        <v>47</v>
      </c>
      <c r="B1243" t="str">
        <f t="shared" si="19"/>
        <v>Senior</v>
      </c>
      <c r="C1243">
        <v>0</v>
      </c>
      <c r="D1243" t="s">
        <v>36</v>
      </c>
      <c r="E1243">
        <v>955</v>
      </c>
      <c r="F1243" t="s">
        <v>37</v>
      </c>
      <c r="G1243">
        <v>4</v>
      </c>
      <c r="H1243" t="str" cm="1">
        <f t="array" ref="H1243">_xlfn.IFS(G1243&gt;15,"Long Commute",G1243&gt;5,"Moderate",G1243&lt;=5,"Near Office")</f>
        <v>Near Office</v>
      </c>
      <c r="I1243" t="s">
        <v>76</v>
      </c>
      <c r="J1243" t="s">
        <v>38</v>
      </c>
      <c r="K1243">
        <v>4</v>
      </c>
      <c r="L1243" t="s">
        <v>39</v>
      </c>
      <c r="M1243">
        <v>83</v>
      </c>
      <c r="N1243">
        <v>3</v>
      </c>
      <c r="O1243">
        <v>2</v>
      </c>
      <c r="P1243" t="s">
        <v>40</v>
      </c>
      <c r="Q1243" t="s">
        <v>77</v>
      </c>
      <c r="R1243" t="s">
        <v>41</v>
      </c>
      <c r="S1243">
        <v>4163</v>
      </c>
      <c r="T1243" t="str" cm="1">
        <f t="array" ref="T1243">_xlfn.IFS(S1243&gt;=10000,"High (&gt;10k)",S1243&gt;=5000,"Medium (5k-10k)",S1243&lt;5000,"Low (&lt;5k)")</f>
        <v>Low (&lt;5k)</v>
      </c>
      <c r="U1243">
        <v>8571</v>
      </c>
      <c r="V1243">
        <v>1</v>
      </c>
      <c r="W1243" t="s">
        <v>35</v>
      </c>
      <c r="X1243">
        <v>17</v>
      </c>
      <c r="Y1243">
        <v>3</v>
      </c>
      <c r="Z1243">
        <v>3</v>
      </c>
      <c r="AA1243">
        <v>0</v>
      </c>
      <c r="AB1243">
        <v>9</v>
      </c>
      <c r="AC1243">
        <v>0</v>
      </c>
      <c r="AD1243" t="s">
        <v>74</v>
      </c>
      <c r="AE1243">
        <v>9</v>
      </c>
      <c r="AF1243" t="str" cm="1">
        <f t="array" ref="AF1243">_xlfn.IFS(AE1243&gt;=10,"Veteran (10y+)",AE1243&gt;=3,"Established (3-10y)",AE1243&lt;3,"New Hire (&lt;3y)")</f>
        <v>Established (3-10y)</v>
      </c>
      <c r="AG1243">
        <v>0</v>
      </c>
      <c r="AH1243">
        <v>0</v>
      </c>
      <c r="AI1243">
        <v>7</v>
      </c>
    </row>
    <row r="1244" spans="1:35">
      <c r="A1244">
        <v>47</v>
      </c>
      <c r="B1244" t="str">
        <f t="shared" si="19"/>
        <v>Senior</v>
      </c>
      <c r="C1244">
        <v>0</v>
      </c>
      <c r="D1244" t="s">
        <v>36</v>
      </c>
      <c r="E1244">
        <v>465</v>
      </c>
      <c r="F1244" t="s">
        <v>45</v>
      </c>
      <c r="G1244">
        <v>1</v>
      </c>
      <c r="H1244" t="str" cm="1">
        <f t="array" ref="H1244">_xlfn.IFS(G1244&gt;15,"Long Commute",G1244&gt;5,"Moderate",G1244&lt;=5,"Near Office")</f>
        <v>Near Office</v>
      </c>
      <c r="I1244" t="s">
        <v>72</v>
      </c>
      <c r="J1244" t="s">
        <v>60</v>
      </c>
      <c r="K1244">
        <v>1</v>
      </c>
      <c r="L1244" t="s">
        <v>46</v>
      </c>
      <c r="M1244">
        <v>74</v>
      </c>
      <c r="N1244">
        <v>3</v>
      </c>
      <c r="O1244">
        <v>1</v>
      </c>
      <c r="P1244" t="s">
        <v>47</v>
      </c>
      <c r="Q1244" t="s">
        <v>77</v>
      </c>
      <c r="R1244" t="s">
        <v>48</v>
      </c>
      <c r="S1244">
        <v>3420</v>
      </c>
      <c r="T1244" t="str" cm="1">
        <f t="array" ref="T1244">_xlfn.IFS(S1244&gt;=10000,"High (&gt;10k)",S1244&gt;=5000,"Medium (5k-10k)",S1244&lt;5000,"Low (&lt;5k)")</f>
        <v>Low (&lt;5k)</v>
      </c>
      <c r="U1244">
        <v>10205</v>
      </c>
      <c r="V1244">
        <v>7</v>
      </c>
      <c r="W1244" t="s">
        <v>43</v>
      </c>
      <c r="X1244">
        <v>12</v>
      </c>
      <c r="Y1244">
        <v>3</v>
      </c>
      <c r="Z1244">
        <v>3</v>
      </c>
      <c r="AA1244">
        <v>1</v>
      </c>
      <c r="AB1244">
        <v>17</v>
      </c>
      <c r="AC1244">
        <v>2</v>
      </c>
      <c r="AD1244" t="s">
        <v>81</v>
      </c>
      <c r="AE1244">
        <v>6</v>
      </c>
      <c r="AF1244" t="str" cm="1">
        <f t="array" ref="AF1244">_xlfn.IFS(AE1244&gt;=10,"Veteran (10y+)",AE1244&gt;=3,"Established (3-10y)",AE1244&lt;3,"New Hire (&lt;3y)")</f>
        <v>Established (3-10y)</v>
      </c>
      <c r="AG1244">
        <v>5</v>
      </c>
      <c r="AH1244">
        <v>1</v>
      </c>
      <c r="AI1244">
        <v>2</v>
      </c>
    </row>
    <row r="1245" spans="1:35">
      <c r="A1245">
        <v>47</v>
      </c>
      <c r="B1245" t="str">
        <f t="shared" si="19"/>
        <v>Senior</v>
      </c>
      <c r="C1245">
        <v>0</v>
      </c>
      <c r="D1245" t="s">
        <v>36</v>
      </c>
      <c r="E1245">
        <v>359</v>
      </c>
      <c r="F1245" t="s">
        <v>45</v>
      </c>
      <c r="G1245">
        <v>2</v>
      </c>
      <c r="H1245" t="str" cm="1">
        <f t="array" ref="H1245">_xlfn.IFS(G1245&gt;15,"Long Commute",G1245&gt;5,"Moderate",G1245&lt;=5,"Near Office")</f>
        <v>Near Office</v>
      </c>
      <c r="I1245" t="s">
        <v>83</v>
      </c>
      <c r="J1245" t="s">
        <v>51</v>
      </c>
      <c r="K1245">
        <v>1</v>
      </c>
      <c r="L1245" t="s">
        <v>39</v>
      </c>
      <c r="M1245">
        <v>82</v>
      </c>
      <c r="N1245">
        <v>3</v>
      </c>
      <c r="O1245">
        <v>4</v>
      </c>
      <c r="P1245" t="s">
        <v>58</v>
      </c>
      <c r="Q1245" t="s">
        <v>73</v>
      </c>
      <c r="R1245" t="s">
        <v>48</v>
      </c>
      <c r="S1245">
        <v>17169</v>
      </c>
      <c r="T1245" t="str" cm="1">
        <f t="array" ref="T1245">_xlfn.IFS(S1245&gt;=10000,"High (&gt;10k)",S1245&gt;=5000,"Medium (5k-10k)",S1245&lt;5000,"Low (&lt;5k)")</f>
        <v>High (&gt;10k)</v>
      </c>
      <c r="U1245">
        <v>26703</v>
      </c>
      <c r="V1245">
        <v>3</v>
      </c>
      <c r="W1245" t="s">
        <v>43</v>
      </c>
      <c r="X1245">
        <v>19</v>
      </c>
      <c r="Y1245">
        <v>3</v>
      </c>
      <c r="Z1245">
        <v>2</v>
      </c>
      <c r="AA1245">
        <v>2</v>
      </c>
      <c r="AB1245">
        <v>26</v>
      </c>
      <c r="AC1245">
        <v>2</v>
      </c>
      <c r="AD1245" t="s">
        <v>79</v>
      </c>
      <c r="AE1245">
        <v>20</v>
      </c>
      <c r="AF1245" t="str" cm="1">
        <f t="array" ref="AF1245">_xlfn.IFS(AE1245&gt;=10,"Veteran (10y+)",AE1245&gt;=3,"Established (3-10y)",AE1245&lt;3,"New Hire (&lt;3y)")</f>
        <v>Veteran (10y+)</v>
      </c>
      <c r="AG1245">
        <v>17</v>
      </c>
      <c r="AH1245">
        <v>5</v>
      </c>
      <c r="AI1245">
        <v>6</v>
      </c>
    </row>
    <row r="1246" spans="1:35">
      <c r="A1246">
        <v>47</v>
      </c>
      <c r="B1246" t="str">
        <f t="shared" si="19"/>
        <v>Senior</v>
      </c>
      <c r="C1246">
        <v>0</v>
      </c>
      <c r="D1246" t="s">
        <v>36</v>
      </c>
      <c r="E1246">
        <v>571</v>
      </c>
      <c r="F1246" t="s">
        <v>37</v>
      </c>
      <c r="G1246">
        <v>14</v>
      </c>
      <c r="H1246" t="str" cm="1">
        <f t="array" ref="H1246">_xlfn.IFS(G1246&gt;15,"Long Commute",G1246&gt;5,"Moderate",G1246&lt;=5,"Near Office")</f>
        <v>Moderate</v>
      </c>
      <c r="I1246" t="s">
        <v>72</v>
      </c>
      <c r="J1246" t="s">
        <v>51</v>
      </c>
      <c r="K1246">
        <v>3</v>
      </c>
      <c r="L1246" t="s">
        <v>39</v>
      </c>
      <c r="M1246">
        <v>78</v>
      </c>
      <c r="N1246">
        <v>3</v>
      </c>
      <c r="O1246">
        <v>2</v>
      </c>
      <c r="P1246" t="s">
        <v>40</v>
      </c>
      <c r="Q1246" t="s">
        <v>73</v>
      </c>
      <c r="R1246" t="s">
        <v>48</v>
      </c>
      <c r="S1246">
        <v>4591</v>
      </c>
      <c r="T1246" t="str" cm="1">
        <f t="array" ref="T1246">_xlfn.IFS(S1246&gt;=10000,"High (&gt;10k)",S1246&gt;=5000,"Medium (5k-10k)",S1246&lt;5000,"Low (&lt;5k)")</f>
        <v>Low (&lt;5k)</v>
      </c>
      <c r="U1246">
        <v>24200</v>
      </c>
      <c r="V1246">
        <v>3</v>
      </c>
      <c r="W1246" t="s">
        <v>35</v>
      </c>
      <c r="X1246">
        <v>17</v>
      </c>
      <c r="Y1246">
        <v>3</v>
      </c>
      <c r="Z1246">
        <v>3</v>
      </c>
      <c r="AA1246">
        <v>1</v>
      </c>
      <c r="AB1246">
        <v>11</v>
      </c>
      <c r="AC1246">
        <v>4</v>
      </c>
      <c r="AD1246" t="s">
        <v>81</v>
      </c>
      <c r="AE1246">
        <v>5</v>
      </c>
      <c r="AF1246" t="str" cm="1">
        <f t="array" ref="AF1246">_xlfn.IFS(AE1246&gt;=10,"Veteran (10y+)",AE1246&gt;=3,"Established (3-10y)",AE1246&lt;3,"New Hire (&lt;3y)")</f>
        <v>Established (3-10y)</v>
      </c>
      <c r="AG1246">
        <v>4</v>
      </c>
      <c r="AH1246">
        <v>1</v>
      </c>
      <c r="AI1246">
        <v>2</v>
      </c>
    </row>
    <row r="1247" spans="1:35">
      <c r="A1247">
        <v>47</v>
      </c>
      <c r="B1247" t="str">
        <f t="shared" si="19"/>
        <v>Senior</v>
      </c>
      <c r="C1247">
        <v>0</v>
      </c>
      <c r="D1247" t="s">
        <v>36</v>
      </c>
      <c r="E1247">
        <v>1176</v>
      </c>
      <c r="F1247" t="s">
        <v>61</v>
      </c>
      <c r="G1247">
        <v>26</v>
      </c>
      <c r="H1247" t="str" cm="1">
        <f t="array" ref="H1247">_xlfn.IFS(G1247&gt;15,"Long Commute",G1247&gt;5,"Moderate",G1247&lt;=5,"Near Office")</f>
        <v>Long Commute</v>
      </c>
      <c r="I1247" t="s">
        <v>83</v>
      </c>
      <c r="J1247" t="s">
        <v>38</v>
      </c>
      <c r="K1247">
        <v>4</v>
      </c>
      <c r="L1247" t="s">
        <v>39</v>
      </c>
      <c r="M1247">
        <v>98</v>
      </c>
      <c r="N1247">
        <v>3</v>
      </c>
      <c r="O1247">
        <v>5</v>
      </c>
      <c r="P1247" t="s">
        <v>56</v>
      </c>
      <c r="Q1247" t="s">
        <v>73</v>
      </c>
      <c r="R1247" t="s">
        <v>48</v>
      </c>
      <c r="S1247">
        <v>19658</v>
      </c>
      <c r="T1247" t="str" cm="1">
        <f t="array" ref="T1247">_xlfn.IFS(S1247&gt;=10000,"High (&gt;10k)",S1247&gt;=5000,"Medium (5k-10k)",S1247&lt;5000,"Low (&lt;5k)")</f>
        <v>High (&gt;10k)</v>
      </c>
      <c r="U1247">
        <v>5220</v>
      </c>
      <c r="V1247">
        <v>3</v>
      </c>
      <c r="W1247" t="s">
        <v>43</v>
      </c>
      <c r="X1247">
        <v>11</v>
      </c>
      <c r="Y1247">
        <v>3</v>
      </c>
      <c r="Z1247">
        <v>3</v>
      </c>
      <c r="AA1247">
        <v>1</v>
      </c>
      <c r="AB1247">
        <v>27</v>
      </c>
      <c r="AC1247">
        <v>2</v>
      </c>
      <c r="AD1247" t="s">
        <v>74</v>
      </c>
      <c r="AE1247">
        <v>5</v>
      </c>
      <c r="AF1247" t="str" cm="1">
        <f t="array" ref="AF1247">_xlfn.IFS(AE1247&gt;=10,"Veteran (10y+)",AE1247&gt;=3,"Established (3-10y)",AE1247&lt;3,"New Hire (&lt;3y)")</f>
        <v>Established (3-10y)</v>
      </c>
      <c r="AG1247">
        <v>2</v>
      </c>
      <c r="AH1247">
        <v>1</v>
      </c>
      <c r="AI1247">
        <v>0</v>
      </c>
    </row>
    <row r="1248" spans="1:35">
      <c r="A1248">
        <v>47</v>
      </c>
      <c r="B1248" t="str">
        <f t="shared" si="19"/>
        <v>Senior</v>
      </c>
      <c r="C1248">
        <v>0</v>
      </c>
      <c r="D1248" t="s">
        <v>36</v>
      </c>
      <c r="E1248">
        <v>1225</v>
      </c>
      <c r="F1248" t="s">
        <v>37</v>
      </c>
      <c r="G1248">
        <v>2</v>
      </c>
      <c r="H1248" t="str" cm="1">
        <f t="array" ref="H1248">_xlfn.IFS(G1248&gt;15,"Long Commute",G1248&gt;5,"Moderate",G1248&lt;=5,"Near Office")</f>
        <v>Near Office</v>
      </c>
      <c r="I1248" t="s">
        <v>83</v>
      </c>
      <c r="J1248" t="s">
        <v>38</v>
      </c>
      <c r="K1248">
        <v>2</v>
      </c>
      <c r="L1248" t="s">
        <v>39</v>
      </c>
      <c r="M1248">
        <v>47</v>
      </c>
      <c r="N1248">
        <v>4</v>
      </c>
      <c r="O1248">
        <v>4</v>
      </c>
      <c r="P1248" t="s">
        <v>56</v>
      </c>
      <c r="Q1248" t="s">
        <v>75</v>
      </c>
      <c r="R1248" t="s">
        <v>52</v>
      </c>
      <c r="S1248">
        <v>15972</v>
      </c>
      <c r="T1248" t="str" cm="1">
        <f t="array" ref="T1248">_xlfn.IFS(S1248&gt;=10000,"High (&gt;10k)",S1248&gt;=5000,"Medium (5k-10k)",S1248&lt;5000,"Low (&lt;5k)")</f>
        <v>High (&gt;10k)</v>
      </c>
      <c r="U1248">
        <v>21086</v>
      </c>
      <c r="V1248">
        <v>6</v>
      </c>
      <c r="W1248" t="s">
        <v>43</v>
      </c>
      <c r="X1248">
        <v>14</v>
      </c>
      <c r="Y1248">
        <v>3</v>
      </c>
      <c r="Z1248">
        <v>3</v>
      </c>
      <c r="AA1248">
        <v>3</v>
      </c>
      <c r="AB1248">
        <v>29</v>
      </c>
      <c r="AC1248">
        <v>2</v>
      </c>
      <c r="AD1248" t="s">
        <v>74</v>
      </c>
      <c r="AE1248">
        <v>3</v>
      </c>
      <c r="AF1248" t="str" cm="1">
        <f t="array" ref="AF1248">_xlfn.IFS(AE1248&gt;=10,"Veteran (10y+)",AE1248&gt;=3,"Established (3-10y)",AE1248&lt;3,"New Hire (&lt;3y)")</f>
        <v>Established (3-10y)</v>
      </c>
      <c r="AG1248">
        <v>2</v>
      </c>
      <c r="AH1248">
        <v>1</v>
      </c>
      <c r="AI1248">
        <v>2</v>
      </c>
    </row>
    <row r="1249" spans="1:35">
      <c r="A1249">
        <v>47</v>
      </c>
      <c r="B1249" t="str">
        <f t="shared" si="19"/>
        <v>Senior</v>
      </c>
      <c r="C1249">
        <v>1</v>
      </c>
      <c r="D1249" t="s">
        <v>44</v>
      </c>
      <c r="E1249">
        <v>1093</v>
      </c>
      <c r="F1249" t="s">
        <v>37</v>
      </c>
      <c r="G1249">
        <v>9</v>
      </c>
      <c r="H1249" t="str" cm="1">
        <f t="array" ref="H1249">_xlfn.IFS(G1249&gt;15,"Long Commute",G1249&gt;5,"Moderate",G1249&lt;=5,"Near Office")</f>
        <v>Moderate</v>
      </c>
      <c r="I1249" t="s">
        <v>72</v>
      </c>
      <c r="J1249" t="s">
        <v>38</v>
      </c>
      <c r="K1249">
        <v>3</v>
      </c>
      <c r="L1249" t="s">
        <v>46</v>
      </c>
      <c r="M1249">
        <v>82</v>
      </c>
      <c r="N1249">
        <v>1</v>
      </c>
      <c r="O1249">
        <v>4</v>
      </c>
      <c r="P1249" t="s">
        <v>40</v>
      </c>
      <c r="Q1249" t="s">
        <v>73</v>
      </c>
      <c r="R1249" t="s">
        <v>48</v>
      </c>
      <c r="S1249">
        <v>12936</v>
      </c>
      <c r="T1249" t="str" cm="1">
        <f t="array" ref="T1249">_xlfn.IFS(S1249&gt;=10000,"High (&gt;10k)",S1249&gt;=5000,"Medium (5k-10k)",S1249&lt;5000,"Low (&lt;5k)")</f>
        <v>High (&gt;10k)</v>
      </c>
      <c r="U1249">
        <v>24164</v>
      </c>
      <c r="V1249">
        <v>7</v>
      </c>
      <c r="W1249" t="s">
        <v>43</v>
      </c>
      <c r="X1249">
        <v>11</v>
      </c>
      <c r="Y1249">
        <v>3</v>
      </c>
      <c r="Z1249">
        <v>3</v>
      </c>
      <c r="AA1249">
        <v>0</v>
      </c>
      <c r="AB1249">
        <v>25</v>
      </c>
      <c r="AC1249">
        <v>3</v>
      </c>
      <c r="AD1249" t="s">
        <v>80</v>
      </c>
      <c r="AE1249">
        <v>23</v>
      </c>
      <c r="AF1249" t="str" cm="1">
        <f t="array" ref="AF1249">_xlfn.IFS(AE1249&gt;=10,"Veteran (10y+)",AE1249&gt;=3,"Established (3-10y)",AE1249&lt;3,"New Hire (&lt;3y)")</f>
        <v>Veteran (10y+)</v>
      </c>
      <c r="AG1249">
        <v>5</v>
      </c>
      <c r="AH1249">
        <v>14</v>
      </c>
      <c r="AI1249">
        <v>10</v>
      </c>
    </row>
    <row r="1250" spans="1:35">
      <c r="A1250">
        <v>47</v>
      </c>
      <c r="B1250" t="str">
        <f t="shared" si="19"/>
        <v>Senior</v>
      </c>
      <c r="C1250">
        <v>0</v>
      </c>
      <c r="D1250" t="s">
        <v>55</v>
      </c>
      <c r="E1250">
        <v>543</v>
      </c>
      <c r="F1250" t="s">
        <v>37</v>
      </c>
      <c r="G1250">
        <v>2</v>
      </c>
      <c r="H1250" t="str" cm="1">
        <f t="array" ref="H1250">_xlfn.IFS(G1250&gt;15,"Long Commute",G1250&gt;5,"Moderate",G1250&lt;=5,"Near Office")</f>
        <v>Near Office</v>
      </c>
      <c r="I1250" t="s">
        <v>83</v>
      </c>
      <c r="J1250" t="s">
        <v>59</v>
      </c>
      <c r="K1250">
        <v>3</v>
      </c>
      <c r="L1250" t="s">
        <v>46</v>
      </c>
      <c r="M1250">
        <v>87</v>
      </c>
      <c r="N1250">
        <v>3</v>
      </c>
      <c r="O1250">
        <v>2</v>
      </c>
      <c r="P1250" t="s">
        <v>40</v>
      </c>
      <c r="Q1250" t="s">
        <v>75</v>
      </c>
      <c r="R1250" t="s">
        <v>48</v>
      </c>
      <c r="S1250">
        <v>4978</v>
      </c>
      <c r="T1250" t="str" cm="1">
        <f t="array" ref="T1250">_xlfn.IFS(S1250&gt;=10000,"High (&gt;10k)",S1250&gt;=5000,"Medium (5k-10k)",S1250&lt;5000,"Low (&lt;5k)")</f>
        <v>Low (&lt;5k)</v>
      </c>
      <c r="U1250">
        <v>3536</v>
      </c>
      <c r="V1250">
        <v>7</v>
      </c>
      <c r="W1250" t="s">
        <v>43</v>
      </c>
      <c r="X1250">
        <v>11</v>
      </c>
      <c r="Y1250">
        <v>3</v>
      </c>
      <c r="Z1250">
        <v>4</v>
      </c>
      <c r="AA1250">
        <v>1</v>
      </c>
      <c r="AB1250">
        <v>4</v>
      </c>
      <c r="AC1250">
        <v>3</v>
      </c>
      <c r="AD1250" t="s">
        <v>80</v>
      </c>
      <c r="AE1250">
        <v>1</v>
      </c>
      <c r="AF1250" t="str" cm="1">
        <f t="array" ref="AF1250">_xlfn.IFS(AE1250&gt;=10,"Veteran (10y+)",AE1250&gt;=3,"Established (3-10y)",AE1250&lt;3,"New Hire (&lt;3y)")</f>
        <v>New Hire (&lt;3y)</v>
      </c>
      <c r="AG1250">
        <v>0</v>
      </c>
      <c r="AH1250">
        <v>0</v>
      </c>
      <c r="AI1250">
        <v>0</v>
      </c>
    </row>
    <row r="1251" spans="1:35">
      <c r="A1251">
        <v>47</v>
      </c>
      <c r="B1251" t="str">
        <f t="shared" si="19"/>
        <v>Senior</v>
      </c>
      <c r="C1251">
        <v>0</v>
      </c>
      <c r="D1251" t="s">
        <v>36</v>
      </c>
      <c r="E1251">
        <v>1001</v>
      </c>
      <c r="F1251" t="s">
        <v>45</v>
      </c>
      <c r="G1251">
        <v>4</v>
      </c>
      <c r="H1251" t="str" cm="1">
        <f t="array" ref="H1251">_xlfn.IFS(G1251&gt;15,"Long Commute",G1251&gt;5,"Moderate",G1251&lt;=5,"Near Office")</f>
        <v>Near Office</v>
      </c>
      <c r="I1251" t="s">
        <v>72</v>
      </c>
      <c r="J1251" t="s">
        <v>38</v>
      </c>
      <c r="K1251">
        <v>3</v>
      </c>
      <c r="L1251" t="s">
        <v>39</v>
      </c>
      <c r="M1251">
        <v>92</v>
      </c>
      <c r="N1251">
        <v>2</v>
      </c>
      <c r="O1251">
        <v>3</v>
      </c>
      <c r="P1251" t="s">
        <v>53</v>
      </c>
      <c r="Q1251" t="s">
        <v>75</v>
      </c>
      <c r="R1251" t="s">
        <v>52</v>
      </c>
      <c r="S1251">
        <v>10333</v>
      </c>
      <c r="T1251" t="str" cm="1">
        <f t="array" ref="T1251">_xlfn.IFS(S1251&gt;=10000,"High (&gt;10k)",S1251&gt;=5000,"Medium (5k-10k)",S1251&lt;5000,"Low (&lt;5k)")</f>
        <v>High (&gt;10k)</v>
      </c>
      <c r="U1251">
        <v>19271</v>
      </c>
      <c r="V1251">
        <v>8</v>
      </c>
      <c r="W1251" t="s">
        <v>35</v>
      </c>
      <c r="X1251">
        <v>12</v>
      </c>
      <c r="Y1251">
        <v>3</v>
      </c>
      <c r="Z1251">
        <v>3</v>
      </c>
      <c r="AA1251">
        <v>1</v>
      </c>
      <c r="AB1251">
        <v>28</v>
      </c>
      <c r="AC1251">
        <v>4</v>
      </c>
      <c r="AD1251" t="s">
        <v>74</v>
      </c>
      <c r="AE1251">
        <v>22</v>
      </c>
      <c r="AF1251" t="str" cm="1">
        <f t="array" ref="AF1251">_xlfn.IFS(AE1251&gt;=10,"Veteran (10y+)",AE1251&gt;=3,"Established (3-10y)",AE1251&lt;3,"New Hire (&lt;3y)")</f>
        <v>Veteran (10y+)</v>
      </c>
      <c r="AG1251">
        <v>11</v>
      </c>
      <c r="AH1251">
        <v>14</v>
      </c>
      <c r="AI1251">
        <v>10</v>
      </c>
    </row>
    <row r="1252" spans="1:35">
      <c r="A1252">
        <v>47</v>
      </c>
      <c r="B1252" t="str">
        <f t="shared" si="19"/>
        <v>Senior</v>
      </c>
      <c r="C1252">
        <v>0</v>
      </c>
      <c r="D1252" t="s">
        <v>36</v>
      </c>
      <c r="E1252">
        <v>207</v>
      </c>
      <c r="F1252" t="s">
        <v>45</v>
      </c>
      <c r="G1252">
        <v>9</v>
      </c>
      <c r="H1252" t="str" cm="1">
        <f t="array" ref="H1252">_xlfn.IFS(G1252&gt;15,"Long Commute",G1252&gt;5,"Moderate",G1252&lt;=5,"Near Office")</f>
        <v>Moderate</v>
      </c>
      <c r="I1252" t="s">
        <v>83</v>
      </c>
      <c r="J1252" t="s">
        <v>38</v>
      </c>
      <c r="K1252">
        <v>2</v>
      </c>
      <c r="L1252" t="s">
        <v>39</v>
      </c>
      <c r="M1252">
        <v>64</v>
      </c>
      <c r="N1252">
        <v>3</v>
      </c>
      <c r="O1252">
        <v>1</v>
      </c>
      <c r="P1252" t="s">
        <v>50</v>
      </c>
      <c r="Q1252" t="s">
        <v>73</v>
      </c>
      <c r="R1252" t="s">
        <v>41</v>
      </c>
      <c r="S1252">
        <v>2105</v>
      </c>
      <c r="T1252" t="str" cm="1">
        <f t="array" ref="T1252">_xlfn.IFS(S1252&gt;=10000,"High (&gt;10k)",S1252&gt;=5000,"Medium (5k-10k)",S1252&lt;5000,"Low (&lt;5k)")</f>
        <v>Low (&lt;5k)</v>
      </c>
      <c r="U1252">
        <v>5411</v>
      </c>
      <c r="V1252">
        <v>4</v>
      </c>
      <c r="W1252" t="s">
        <v>43</v>
      </c>
      <c r="X1252">
        <v>12</v>
      </c>
      <c r="Y1252">
        <v>3</v>
      </c>
      <c r="Z1252">
        <v>3</v>
      </c>
      <c r="AA1252">
        <v>0</v>
      </c>
      <c r="AB1252">
        <v>7</v>
      </c>
      <c r="AC1252">
        <v>2</v>
      </c>
      <c r="AD1252" t="s">
        <v>74</v>
      </c>
      <c r="AE1252">
        <v>2</v>
      </c>
      <c r="AF1252" t="str" cm="1">
        <f t="array" ref="AF1252">_xlfn.IFS(AE1252&gt;=10,"Veteran (10y+)",AE1252&gt;=3,"Established (3-10y)",AE1252&lt;3,"New Hire (&lt;3y)")</f>
        <v>New Hire (&lt;3y)</v>
      </c>
      <c r="AG1252">
        <v>2</v>
      </c>
      <c r="AH1252">
        <v>2</v>
      </c>
      <c r="AI1252">
        <v>0</v>
      </c>
    </row>
    <row r="1253" spans="1:35">
      <c r="A1253">
        <v>47</v>
      </c>
      <c r="B1253" t="str">
        <f t="shared" si="19"/>
        <v>Senior</v>
      </c>
      <c r="C1253">
        <v>0</v>
      </c>
      <c r="D1253" t="s">
        <v>55</v>
      </c>
      <c r="E1253">
        <v>1169</v>
      </c>
      <c r="F1253" t="s">
        <v>45</v>
      </c>
      <c r="G1253">
        <v>14</v>
      </c>
      <c r="H1253" t="str" cm="1">
        <f t="array" ref="H1253">_xlfn.IFS(G1253&gt;15,"Long Commute",G1253&gt;5,"Moderate",G1253&lt;=5,"Near Office")</f>
        <v>Moderate</v>
      </c>
      <c r="I1253" t="s">
        <v>83</v>
      </c>
      <c r="J1253" t="s">
        <v>60</v>
      </c>
      <c r="K1253">
        <v>3</v>
      </c>
      <c r="L1253" t="s">
        <v>46</v>
      </c>
      <c r="M1253">
        <v>64</v>
      </c>
      <c r="N1253">
        <v>3</v>
      </c>
      <c r="O1253">
        <v>2</v>
      </c>
      <c r="P1253" t="s">
        <v>47</v>
      </c>
      <c r="Q1253" t="s">
        <v>75</v>
      </c>
      <c r="R1253" t="s">
        <v>48</v>
      </c>
      <c r="S1253">
        <v>5467</v>
      </c>
      <c r="T1253" t="str" cm="1">
        <f t="array" ref="T1253">_xlfn.IFS(S1253&gt;=10000,"High (&gt;10k)",S1253&gt;=5000,"Medium (5k-10k)",S1253&lt;5000,"Low (&lt;5k)")</f>
        <v>Medium (5k-10k)</v>
      </c>
      <c r="U1253">
        <v>2125</v>
      </c>
      <c r="V1253">
        <v>8</v>
      </c>
      <c r="W1253" t="s">
        <v>43</v>
      </c>
      <c r="X1253">
        <v>18</v>
      </c>
      <c r="Y1253">
        <v>3</v>
      </c>
      <c r="Z1253">
        <v>3</v>
      </c>
      <c r="AA1253">
        <v>1</v>
      </c>
      <c r="AB1253">
        <v>16</v>
      </c>
      <c r="AC1253">
        <v>4</v>
      </c>
      <c r="AD1253" t="s">
        <v>79</v>
      </c>
      <c r="AE1253">
        <v>8</v>
      </c>
      <c r="AF1253" t="str" cm="1">
        <f t="array" ref="AF1253">_xlfn.IFS(AE1253&gt;=10,"Veteran (10y+)",AE1253&gt;=3,"Established (3-10y)",AE1253&lt;3,"New Hire (&lt;3y)")</f>
        <v>Established (3-10y)</v>
      </c>
      <c r="AG1253">
        <v>7</v>
      </c>
      <c r="AH1253">
        <v>1</v>
      </c>
      <c r="AI1253">
        <v>7</v>
      </c>
    </row>
    <row r="1254" spans="1:35">
      <c r="A1254">
        <v>47</v>
      </c>
      <c r="B1254" t="str">
        <f t="shared" si="19"/>
        <v>Senior</v>
      </c>
      <c r="C1254">
        <v>0</v>
      </c>
      <c r="D1254" t="s">
        <v>36</v>
      </c>
      <c r="E1254">
        <v>1180</v>
      </c>
      <c r="F1254" t="s">
        <v>45</v>
      </c>
      <c r="G1254">
        <v>25</v>
      </c>
      <c r="H1254" t="str" cm="1">
        <f t="array" ref="H1254">_xlfn.IFS(G1254&gt;15,"Long Commute",G1254&gt;5,"Moderate",G1254&lt;=5,"Near Office")</f>
        <v>Long Commute</v>
      </c>
      <c r="I1254" t="s">
        <v>72</v>
      </c>
      <c r="J1254" t="s">
        <v>51</v>
      </c>
      <c r="K1254">
        <v>1</v>
      </c>
      <c r="L1254" t="s">
        <v>46</v>
      </c>
      <c r="M1254">
        <v>84</v>
      </c>
      <c r="N1254">
        <v>3</v>
      </c>
      <c r="O1254">
        <v>3</v>
      </c>
      <c r="P1254" t="s">
        <v>54</v>
      </c>
      <c r="Q1254" t="s">
        <v>73</v>
      </c>
      <c r="R1254" t="s">
        <v>41</v>
      </c>
      <c r="S1254">
        <v>8633</v>
      </c>
      <c r="T1254" t="str" cm="1">
        <f t="array" ref="T1254">_xlfn.IFS(S1254&gt;=10000,"High (&gt;10k)",S1254&gt;=5000,"Medium (5k-10k)",S1254&lt;5000,"Low (&lt;5k)")</f>
        <v>Medium (5k-10k)</v>
      </c>
      <c r="U1254">
        <v>13084</v>
      </c>
      <c r="V1254">
        <v>2</v>
      </c>
      <c r="W1254" t="s">
        <v>43</v>
      </c>
      <c r="X1254">
        <v>23</v>
      </c>
      <c r="Y1254">
        <v>4</v>
      </c>
      <c r="Z1254">
        <v>2</v>
      </c>
      <c r="AA1254">
        <v>0</v>
      </c>
      <c r="AB1254">
        <v>25</v>
      </c>
      <c r="AC1254">
        <v>3</v>
      </c>
      <c r="AD1254" t="s">
        <v>74</v>
      </c>
      <c r="AE1254">
        <v>17</v>
      </c>
      <c r="AF1254" t="str" cm="1">
        <f t="array" ref="AF1254">_xlfn.IFS(AE1254&gt;=10,"Veteran (10y+)",AE1254&gt;=3,"Established (3-10y)",AE1254&lt;3,"New Hire (&lt;3y)")</f>
        <v>Veteran (10y+)</v>
      </c>
      <c r="AG1254">
        <v>14</v>
      </c>
      <c r="AH1254">
        <v>12</v>
      </c>
      <c r="AI1254">
        <v>11</v>
      </c>
    </row>
    <row r="1255" spans="1:35">
      <c r="A1255">
        <v>47</v>
      </c>
      <c r="B1255" t="str">
        <f t="shared" si="19"/>
        <v>Senior</v>
      </c>
      <c r="C1255">
        <v>0</v>
      </c>
      <c r="D1255" t="s">
        <v>55</v>
      </c>
      <c r="E1255">
        <v>1162</v>
      </c>
      <c r="F1255" t="s">
        <v>45</v>
      </c>
      <c r="G1255">
        <v>1</v>
      </c>
      <c r="H1255" t="str" cm="1">
        <f t="array" ref="H1255">_xlfn.IFS(G1255&gt;15,"Long Commute",G1255&gt;5,"Moderate",G1255&lt;=5,"Near Office")</f>
        <v>Near Office</v>
      </c>
      <c r="I1255" t="s">
        <v>78</v>
      </c>
      <c r="J1255" t="s">
        <v>51</v>
      </c>
      <c r="K1255">
        <v>3</v>
      </c>
      <c r="L1255" t="s">
        <v>39</v>
      </c>
      <c r="M1255">
        <v>98</v>
      </c>
      <c r="N1255">
        <v>3</v>
      </c>
      <c r="O1255">
        <v>3</v>
      </c>
      <c r="P1255" t="s">
        <v>58</v>
      </c>
      <c r="Q1255" t="s">
        <v>75</v>
      </c>
      <c r="R1255" t="s">
        <v>48</v>
      </c>
      <c r="S1255">
        <v>11957</v>
      </c>
      <c r="T1255" t="str" cm="1">
        <f t="array" ref="T1255">_xlfn.IFS(S1255&gt;=10000,"High (&gt;10k)",S1255&gt;=5000,"Medium (5k-10k)",S1255&lt;5000,"Low (&lt;5k)")</f>
        <v>High (&gt;10k)</v>
      </c>
      <c r="U1255">
        <v>17231</v>
      </c>
      <c r="V1255">
        <v>0</v>
      </c>
      <c r="W1255" t="s">
        <v>43</v>
      </c>
      <c r="X1255">
        <v>18</v>
      </c>
      <c r="Y1255">
        <v>3</v>
      </c>
      <c r="Z1255">
        <v>1</v>
      </c>
      <c r="AA1255">
        <v>2</v>
      </c>
      <c r="AB1255">
        <v>14</v>
      </c>
      <c r="AC1255">
        <v>3</v>
      </c>
      <c r="AD1255" t="s">
        <v>80</v>
      </c>
      <c r="AE1255">
        <v>13</v>
      </c>
      <c r="AF1255" t="str" cm="1">
        <f t="array" ref="AF1255">_xlfn.IFS(AE1255&gt;=10,"Veteran (10y+)",AE1255&gt;=3,"Established (3-10y)",AE1255&lt;3,"New Hire (&lt;3y)")</f>
        <v>Veteran (10y+)</v>
      </c>
      <c r="AG1255">
        <v>8</v>
      </c>
      <c r="AH1255">
        <v>5</v>
      </c>
      <c r="AI1255">
        <v>12</v>
      </c>
    </row>
    <row r="1256" spans="1:35">
      <c r="A1256">
        <v>48</v>
      </c>
      <c r="B1256" t="str">
        <f t="shared" si="19"/>
        <v>Senior</v>
      </c>
      <c r="C1256">
        <v>1</v>
      </c>
      <c r="D1256" t="s">
        <v>36</v>
      </c>
      <c r="E1256">
        <v>626</v>
      </c>
      <c r="F1256" t="s">
        <v>45</v>
      </c>
      <c r="G1256">
        <v>1</v>
      </c>
      <c r="H1256" t="str" cm="1">
        <f t="array" ref="H1256">_xlfn.IFS(G1256&gt;15,"Long Commute",G1256&gt;5,"Moderate",G1256&lt;=5,"Near Office")</f>
        <v>Near Office</v>
      </c>
      <c r="I1256" t="s">
        <v>76</v>
      </c>
      <c r="J1256" t="s">
        <v>38</v>
      </c>
      <c r="K1256">
        <v>1</v>
      </c>
      <c r="L1256" t="s">
        <v>46</v>
      </c>
      <c r="M1256">
        <v>98</v>
      </c>
      <c r="N1256">
        <v>2</v>
      </c>
      <c r="O1256">
        <v>3</v>
      </c>
      <c r="P1256" t="s">
        <v>50</v>
      </c>
      <c r="Q1256" t="s">
        <v>73</v>
      </c>
      <c r="R1256" t="s">
        <v>41</v>
      </c>
      <c r="S1256">
        <v>5381</v>
      </c>
      <c r="T1256" t="str" cm="1">
        <f t="array" ref="T1256">_xlfn.IFS(S1256&gt;=10000,"High (&gt;10k)",S1256&gt;=5000,"Medium (5k-10k)",S1256&lt;5000,"Low (&lt;5k)")</f>
        <v>Medium (5k-10k)</v>
      </c>
      <c r="U1256">
        <v>19294</v>
      </c>
      <c r="V1256">
        <v>9</v>
      </c>
      <c r="W1256" t="s">
        <v>35</v>
      </c>
      <c r="X1256">
        <v>13</v>
      </c>
      <c r="Y1256">
        <v>3</v>
      </c>
      <c r="Z1256">
        <v>4</v>
      </c>
      <c r="AA1256">
        <v>0</v>
      </c>
      <c r="AB1256">
        <v>23</v>
      </c>
      <c r="AC1256">
        <v>2</v>
      </c>
      <c r="AD1256" t="s">
        <v>74</v>
      </c>
      <c r="AE1256">
        <v>1</v>
      </c>
      <c r="AF1256" t="str" cm="1">
        <f t="array" ref="AF1256">_xlfn.IFS(AE1256&gt;=10,"Veteran (10y+)",AE1256&gt;=3,"Established (3-10y)",AE1256&lt;3,"New Hire (&lt;3y)")</f>
        <v>New Hire (&lt;3y)</v>
      </c>
      <c r="AG1256">
        <v>0</v>
      </c>
      <c r="AH1256">
        <v>0</v>
      </c>
      <c r="AI1256">
        <v>0</v>
      </c>
    </row>
    <row r="1257" spans="1:35">
      <c r="A1257">
        <v>48</v>
      </c>
      <c r="B1257" t="str">
        <f t="shared" si="19"/>
        <v>Senior</v>
      </c>
      <c r="C1257">
        <v>0</v>
      </c>
      <c r="D1257" t="s">
        <v>36</v>
      </c>
      <c r="E1257">
        <v>530</v>
      </c>
      <c r="F1257" t="s">
        <v>37</v>
      </c>
      <c r="G1257">
        <v>29</v>
      </c>
      <c r="H1257" t="str" cm="1">
        <f t="array" ref="H1257">_xlfn.IFS(G1257&gt;15,"Long Commute",G1257&gt;5,"Moderate",G1257&lt;=5,"Near Office")</f>
        <v>Long Commute</v>
      </c>
      <c r="I1257" t="s">
        <v>78</v>
      </c>
      <c r="J1257" t="s">
        <v>51</v>
      </c>
      <c r="K1257">
        <v>1</v>
      </c>
      <c r="L1257" t="s">
        <v>39</v>
      </c>
      <c r="M1257">
        <v>91</v>
      </c>
      <c r="N1257">
        <v>3</v>
      </c>
      <c r="O1257">
        <v>3</v>
      </c>
      <c r="P1257" t="s">
        <v>56</v>
      </c>
      <c r="Q1257" t="s">
        <v>73</v>
      </c>
      <c r="R1257" t="s">
        <v>48</v>
      </c>
      <c r="S1257">
        <v>12504</v>
      </c>
      <c r="T1257" t="str" cm="1">
        <f t="array" ref="T1257">_xlfn.IFS(S1257&gt;=10000,"High (&gt;10k)",S1257&gt;=5000,"Medium (5k-10k)",S1257&lt;5000,"Low (&lt;5k)")</f>
        <v>High (&gt;10k)</v>
      </c>
      <c r="U1257">
        <v>23978</v>
      </c>
      <c r="V1257">
        <v>3</v>
      </c>
      <c r="W1257" t="s">
        <v>43</v>
      </c>
      <c r="X1257">
        <v>21</v>
      </c>
      <c r="Y1257">
        <v>4</v>
      </c>
      <c r="Z1257">
        <v>2</v>
      </c>
      <c r="AA1257">
        <v>1</v>
      </c>
      <c r="AB1257">
        <v>15</v>
      </c>
      <c r="AC1257">
        <v>3</v>
      </c>
      <c r="AD1257" t="s">
        <v>80</v>
      </c>
      <c r="AE1257">
        <v>0</v>
      </c>
      <c r="AF1257" t="str" cm="1">
        <f t="array" ref="AF1257">_xlfn.IFS(AE1257&gt;=10,"Veteran (10y+)",AE1257&gt;=3,"Established (3-10y)",AE1257&lt;3,"New Hire (&lt;3y)")</f>
        <v>New Hire (&lt;3y)</v>
      </c>
      <c r="AG1257">
        <v>0</v>
      </c>
      <c r="AH1257">
        <v>0</v>
      </c>
      <c r="AI1257">
        <v>0</v>
      </c>
    </row>
    <row r="1258" spans="1:35">
      <c r="A1258">
        <v>48</v>
      </c>
      <c r="B1258" t="str">
        <f t="shared" si="19"/>
        <v>Senior</v>
      </c>
      <c r="C1258">
        <v>0</v>
      </c>
      <c r="D1258" t="s">
        <v>36</v>
      </c>
      <c r="E1258">
        <v>163</v>
      </c>
      <c r="F1258" t="s">
        <v>37</v>
      </c>
      <c r="G1258">
        <v>2</v>
      </c>
      <c r="H1258" t="str" cm="1">
        <f t="array" ref="H1258">_xlfn.IFS(G1258&gt;15,"Long Commute",G1258&gt;5,"Moderate",G1258&lt;=5,"Near Office")</f>
        <v>Near Office</v>
      </c>
      <c r="I1258" t="s">
        <v>84</v>
      </c>
      <c r="J1258" t="s">
        <v>59</v>
      </c>
      <c r="K1258">
        <v>2</v>
      </c>
      <c r="L1258" t="s">
        <v>39</v>
      </c>
      <c r="M1258">
        <v>37</v>
      </c>
      <c r="N1258">
        <v>3</v>
      </c>
      <c r="O1258">
        <v>2</v>
      </c>
      <c r="P1258" t="s">
        <v>40</v>
      </c>
      <c r="Q1258" t="s">
        <v>77</v>
      </c>
      <c r="R1258" t="s">
        <v>48</v>
      </c>
      <c r="S1258">
        <v>4051</v>
      </c>
      <c r="T1258" t="str" cm="1">
        <f t="array" ref="T1258">_xlfn.IFS(S1258&gt;=10000,"High (&gt;10k)",S1258&gt;=5000,"Medium (5k-10k)",S1258&lt;5000,"Low (&lt;5k)")</f>
        <v>Low (&lt;5k)</v>
      </c>
      <c r="U1258">
        <v>19658</v>
      </c>
      <c r="V1258">
        <v>2</v>
      </c>
      <c r="W1258" t="s">
        <v>43</v>
      </c>
      <c r="X1258">
        <v>14</v>
      </c>
      <c r="Y1258">
        <v>3</v>
      </c>
      <c r="Z1258">
        <v>1</v>
      </c>
      <c r="AA1258">
        <v>1</v>
      </c>
      <c r="AB1258">
        <v>14</v>
      </c>
      <c r="AC1258">
        <v>2</v>
      </c>
      <c r="AD1258" t="s">
        <v>74</v>
      </c>
      <c r="AE1258">
        <v>9</v>
      </c>
      <c r="AF1258" t="str" cm="1">
        <f t="array" ref="AF1258">_xlfn.IFS(AE1258&gt;=10,"Veteran (10y+)",AE1258&gt;=3,"Established (3-10y)",AE1258&lt;3,"New Hire (&lt;3y)")</f>
        <v>Established (3-10y)</v>
      </c>
      <c r="AG1258">
        <v>7</v>
      </c>
      <c r="AH1258">
        <v>6</v>
      </c>
      <c r="AI1258">
        <v>7</v>
      </c>
    </row>
    <row r="1259" spans="1:35">
      <c r="A1259">
        <v>48</v>
      </c>
      <c r="B1259" t="str">
        <f t="shared" si="19"/>
        <v>Senior</v>
      </c>
      <c r="C1259">
        <v>0</v>
      </c>
      <c r="D1259" t="s">
        <v>36</v>
      </c>
      <c r="E1259">
        <v>1236</v>
      </c>
      <c r="F1259" t="s">
        <v>45</v>
      </c>
      <c r="G1259">
        <v>1</v>
      </c>
      <c r="H1259" t="str" cm="1">
        <f t="array" ref="H1259">_xlfn.IFS(G1259&gt;15,"Long Commute",G1259&gt;5,"Moderate",G1259&lt;=5,"Near Office")</f>
        <v>Near Office</v>
      </c>
      <c r="I1259" t="s">
        <v>83</v>
      </c>
      <c r="J1259" t="s">
        <v>38</v>
      </c>
      <c r="K1259">
        <v>4</v>
      </c>
      <c r="L1259" t="s">
        <v>39</v>
      </c>
      <c r="M1259">
        <v>40</v>
      </c>
      <c r="N1259">
        <v>2</v>
      </c>
      <c r="O1259">
        <v>4</v>
      </c>
      <c r="P1259" t="s">
        <v>56</v>
      </c>
      <c r="Q1259" t="s">
        <v>82</v>
      </c>
      <c r="R1259" t="s">
        <v>48</v>
      </c>
      <c r="S1259">
        <v>15402</v>
      </c>
      <c r="T1259" t="str" cm="1">
        <f t="array" ref="T1259">_xlfn.IFS(S1259&gt;=10000,"High (&gt;10k)",S1259&gt;=5000,"Medium (5k-10k)",S1259&lt;5000,"Low (&lt;5k)")</f>
        <v>High (&gt;10k)</v>
      </c>
      <c r="U1259">
        <v>17997</v>
      </c>
      <c r="V1259">
        <v>7</v>
      </c>
      <c r="W1259" t="s">
        <v>43</v>
      </c>
      <c r="X1259">
        <v>11</v>
      </c>
      <c r="Y1259">
        <v>3</v>
      </c>
      <c r="Z1259">
        <v>1</v>
      </c>
      <c r="AA1259">
        <v>1</v>
      </c>
      <c r="AB1259">
        <v>21</v>
      </c>
      <c r="AC1259">
        <v>3</v>
      </c>
      <c r="AD1259" t="s">
        <v>80</v>
      </c>
      <c r="AE1259">
        <v>3</v>
      </c>
      <c r="AF1259" t="str" cm="1">
        <f t="array" ref="AF1259">_xlfn.IFS(AE1259&gt;=10,"Veteran (10y+)",AE1259&gt;=3,"Established (3-10y)",AE1259&lt;3,"New Hire (&lt;3y)")</f>
        <v>Established (3-10y)</v>
      </c>
      <c r="AG1259">
        <v>2</v>
      </c>
      <c r="AH1259">
        <v>0</v>
      </c>
      <c r="AI1259">
        <v>2</v>
      </c>
    </row>
    <row r="1260" spans="1:35">
      <c r="A1260">
        <v>48</v>
      </c>
      <c r="B1260" t="str">
        <f t="shared" si="19"/>
        <v>Senior</v>
      </c>
      <c r="C1260">
        <v>0</v>
      </c>
      <c r="D1260" t="s">
        <v>36</v>
      </c>
      <c r="E1260">
        <v>817</v>
      </c>
      <c r="F1260" t="s">
        <v>37</v>
      </c>
      <c r="G1260">
        <v>2</v>
      </c>
      <c r="H1260" t="str" cm="1">
        <f t="array" ref="H1260">_xlfn.IFS(G1260&gt;15,"Long Commute",G1260&gt;5,"Moderate",G1260&lt;=5,"Near Office")</f>
        <v>Near Office</v>
      </c>
      <c r="I1260" t="s">
        <v>78</v>
      </c>
      <c r="J1260" t="s">
        <v>59</v>
      </c>
      <c r="K1260">
        <v>2</v>
      </c>
      <c r="L1260" t="s">
        <v>46</v>
      </c>
      <c r="M1260">
        <v>56</v>
      </c>
      <c r="N1260">
        <v>4</v>
      </c>
      <c r="O1260">
        <v>2</v>
      </c>
      <c r="P1260" t="s">
        <v>40</v>
      </c>
      <c r="Q1260" t="s">
        <v>75</v>
      </c>
      <c r="R1260" t="s">
        <v>48</v>
      </c>
      <c r="S1260">
        <v>8120</v>
      </c>
      <c r="T1260" t="str" cm="1">
        <f t="array" ref="T1260">_xlfn.IFS(S1260&gt;=10000,"High (&gt;10k)",S1260&gt;=5000,"Medium (5k-10k)",S1260&lt;5000,"Low (&lt;5k)")</f>
        <v>Medium (5k-10k)</v>
      </c>
      <c r="U1260">
        <v>18597</v>
      </c>
      <c r="V1260">
        <v>3</v>
      </c>
      <c r="W1260" t="s">
        <v>43</v>
      </c>
      <c r="X1260">
        <v>12</v>
      </c>
      <c r="Y1260">
        <v>3</v>
      </c>
      <c r="Z1260">
        <v>4</v>
      </c>
      <c r="AA1260">
        <v>0</v>
      </c>
      <c r="AB1260">
        <v>12</v>
      </c>
      <c r="AC1260">
        <v>3</v>
      </c>
      <c r="AD1260" t="s">
        <v>74</v>
      </c>
      <c r="AE1260">
        <v>2</v>
      </c>
      <c r="AF1260" t="str" cm="1">
        <f t="array" ref="AF1260">_xlfn.IFS(AE1260&gt;=10,"Veteran (10y+)",AE1260&gt;=3,"Established (3-10y)",AE1260&lt;3,"New Hire (&lt;3y)")</f>
        <v>New Hire (&lt;3y)</v>
      </c>
      <c r="AG1260">
        <v>2</v>
      </c>
      <c r="AH1260">
        <v>2</v>
      </c>
      <c r="AI1260">
        <v>2</v>
      </c>
    </row>
    <row r="1261" spans="1:35">
      <c r="A1261">
        <v>48</v>
      </c>
      <c r="B1261" t="str">
        <f t="shared" si="19"/>
        <v>Senior</v>
      </c>
      <c r="C1261">
        <v>0</v>
      </c>
      <c r="D1261" t="s">
        <v>36</v>
      </c>
      <c r="E1261">
        <v>1469</v>
      </c>
      <c r="F1261" t="s">
        <v>45</v>
      </c>
      <c r="G1261">
        <v>20</v>
      </c>
      <c r="H1261" t="str" cm="1">
        <f t="array" ref="H1261">_xlfn.IFS(G1261&gt;15,"Long Commute",G1261&gt;5,"Moderate",G1261&lt;=5,"Near Office")</f>
        <v>Long Commute</v>
      </c>
      <c r="I1261" t="s">
        <v>83</v>
      </c>
      <c r="J1261" t="s">
        <v>51</v>
      </c>
      <c r="K1261">
        <v>4</v>
      </c>
      <c r="L1261" t="s">
        <v>46</v>
      </c>
      <c r="M1261">
        <v>51</v>
      </c>
      <c r="N1261">
        <v>3</v>
      </c>
      <c r="O1261">
        <v>1</v>
      </c>
      <c r="P1261" t="s">
        <v>47</v>
      </c>
      <c r="Q1261" t="s">
        <v>73</v>
      </c>
      <c r="R1261" t="s">
        <v>48</v>
      </c>
      <c r="S1261">
        <v>2259</v>
      </c>
      <c r="T1261" t="str" cm="1">
        <f t="array" ref="T1261">_xlfn.IFS(S1261&gt;=10000,"High (&gt;10k)",S1261&gt;=5000,"Medium (5k-10k)",S1261&lt;5000,"Low (&lt;5k)")</f>
        <v>Low (&lt;5k)</v>
      </c>
      <c r="U1261">
        <v>5543</v>
      </c>
      <c r="V1261">
        <v>4</v>
      </c>
      <c r="W1261" t="s">
        <v>43</v>
      </c>
      <c r="X1261">
        <v>17</v>
      </c>
      <c r="Y1261">
        <v>3</v>
      </c>
      <c r="Z1261">
        <v>1</v>
      </c>
      <c r="AA1261">
        <v>2</v>
      </c>
      <c r="AB1261">
        <v>13</v>
      </c>
      <c r="AC1261">
        <v>2</v>
      </c>
      <c r="AD1261" t="s">
        <v>81</v>
      </c>
      <c r="AE1261">
        <v>0</v>
      </c>
      <c r="AF1261" t="str" cm="1">
        <f t="array" ref="AF1261">_xlfn.IFS(AE1261&gt;=10,"Veteran (10y+)",AE1261&gt;=3,"Established (3-10y)",AE1261&lt;3,"New Hire (&lt;3y)")</f>
        <v>New Hire (&lt;3y)</v>
      </c>
      <c r="AG1261">
        <v>0</v>
      </c>
      <c r="AH1261">
        <v>0</v>
      </c>
      <c r="AI1261">
        <v>0</v>
      </c>
    </row>
    <row r="1262" spans="1:35">
      <c r="A1262">
        <v>48</v>
      </c>
      <c r="B1262" t="str">
        <f t="shared" si="19"/>
        <v>Senior</v>
      </c>
      <c r="C1262">
        <v>0</v>
      </c>
      <c r="D1262" t="s">
        <v>36</v>
      </c>
      <c r="E1262">
        <v>277</v>
      </c>
      <c r="F1262" t="s">
        <v>45</v>
      </c>
      <c r="G1262">
        <v>6</v>
      </c>
      <c r="H1262" t="str" cm="1">
        <f t="array" ref="H1262">_xlfn.IFS(G1262&gt;15,"Long Commute",G1262&gt;5,"Moderate",G1262&lt;=5,"Near Office")</f>
        <v>Moderate</v>
      </c>
      <c r="I1262" t="s">
        <v>72</v>
      </c>
      <c r="J1262" t="s">
        <v>38</v>
      </c>
      <c r="K1262">
        <v>1</v>
      </c>
      <c r="L1262" t="s">
        <v>46</v>
      </c>
      <c r="M1262">
        <v>97</v>
      </c>
      <c r="N1262">
        <v>2</v>
      </c>
      <c r="O1262">
        <v>2</v>
      </c>
      <c r="P1262" t="s">
        <v>54</v>
      </c>
      <c r="Q1262" t="s">
        <v>73</v>
      </c>
      <c r="R1262" t="s">
        <v>41</v>
      </c>
      <c r="S1262">
        <v>4240</v>
      </c>
      <c r="T1262" t="str" cm="1">
        <f t="array" ref="T1262">_xlfn.IFS(S1262&gt;=10000,"High (&gt;10k)",S1262&gt;=5000,"Medium (5k-10k)",S1262&lt;5000,"Low (&lt;5k)")</f>
        <v>Low (&lt;5k)</v>
      </c>
      <c r="U1262">
        <v>13119</v>
      </c>
      <c r="V1262">
        <v>2</v>
      </c>
      <c r="W1262" t="s">
        <v>43</v>
      </c>
      <c r="X1262">
        <v>13</v>
      </c>
      <c r="Y1262">
        <v>3</v>
      </c>
      <c r="Z1262">
        <v>4</v>
      </c>
      <c r="AA1262">
        <v>0</v>
      </c>
      <c r="AB1262">
        <v>19</v>
      </c>
      <c r="AC1262">
        <v>0</v>
      </c>
      <c r="AD1262" t="s">
        <v>74</v>
      </c>
      <c r="AE1262">
        <v>2</v>
      </c>
      <c r="AF1262" t="str" cm="1">
        <f t="array" ref="AF1262">_xlfn.IFS(AE1262&gt;=10,"Veteran (10y+)",AE1262&gt;=3,"Established (3-10y)",AE1262&lt;3,"New Hire (&lt;3y)")</f>
        <v>New Hire (&lt;3y)</v>
      </c>
      <c r="AG1262">
        <v>2</v>
      </c>
      <c r="AH1262">
        <v>2</v>
      </c>
      <c r="AI1262">
        <v>2</v>
      </c>
    </row>
    <row r="1263" spans="1:35">
      <c r="A1263">
        <v>48</v>
      </c>
      <c r="B1263" t="str">
        <f t="shared" si="19"/>
        <v>Senior</v>
      </c>
      <c r="C1263">
        <v>0</v>
      </c>
      <c r="D1263" t="s">
        <v>36</v>
      </c>
      <c r="E1263">
        <v>1355</v>
      </c>
      <c r="F1263" t="s">
        <v>45</v>
      </c>
      <c r="G1263">
        <v>4</v>
      </c>
      <c r="H1263" t="str" cm="1">
        <f t="array" ref="H1263">_xlfn.IFS(G1263&gt;15,"Long Commute",G1263&gt;5,"Moderate",G1263&lt;=5,"Near Office")</f>
        <v>Near Office</v>
      </c>
      <c r="I1263" t="s">
        <v>83</v>
      </c>
      <c r="J1263" t="s">
        <v>38</v>
      </c>
      <c r="K1263">
        <v>3</v>
      </c>
      <c r="L1263" t="s">
        <v>46</v>
      </c>
      <c r="M1263">
        <v>78</v>
      </c>
      <c r="N1263">
        <v>2</v>
      </c>
      <c r="O1263">
        <v>3</v>
      </c>
      <c r="P1263" t="s">
        <v>54</v>
      </c>
      <c r="Q1263" t="s">
        <v>73</v>
      </c>
      <c r="R1263" t="s">
        <v>41</v>
      </c>
      <c r="S1263">
        <v>10999</v>
      </c>
      <c r="T1263" t="str" cm="1">
        <f t="array" ref="T1263">_xlfn.IFS(S1263&gt;=10000,"High (&gt;10k)",S1263&gt;=5000,"Medium (5k-10k)",S1263&lt;5000,"Low (&lt;5k)")</f>
        <v>High (&gt;10k)</v>
      </c>
      <c r="U1263">
        <v>22245</v>
      </c>
      <c r="V1263">
        <v>7</v>
      </c>
      <c r="W1263" t="s">
        <v>43</v>
      </c>
      <c r="X1263">
        <v>14</v>
      </c>
      <c r="Y1263">
        <v>3</v>
      </c>
      <c r="Z1263">
        <v>2</v>
      </c>
      <c r="AA1263">
        <v>0</v>
      </c>
      <c r="AB1263">
        <v>27</v>
      </c>
      <c r="AC1263">
        <v>3</v>
      </c>
      <c r="AD1263" t="s">
        <v>74</v>
      </c>
      <c r="AE1263">
        <v>15</v>
      </c>
      <c r="AF1263" t="str" cm="1">
        <f t="array" ref="AF1263">_xlfn.IFS(AE1263&gt;=10,"Veteran (10y+)",AE1263&gt;=3,"Established (3-10y)",AE1263&lt;3,"New Hire (&lt;3y)")</f>
        <v>Veteran (10y+)</v>
      </c>
      <c r="AG1263">
        <v>11</v>
      </c>
      <c r="AH1263">
        <v>4</v>
      </c>
      <c r="AI1263">
        <v>8</v>
      </c>
    </row>
    <row r="1264" spans="1:35">
      <c r="A1264">
        <v>48</v>
      </c>
      <c r="B1264" t="str">
        <f t="shared" si="19"/>
        <v>Senior</v>
      </c>
      <c r="C1264">
        <v>0</v>
      </c>
      <c r="D1264" t="s">
        <v>55</v>
      </c>
      <c r="E1264">
        <v>1262</v>
      </c>
      <c r="F1264" t="s">
        <v>45</v>
      </c>
      <c r="G1264">
        <v>1</v>
      </c>
      <c r="H1264" t="str" cm="1">
        <f t="array" ref="H1264">_xlfn.IFS(G1264&gt;15,"Long Commute",G1264&gt;5,"Moderate",G1264&lt;=5,"Near Office")</f>
        <v>Near Office</v>
      </c>
      <c r="I1264" t="s">
        <v>83</v>
      </c>
      <c r="J1264" t="s">
        <v>51</v>
      </c>
      <c r="K1264">
        <v>1</v>
      </c>
      <c r="L1264" t="s">
        <v>46</v>
      </c>
      <c r="M1264">
        <v>35</v>
      </c>
      <c r="N1264">
        <v>4</v>
      </c>
      <c r="O1264">
        <v>4</v>
      </c>
      <c r="P1264" t="s">
        <v>56</v>
      </c>
      <c r="Q1264" t="s">
        <v>77</v>
      </c>
      <c r="R1264" t="s">
        <v>41</v>
      </c>
      <c r="S1264">
        <v>16885</v>
      </c>
      <c r="T1264" t="str" cm="1">
        <f t="array" ref="T1264">_xlfn.IFS(S1264&gt;=10000,"High (&gt;10k)",S1264&gt;=5000,"Medium (5k-10k)",S1264&lt;5000,"Low (&lt;5k)")</f>
        <v>High (&gt;10k)</v>
      </c>
      <c r="U1264">
        <v>16154</v>
      </c>
      <c r="V1264">
        <v>2</v>
      </c>
      <c r="W1264" t="s">
        <v>43</v>
      </c>
      <c r="X1264">
        <v>22</v>
      </c>
      <c r="Y1264">
        <v>4</v>
      </c>
      <c r="Z1264">
        <v>3</v>
      </c>
      <c r="AA1264">
        <v>0</v>
      </c>
      <c r="AB1264">
        <v>27</v>
      </c>
      <c r="AC1264">
        <v>3</v>
      </c>
      <c r="AD1264" t="s">
        <v>81</v>
      </c>
      <c r="AE1264">
        <v>5</v>
      </c>
      <c r="AF1264" t="str" cm="1">
        <f t="array" ref="AF1264">_xlfn.IFS(AE1264&gt;=10,"Veteran (10y+)",AE1264&gt;=3,"Established (3-10y)",AE1264&lt;3,"New Hire (&lt;3y)")</f>
        <v>Established (3-10y)</v>
      </c>
      <c r="AG1264">
        <v>4</v>
      </c>
      <c r="AH1264">
        <v>2</v>
      </c>
      <c r="AI1264">
        <v>1</v>
      </c>
    </row>
    <row r="1265" spans="1:35">
      <c r="A1265">
        <v>48</v>
      </c>
      <c r="B1265" t="str">
        <f t="shared" si="19"/>
        <v>Senior</v>
      </c>
      <c r="C1265">
        <v>0</v>
      </c>
      <c r="D1265" t="s">
        <v>36</v>
      </c>
      <c r="E1265">
        <v>969</v>
      </c>
      <c r="F1265" t="s">
        <v>45</v>
      </c>
      <c r="G1265">
        <v>2</v>
      </c>
      <c r="H1265" t="str" cm="1">
        <f t="array" ref="H1265">_xlfn.IFS(G1265&gt;15,"Long Commute",G1265&gt;5,"Moderate",G1265&lt;=5,"Near Office")</f>
        <v>Near Office</v>
      </c>
      <c r="I1265" t="s">
        <v>76</v>
      </c>
      <c r="J1265" t="s">
        <v>60</v>
      </c>
      <c r="K1265">
        <v>4</v>
      </c>
      <c r="L1265" t="s">
        <v>46</v>
      </c>
      <c r="M1265">
        <v>76</v>
      </c>
      <c r="N1265">
        <v>4</v>
      </c>
      <c r="O1265">
        <v>1</v>
      </c>
      <c r="P1265" t="s">
        <v>50</v>
      </c>
      <c r="Q1265" t="s">
        <v>75</v>
      </c>
      <c r="R1265" t="s">
        <v>41</v>
      </c>
      <c r="S1265">
        <v>2559</v>
      </c>
      <c r="T1265" t="str" cm="1">
        <f t="array" ref="T1265">_xlfn.IFS(S1265&gt;=10000,"High (&gt;10k)",S1265&gt;=5000,"Medium (5k-10k)",S1265&lt;5000,"Low (&lt;5k)")</f>
        <v>Low (&lt;5k)</v>
      </c>
      <c r="U1265">
        <v>16620</v>
      </c>
      <c r="V1265">
        <v>5</v>
      </c>
      <c r="W1265" t="s">
        <v>43</v>
      </c>
      <c r="X1265">
        <v>11</v>
      </c>
      <c r="Y1265">
        <v>3</v>
      </c>
      <c r="Z1265">
        <v>3</v>
      </c>
      <c r="AA1265">
        <v>0</v>
      </c>
      <c r="AB1265">
        <v>7</v>
      </c>
      <c r="AC1265">
        <v>4</v>
      </c>
      <c r="AD1265" t="s">
        <v>81</v>
      </c>
      <c r="AE1265">
        <v>1</v>
      </c>
      <c r="AF1265" t="str" cm="1">
        <f t="array" ref="AF1265">_xlfn.IFS(AE1265&gt;=10,"Veteran (10y+)",AE1265&gt;=3,"Established (3-10y)",AE1265&lt;3,"New Hire (&lt;3y)")</f>
        <v>New Hire (&lt;3y)</v>
      </c>
      <c r="AG1265">
        <v>0</v>
      </c>
      <c r="AH1265">
        <v>0</v>
      </c>
      <c r="AI1265">
        <v>0</v>
      </c>
    </row>
    <row r="1266" spans="1:35">
      <c r="A1266">
        <v>48</v>
      </c>
      <c r="B1266" t="str">
        <f t="shared" si="19"/>
        <v>Senior</v>
      </c>
      <c r="C1266">
        <v>0</v>
      </c>
      <c r="D1266" t="s">
        <v>36</v>
      </c>
      <c r="E1266">
        <v>715</v>
      </c>
      <c r="F1266" t="s">
        <v>45</v>
      </c>
      <c r="G1266">
        <v>1</v>
      </c>
      <c r="H1266" t="str" cm="1">
        <f t="array" ref="H1266">_xlfn.IFS(G1266&gt;15,"Long Commute",G1266&gt;5,"Moderate",G1266&lt;=5,"Near Office")</f>
        <v>Near Office</v>
      </c>
      <c r="I1266" t="s">
        <v>72</v>
      </c>
      <c r="J1266" t="s">
        <v>38</v>
      </c>
      <c r="K1266">
        <v>4</v>
      </c>
      <c r="L1266" t="s">
        <v>46</v>
      </c>
      <c r="M1266">
        <v>76</v>
      </c>
      <c r="N1266">
        <v>2</v>
      </c>
      <c r="O1266">
        <v>5</v>
      </c>
      <c r="P1266" t="s">
        <v>58</v>
      </c>
      <c r="Q1266" t="s">
        <v>77</v>
      </c>
      <c r="R1266" t="s">
        <v>41</v>
      </c>
      <c r="S1266">
        <v>18265</v>
      </c>
      <c r="T1266" t="str" cm="1">
        <f t="array" ref="T1266">_xlfn.IFS(S1266&gt;=10000,"High (&gt;10k)",S1266&gt;=5000,"Medium (5k-10k)",S1266&lt;5000,"Low (&lt;5k)")</f>
        <v>High (&gt;10k)</v>
      </c>
      <c r="U1266">
        <v>8733</v>
      </c>
      <c r="V1266">
        <v>6</v>
      </c>
      <c r="W1266" t="s">
        <v>43</v>
      </c>
      <c r="X1266">
        <v>12</v>
      </c>
      <c r="Y1266">
        <v>3</v>
      </c>
      <c r="Z1266">
        <v>3</v>
      </c>
      <c r="AA1266">
        <v>0</v>
      </c>
      <c r="AB1266">
        <v>25</v>
      </c>
      <c r="AC1266">
        <v>3</v>
      </c>
      <c r="AD1266" t="s">
        <v>79</v>
      </c>
      <c r="AE1266">
        <v>1</v>
      </c>
      <c r="AF1266" t="str" cm="1">
        <f t="array" ref="AF1266">_xlfn.IFS(AE1266&gt;=10,"Veteran (10y+)",AE1266&gt;=3,"Established (3-10y)",AE1266&lt;3,"New Hire (&lt;3y)")</f>
        <v>New Hire (&lt;3y)</v>
      </c>
      <c r="AG1266">
        <v>0</v>
      </c>
      <c r="AH1266">
        <v>0</v>
      </c>
      <c r="AI1266">
        <v>0</v>
      </c>
    </row>
    <row r="1267" spans="1:35">
      <c r="A1267">
        <v>48</v>
      </c>
      <c r="B1267" t="str">
        <f t="shared" si="19"/>
        <v>Senior</v>
      </c>
      <c r="C1267">
        <v>0</v>
      </c>
      <c r="D1267" t="s">
        <v>36</v>
      </c>
      <c r="E1267">
        <v>855</v>
      </c>
      <c r="F1267" t="s">
        <v>45</v>
      </c>
      <c r="G1267">
        <v>4</v>
      </c>
      <c r="H1267" t="str" cm="1">
        <f t="array" ref="H1267">_xlfn.IFS(G1267&gt;15,"Long Commute",G1267&gt;5,"Moderate",G1267&lt;=5,"Near Office")</f>
        <v>Near Office</v>
      </c>
      <c r="I1267" t="s">
        <v>72</v>
      </c>
      <c r="J1267" t="s">
        <v>38</v>
      </c>
      <c r="K1267">
        <v>4</v>
      </c>
      <c r="L1267" t="s">
        <v>46</v>
      </c>
      <c r="M1267">
        <v>54</v>
      </c>
      <c r="N1267">
        <v>3</v>
      </c>
      <c r="O1267">
        <v>3</v>
      </c>
      <c r="P1267" t="s">
        <v>53</v>
      </c>
      <c r="Q1267" t="s">
        <v>77</v>
      </c>
      <c r="R1267" t="s">
        <v>41</v>
      </c>
      <c r="S1267">
        <v>7898</v>
      </c>
      <c r="T1267" t="str" cm="1">
        <f t="array" ref="T1267">_xlfn.IFS(S1267&gt;=10000,"High (&gt;10k)",S1267&gt;=5000,"Medium (5k-10k)",S1267&lt;5000,"Low (&lt;5k)")</f>
        <v>Medium (5k-10k)</v>
      </c>
      <c r="U1267">
        <v>18706</v>
      </c>
      <c r="V1267">
        <v>1</v>
      </c>
      <c r="W1267" t="s">
        <v>43</v>
      </c>
      <c r="X1267">
        <v>11</v>
      </c>
      <c r="Y1267">
        <v>3</v>
      </c>
      <c r="Z1267">
        <v>3</v>
      </c>
      <c r="AA1267">
        <v>0</v>
      </c>
      <c r="AB1267">
        <v>11</v>
      </c>
      <c r="AC1267">
        <v>2</v>
      </c>
      <c r="AD1267" t="s">
        <v>74</v>
      </c>
      <c r="AE1267">
        <v>10</v>
      </c>
      <c r="AF1267" t="str" cm="1">
        <f t="array" ref="AF1267">_xlfn.IFS(AE1267&gt;=10,"Veteran (10y+)",AE1267&gt;=3,"Established (3-10y)",AE1267&lt;3,"New Hire (&lt;3y)")</f>
        <v>Veteran (10y+)</v>
      </c>
      <c r="AG1267">
        <v>9</v>
      </c>
      <c r="AH1267">
        <v>0</v>
      </c>
      <c r="AI1267">
        <v>8</v>
      </c>
    </row>
    <row r="1268" spans="1:35">
      <c r="A1268">
        <v>48</v>
      </c>
      <c r="B1268" t="str">
        <f t="shared" si="19"/>
        <v>Senior</v>
      </c>
      <c r="C1268">
        <v>0</v>
      </c>
      <c r="D1268" t="s">
        <v>36</v>
      </c>
      <c r="E1268">
        <v>1221</v>
      </c>
      <c r="F1268" t="s">
        <v>37</v>
      </c>
      <c r="G1268">
        <v>7</v>
      </c>
      <c r="H1268" t="str" cm="1">
        <f t="array" ref="H1268">_xlfn.IFS(G1268&gt;15,"Long Commute",G1268&gt;5,"Moderate",G1268&lt;=5,"Near Office")</f>
        <v>Moderate</v>
      </c>
      <c r="I1268" t="s">
        <v>72</v>
      </c>
      <c r="J1268" t="s">
        <v>59</v>
      </c>
      <c r="K1268">
        <v>3</v>
      </c>
      <c r="L1268" t="s">
        <v>46</v>
      </c>
      <c r="M1268">
        <v>96</v>
      </c>
      <c r="N1268">
        <v>3</v>
      </c>
      <c r="O1268">
        <v>2</v>
      </c>
      <c r="P1268" t="s">
        <v>40</v>
      </c>
      <c r="Q1268" t="s">
        <v>82</v>
      </c>
      <c r="R1268" t="s">
        <v>52</v>
      </c>
      <c r="S1268">
        <v>5486</v>
      </c>
      <c r="T1268" t="str" cm="1">
        <f t="array" ref="T1268">_xlfn.IFS(S1268&gt;=10000,"High (&gt;10k)",S1268&gt;=5000,"Medium (5k-10k)",S1268&lt;5000,"Low (&lt;5k)")</f>
        <v>Medium (5k-10k)</v>
      </c>
      <c r="U1268">
        <v>24795</v>
      </c>
      <c r="V1268">
        <v>4</v>
      </c>
      <c r="W1268" t="s">
        <v>43</v>
      </c>
      <c r="X1268">
        <v>11</v>
      </c>
      <c r="Y1268">
        <v>3</v>
      </c>
      <c r="Z1268">
        <v>1</v>
      </c>
      <c r="AA1268">
        <v>3</v>
      </c>
      <c r="AB1268">
        <v>15</v>
      </c>
      <c r="AC1268">
        <v>3</v>
      </c>
      <c r="AD1268" t="s">
        <v>74</v>
      </c>
      <c r="AE1268">
        <v>2</v>
      </c>
      <c r="AF1268" t="str" cm="1">
        <f t="array" ref="AF1268">_xlfn.IFS(AE1268&gt;=10,"Veteran (10y+)",AE1268&gt;=3,"Established (3-10y)",AE1268&lt;3,"New Hire (&lt;3y)")</f>
        <v>New Hire (&lt;3y)</v>
      </c>
      <c r="AG1268">
        <v>2</v>
      </c>
      <c r="AH1268">
        <v>2</v>
      </c>
      <c r="AI1268">
        <v>2</v>
      </c>
    </row>
    <row r="1269" spans="1:35">
      <c r="A1269">
        <v>48</v>
      </c>
      <c r="B1269" t="str">
        <f t="shared" si="19"/>
        <v>Senior</v>
      </c>
      <c r="C1269">
        <v>0</v>
      </c>
      <c r="D1269" t="s">
        <v>36</v>
      </c>
      <c r="E1269">
        <v>492</v>
      </c>
      <c r="F1269" t="s">
        <v>37</v>
      </c>
      <c r="G1269">
        <v>16</v>
      </c>
      <c r="H1269" t="str" cm="1">
        <f t="array" ref="H1269">_xlfn.IFS(G1269&gt;15,"Long Commute",G1269&gt;5,"Moderate",G1269&lt;=5,"Near Office")</f>
        <v>Long Commute</v>
      </c>
      <c r="I1269" t="s">
        <v>83</v>
      </c>
      <c r="J1269" t="s">
        <v>38</v>
      </c>
      <c r="K1269">
        <v>3</v>
      </c>
      <c r="L1269" t="s">
        <v>39</v>
      </c>
      <c r="M1269">
        <v>96</v>
      </c>
      <c r="N1269">
        <v>3</v>
      </c>
      <c r="O1269">
        <v>2</v>
      </c>
      <c r="P1269" t="s">
        <v>40</v>
      </c>
      <c r="Q1269" t="s">
        <v>73</v>
      </c>
      <c r="R1269" t="s">
        <v>52</v>
      </c>
      <c r="S1269">
        <v>6439</v>
      </c>
      <c r="T1269" t="str" cm="1">
        <f t="array" ref="T1269">_xlfn.IFS(S1269&gt;=10000,"High (&gt;10k)",S1269&gt;=5000,"Medium (5k-10k)",S1269&lt;5000,"Low (&lt;5k)")</f>
        <v>Medium (5k-10k)</v>
      </c>
      <c r="U1269">
        <v>13693</v>
      </c>
      <c r="V1269">
        <v>8</v>
      </c>
      <c r="W1269" t="s">
        <v>43</v>
      </c>
      <c r="X1269">
        <v>14</v>
      </c>
      <c r="Y1269">
        <v>3</v>
      </c>
      <c r="Z1269">
        <v>3</v>
      </c>
      <c r="AA1269">
        <v>1</v>
      </c>
      <c r="AB1269">
        <v>18</v>
      </c>
      <c r="AC1269">
        <v>2</v>
      </c>
      <c r="AD1269" t="s">
        <v>74</v>
      </c>
      <c r="AE1269">
        <v>8</v>
      </c>
      <c r="AF1269" t="str" cm="1">
        <f t="array" ref="AF1269">_xlfn.IFS(AE1269&gt;=10,"Veteran (10y+)",AE1269&gt;=3,"Established (3-10y)",AE1269&lt;3,"New Hire (&lt;3y)")</f>
        <v>Established (3-10y)</v>
      </c>
      <c r="AG1269">
        <v>7</v>
      </c>
      <c r="AH1269">
        <v>7</v>
      </c>
      <c r="AI1269">
        <v>7</v>
      </c>
    </row>
    <row r="1270" spans="1:35">
      <c r="A1270">
        <v>48</v>
      </c>
      <c r="B1270" t="str">
        <f t="shared" si="19"/>
        <v>Senior</v>
      </c>
      <c r="C1270">
        <v>0</v>
      </c>
      <c r="D1270" t="s">
        <v>36</v>
      </c>
      <c r="E1270">
        <v>1108</v>
      </c>
      <c r="F1270" t="s">
        <v>45</v>
      </c>
      <c r="G1270">
        <v>15</v>
      </c>
      <c r="H1270" t="str" cm="1">
        <f t="array" ref="H1270">_xlfn.IFS(G1270&gt;15,"Long Commute",G1270&gt;5,"Moderate",G1270&lt;=5,"Near Office")</f>
        <v>Moderate</v>
      </c>
      <c r="I1270" t="s">
        <v>83</v>
      </c>
      <c r="J1270" t="s">
        <v>49</v>
      </c>
      <c r="K1270">
        <v>3</v>
      </c>
      <c r="L1270" t="s">
        <v>39</v>
      </c>
      <c r="M1270">
        <v>65</v>
      </c>
      <c r="N1270">
        <v>3</v>
      </c>
      <c r="O1270">
        <v>1</v>
      </c>
      <c r="P1270" t="s">
        <v>47</v>
      </c>
      <c r="Q1270" t="s">
        <v>82</v>
      </c>
      <c r="R1270" t="s">
        <v>48</v>
      </c>
      <c r="S1270">
        <v>2367</v>
      </c>
      <c r="T1270" t="str" cm="1">
        <f t="array" ref="T1270">_xlfn.IFS(S1270&gt;=10000,"High (&gt;10k)",S1270&gt;=5000,"Medium (5k-10k)",S1270&lt;5000,"Low (&lt;5k)")</f>
        <v>Low (&lt;5k)</v>
      </c>
      <c r="U1270">
        <v>16530</v>
      </c>
      <c r="V1270">
        <v>8</v>
      </c>
      <c r="W1270" t="s">
        <v>43</v>
      </c>
      <c r="X1270">
        <v>12</v>
      </c>
      <c r="Y1270">
        <v>3</v>
      </c>
      <c r="Z1270">
        <v>4</v>
      </c>
      <c r="AA1270">
        <v>1</v>
      </c>
      <c r="AB1270">
        <v>10</v>
      </c>
      <c r="AC1270">
        <v>3</v>
      </c>
      <c r="AD1270" t="s">
        <v>81</v>
      </c>
      <c r="AE1270">
        <v>8</v>
      </c>
      <c r="AF1270" t="str" cm="1">
        <f t="array" ref="AF1270">_xlfn.IFS(AE1270&gt;=10,"Veteran (10y+)",AE1270&gt;=3,"Established (3-10y)",AE1270&lt;3,"New Hire (&lt;3y)")</f>
        <v>Established (3-10y)</v>
      </c>
      <c r="AG1270">
        <v>2</v>
      </c>
      <c r="AH1270">
        <v>7</v>
      </c>
      <c r="AI1270">
        <v>6</v>
      </c>
    </row>
    <row r="1271" spans="1:35">
      <c r="A1271">
        <v>48</v>
      </c>
      <c r="B1271" t="str">
        <f t="shared" si="19"/>
        <v>Senior</v>
      </c>
      <c r="C1271">
        <v>0</v>
      </c>
      <c r="D1271" t="s">
        <v>44</v>
      </c>
      <c r="E1271">
        <v>365</v>
      </c>
      <c r="F1271" t="s">
        <v>45</v>
      </c>
      <c r="G1271">
        <v>4</v>
      </c>
      <c r="H1271" t="str" cm="1">
        <f t="array" ref="H1271">_xlfn.IFS(G1271&gt;15,"Long Commute",G1271&gt;5,"Moderate",G1271&lt;=5,"Near Office")</f>
        <v>Near Office</v>
      </c>
      <c r="I1271" t="s">
        <v>84</v>
      </c>
      <c r="J1271" t="s">
        <v>51</v>
      </c>
      <c r="K1271">
        <v>3</v>
      </c>
      <c r="L1271" t="s">
        <v>46</v>
      </c>
      <c r="M1271">
        <v>89</v>
      </c>
      <c r="N1271">
        <v>2</v>
      </c>
      <c r="O1271">
        <v>4</v>
      </c>
      <c r="P1271" t="s">
        <v>56</v>
      </c>
      <c r="Q1271" t="s">
        <v>77</v>
      </c>
      <c r="R1271" t="s">
        <v>48</v>
      </c>
      <c r="S1271">
        <v>15202</v>
      </c>
      <c r="T1271" t="str" cm="1">
        <f t="array" ref="T1271">_xlfn.IFS(S1271&gt;=10000,"High (&gt;10k)",S1271&gt;=5000,"Medium (5k-10k)",S1271&lt;5000,"Low (&lt;5k)")</f>
        <v>High (&gt;10k)</v>
      </c>
      <c r="U1271">
        <v>5602</v>
      </c>
      <c r="V1271">
        <v>2</v>
      </c>
      <c r="W1271" t="s">
        <v>43</v>
      </c>
      <c r="X1271">
        <v>25</v>
      </c>
      <c r="Y1271">
        <v>4</v>
      </c>
      <c r="Z1271">
        <v>2</v>
      </c>
      <c r="AA1271">
        <v>1</v>
      </c>
      <c r="AB1271">
        <v>23</v>
      </c>
      <c r="AC1271">
        <v>3</v>
      </c>
      <c r="AD1271" t="s">
        <v>74</v>
      </c>
      <c r="AE1271">
        <v>2</v>
      </c>
      <c r="AF1271" t="str" cm="1">
        <f t="array" ref="AF1271">_xlfn.IFS(AE1271&gt;=10,"Veteran (10y+)",AE1271&gt;=3,"Established (3-10y)",AE1271&lt;3,"New Hire (&lt;3y)")</f>
        <v>New Hire (&lt;3y)</v>
      </c>
      <c r="AG1271">
        <v>2</v>
      </c>
      <c r="AH1271">
        <v>2</v>
      </c>
      <c r="AI1271">
        <v>2</v>
      </c>
    </row>
    <row r="1272" spans="1:35">
      <c r="A1272">
        <v>48</v>
      </c>
      <c r="B1272" t="str">
        <f t="shared" si="19"/>
        <v>Senior</v>
      </c>
      <c r="C1272">
        <v>1</v>
      </c>
      <c r="D1272" t="s">
        <v>44</v>
      </c>
      <c r="E1272">
        <v>708</v>
      </c>
      <c r="F1272" t="s">
        <v>37</v>
      </c>
      <c r="G1272">
        <v>7</v>
      </c>
      <c r="H1272" t="str" cm="1">
        <f t="array" ref="H1272">_xlfn.IFS(G1272&gt;15,"Long Commute",G1272&gt;5,"Moderate",G1272&lt;=5,"Near Office")</f>
        <v>Moderate</v>
      </c>
      <c r="I1272" t="s">
        <v>76</v>
      </c>
      <c r="J1272" t="s">
        <v>51</v>
      </c>
      <c r="K1272">
        <v>4</v>
      </c>
      <c r="L1272" t="s">
        <v>39</v>
      </c>
      <c r="M1272">
        <v>95</v>
      </c>
      <c r="N1272">
        <v>3</v>
      </c>
      <c r="O1272">
        <v>1</v>
      </c>
      <c r="P1272" t="s">
        <v>57</v>
      </c>
      <c r="Q1272" t="s">
        <v>73</v>
      </c>
      <c r="R1272" t="s">
        <v>48</v>
      </c>
      <c r="S1272">
        <v>2655</v>
      </c>
      <c r="T1272" t="str" cm="1">
        <f t="array" ref="T1272">_xlfn.IFS(S1272&gt;=10000,"High (&gt;10k)",S1272&gt;=5000,"Medium (5k-10k)",S1272&lt;5000,"Low (&lt;5k)")</f>
        <v>Low (&lt;5k)</v>
      </c>
      <c r="U1272">
        <v>11740</v>
      </c>
      <c r="V1272">
        <v>2</v>
      </c>
      <c r="W1272" t="s">
        <v>35</v>
      </c>
      <c r="X1272">
        <v>11</v>
      </c>
      <c r="Y1272">
        <v>3</v>
      </c>
      <c r="Z1272">
        <v>3</v>
      </c>
      <c r="AA1272">
        <v>2</v>
      </c>
      <c r="AB1272">
        <v>19</v>
      </c>
      <c r="AC1272">
        <v>3</v>
      </c>
      <c r="AD1272" t="s">
        <v>74</v>
      </c>
      <c r="AE1272">
        <v>9</v>
      </c>
      <c r="AF1272" t="str" cm="1">
        <f t="array" ref="AF1272">_xlfn.IFS(AE1272&gt;=10,"Veteran (10y+)",AE1272&gt;=3,"Established (3-10y)",AE1272&lt;3,"New Hire (&lt;3y)")</f>
        <v>Established (3-10y)</v>
      </c>
      <c r="AG1272">
        <v>7</v>
      </c>
      <c r="AH1272">
        <v>7</v>
      </c>
      <c r="AI1272">
        <v>7</v>
      </c>
    </row>
    <row r="1273" spans="1:35">
      <c r="A1273">
        <v>48</v>
      </c>
      <c r="B1273" t="str">
        <f t="shared" si="19"/>
        <v>Senior</v>
      </c>
      <c r="C1273">
        <v>0</v>
      </c>
      <c r="D1273" t="s">
        <v>36</v>
      </c>
      <c r="E1273">
        <v>1224</v>
      </c>
      <c r="F1273" t="s">
        <v>45</v>
      </c>
      <c r="G1273">
        <v>10</v>
      </c>
      <c r="H1273" t="str" cm="1">
        <f t="array" ref="H1273">_xlfn.IFS(G1273&gt;15,"Long Commute",G1273&gt;5,"Moderate",G1273&lt;=5,"Near Office")</f>
        <v>Moderate</v>
      </c>
      <c r="I1273" t="s">
        <v>72</v>
      </c>
      <c r="J1273" t="s">
        <v>38</v>
      </c>
      <c r="K1273">
        <v>4</v>
      </c>
      <c r="L1273" t="s">
        <v>46</v>
      </c>
      <c r="M1273">
        <v>91</v>
      </c>
      <c r="N1273">
        <v>2</v>
      </c>
      <c r="O1273">
        <v>5</v>
      </c>
      <c r="P1273" t="s">
        <v>58</v>
      </c>
      <c r="Q1273" t="s">
        <v>75</v>
      </c>
      <c r="R1273" t="s">
        <v>48</v>
      </c>
      <c r="S1273">
        <v>19665</v>
      </c>
      <c r="T1273" t="str" cm="1">
        <f t="array" ref="T1273">_xlfn.IFS(S1273&gt;=10000,"High (&gt;10k)",S1273&gt;=5000,"Medium (5k-10k)",S1273&lt;5000,"Low (&lt;5k)")</f>
        <v>High (&gt;10k)</v>
      </c>
      <c r="U1273">
        <v>13583</v>
      </c>
      <c r="V1273">
        <v>4</v>
      </c>
      <c r="W1273" t="s">
        <v>43</v>
      </c>
      <c r="X1273">
        <v>12</v>
      </c>
      <c r="Y1273">
        <v>3</v>
      </c>
      <c r="Z1273">
        <v>4</v>
      </c>
      <c r="AA1273">
        <v>0</v>
      </c>
      <c r="AB1273">
        <v>29</v>
      </c>
      <c r="AC1273">
        <v>3</v>
      </c>
      <c r="AD1273" t="s">
        <v>74</v>
      </c>
      <c r="AE1273">
        <v>22</v>
      </c>
      <c r="AF1273" t="str" cm="1">
        <f t="array" ref="AF1273">_xlfn.IFS(AE1273&gt;=10,"Veteran (10y+)",AE1273&gt;=3,"Established (3-10y)",AE1273&lt;3,"New Hire (&lt;3y)")</f>
        <v>Veteran (10y+)</v>
      </c>
      <c r="AG1273">
        <v>10</v>
      </c>
      <c r="AH1273">
        <v>12</v>
      </c>
      <c r="AI1273">
        <v>9</v>
      </c>
    </row>
    <row r="1274" spans="1:35">
      <c r="A1274">
        <v>48</v>
      </c>
      <c r="B1274" t="str">
        <f t="shared" si="19"/>
        <v>Senior</v>
      </c>
      <c r="C1274">
        <v>0</v>
      </c>
      <c r="D1274" t="s">
        <v>44</v>
      </c>
      <c r="E1274">
        <v>117</v>
      </c>
      <c r="F1274" t="s">
        <v>45</v>
      </c>
      <c r="G1274">
        <v>22</v>
      </c>
      <c r="H1274" t="str" cm="1">
        <f t="array" ref="H1274">_xlfn.IFS(G1274&gt;15,"Long Commute",G1274&gt;5,"Moderate",G1274&lt;=5,"Near Office")</f>
        <v>Long Commute</v>
      </c>
      <c r="I1274" t="s">
        <v>72</v>
      </c>
      <c r="J1274" t="s">
        <v>51</v>
      </c>
      <c r="K1274">
        <v>4</v>
      </c>
      <c r="L1274" t="s">
        <v>39</v>
      </c>
      <c r="M1274">
        <v>58</v>
      </c>
      <c r="N1274">
        <v>3</v>
      </c>
      <c r="O1274">
        <v>4</v>
      </c>
      <c r="P1274" t="s">
        <v>56</v>
      </c>
      <c r="Q1274" t="s">
        <v>77</v>
      </c>
      <c r="R1274" t="s">
        <v>52</v>
      </c>
      <c r="S1274">
        <v>17174</v>
      </c>
      <c r="T1274" t="str" cm="1">
        <f t="array" ref="T1274">_xlfn.IFS(S1274&gt;=10000,"High (&gt;10k)",S1274&gt;=5000,"Medium (5k-10k)",S1274&lt;5000,"Low (&lt;5k)")</f>
        <v>High (&gt;10k)</v>
      </c>
      <c r="U1274">
        <v>2437</v>
      </c>
      <c r="V1274">
        <v>3</v>
      </c>
      <c r="W1274" t="s">
        <v>43</v>
      </c>
      <c r="X1274">
        <v>11</v>
      </c>
      <c r="Y1274">
        <v>3</v>
      </c>
      <c r="Z1274">
        <v>2</v>
      </c>
      <c r="AA1274">
        <v>1</v>
      </c>
      <c r="AB1274">
        <v>24</v>
      </c>
      <c r="AC1274">
        <v>3</v>
      </c>
      <c r="AD1274" t="s">
        <v>74</v>
      </c>
      <c r="AE1274">
        <v>22</v>
      </c>
      <c r="AF1274" t="str" cm="1">
        <f t="array" ref="AF1274">_xlfn.IFS(AE1274&gt;=10,"Veteran (10y+)",AE1274&gt;=3,"Established (3-10y)",AE1274&lt;3,"New Hire (&lt;3y)")</f>
        <v>Veteran (10y+)</v>
      </c>
      <c r="AG1274">
        <v>17</v>
      </c>
      <c r="AH1274">
        <v>4</v>
      </c>
      <c r="AI1274">
        <v>7</v>
      </c>
    </row>
    <row r="1275" spans="1:35">
      <c r="A1275">
        <v>49</v>
      </c>
      <c r="B1275" t="str">
        <f t="shared" si="19"/>
        <v>Senior</v>
      </c>
      <c r="C1275">
        <v>0</v>
      </c>
      <c r="D1275" t="s">
        <v>44</v>
      </c>
      <c r="E1275">
        <v>279</v>
      </c>
      <c r="F1275" t="s">
        <v>45</v>
      </c>
      <c r="G1275">
        <v>8</v>
      </c>
      <c r="H1275" t="str" cm="1">
        <f t="array" ref="H1275">_xlfn.IFS(G1275&gt;15,"Long Commute",G1275&gt;5,"Moderate",G1275&lt;=5,"Near Office")</f>
        <v>Moderate</v>
      </c>
      <c r="I1275" t="s">
        <v>78</v>
      </c>
      <c r="J1275" t="s">
        <v>38</v>
      </c>
      <c r="K1275">
        <v>3</v>
      </c>
      <c r="L1275" t="s">
        <v>46</v>
      </c>
      <c r="M1275">
        <v>61</v>
      </c>
      <c r="N1275">
        <v>2</v>
      </c>
      <c r="O1275">
        <v>2</v>
      </c>
      <c r="P1275" t="s">
        <v>47</v>
      </c>
      <c r="Q1275" t="s">
        <v>75</v>
      </c>
      <c r="R1275" t="s">
        <v>48</v>
      </c>
      <c r="S1275">
        <v>5130</v>
      </c>
      <c r="T1275" t="str" cm="1">
        <f t="array" ref="T1275">_xlfn.IFS(S1275&gt;=10000,"High (&gt;10k)",S1275&gt;=5000,"Medium (5k-10k)",S1275&lt;5000,"Low (&lt;5k)")</f>
        <v>Medium (5k-10k)</v>
      </c>
      <c r="U1275">
        <v>24907</v>
      </c>
      <c r="V1275">
        <v>1</v>
      </c>
      <c r="W1275" t="s">
        <v>43</v>
      </c>
      <c r="X1275">
        <v>23</v>
      </c>
      <c r="Y1275">
        <v>4</v>
      </c>
      <c r="Z1275">
        <v>4</v>
      </c>
      <c r="AA1275">
        <v>1</v>
      </c>
      <c r="AB1275">
        <v>10</v>
      </c>
      <c r="AC1275">
        <v>3</v>
      </c>
      <c r="AD1275" t="s">
        <v>74</v>
      </c>
      <c r="AE1275">
        <v>10</v>
      </c>
      <c r="AF1275" t="str" cm="1">
        <f t="array" ref="AF1275">_xlfn.IFS(AE1275&gt;=10,"Veteran (10y+)",AE1275&gt;=3,"Established (3-10y)",AE1275&lt;3,"New Hire (&lt;3y)")</f>
        <v>Veteran (10y+)</v>
      </c>
      <c r="AG1275">
        <v>7</v>
      </c>
      <c r="AH1275">
        <v>1</v>
      </c>
      <c r="AI1275">
        <v>7</v>
      </c>
    </row>
    <row r="1276" spans="1:35">
      <c r="A1276">
        <v>49</v>
      </c>
      <c r="B1276" t="str">
        <f t="shared" si="19"/>
        <v>Senior</v>
      </c>
      <c r="C1276">
        <v>0</v>
      </c>
      <c r="D1276" t="s">
        <v>36</v>
      </c>
      <c r="E1276">
        <v>470</v>
      </c>
      <c r="F1276" t="s">
        <v>45</v>
      </c>
      <c r="G1276">
        <v>20</v>
      </c>
      <c r="H1276" t="str" cm="1">
        <f t="array" ref="H1276">_xlfn.IFS(G1276&gt;15,"Long Commute",G1276&gt;5,"Moderate",G1276&lt;=5,"Near Office")</f>
        <v>Long Commute</v>
      </c>
      <c r="I1276" t="s">
        <v>83</v>
      </c>
      <c r="J1276" t="s">
        <v>51</v>
      </c>
      <c r="K1276">
        <v>3</v>
      </c>
      <c r="L1276" t="s">
        <v>39</v>
      </c>
      <c r="M1276">
        <v>96</v>
      </c>
      <c r="N1276">
        <v>3</v>
      </c>
      <c r="O1276">
        <v>2</v>
      </c>
      <c r="P1276" t="s">
        <v>53</v>
      </c>
      <c r="Q1276" t="s">
        <v>82</v>
      </c>
      <c r="R1276" t="s">
        <v>48</v>
      </c>
      <c r="S1276">
        <v>6567</v>
      </c>
      <c r="T1276" t="str" cm="1">
        <f t="array" ref="T1276">_xlfn.IFS(S1276&gt;=10000,"High (&gt;10k)",S1276&gt;=5000,"Medium (5k-10k)",S1276&lt;5000,"Low (&lt;5k)")</f>
        <v>Medium (5k-10k)</v>
      </c>
      <c r="U1276">
        <v>5549</v>
      </c>
      <c r="V1276">
        <v>1</v>
      </c>
      <c r="W1276" t="s">
        <v>43</v>
      </c>
      <c r="X1276">
        <v>14</v>
      </c>
      <c r="Y1276">
        <v>3</v>
      </c>
      <c r="Z1276">
        <v>3</v>
      </c>
      <c r="AA1276">
        <v>0</v>
      </c>
      <c r="AB1276">
        <v>16</v>
      </c>
      <c r="AC1276">
        <v>2</v>
      </c>
      <c r="AD1276" t="s">
        <v>81</v>
      </c>
      <c r="AE1276">
        <v>15</v>
      </c>
      <c r="AF1276" t="str" cm="1">
        <f t="array" ref="AF1276">_xlfn.IFS(AE1276&gt;=10,"Veteran (10y+)",AE1276&gt;=3,"Established (3-10y)",AE1276&lt;3,"New Hire (&lt;3y)")</f>
        <v>Veteran (10y+)</v>
      </c>
      <c r="AG1276">
        <v>11</v>
      </c>
      <c r="AH1276">
        <v>5</v>
      </c>
      <c r="AI1276">
        <v>11</v>
      </c>
    </row>
    <row r="1277" spans="1:35">
      <c r="A1277">
        <v>49</v>
      </c>
      <c r="B1277" t="str">
        <f t="shared" si="19"/>
        <v>Senior</v>
      </c>
      <c r="C1277">
        <v>0</v>
      </c>
      <c r="D1277" t="s">
        <v>55</v>
      </c>
      <c r="E1277">
        <v>1002</v>
      </c>
      <c r="F1277" t="s">
        <v>45</v>
      </c>
      <c r="G1277">
        <v>18</v>
      </c>
      <c r="H1277" t="str" cm="1">
        <f t="array" ref="H1277">_xlfn.IFS(G1277&gt;15,"Long Commute",G1277&gt;5,"Moderate",G1277&lt;=5,"Near Office")</f>
        <v>Long Commute</v>
      </c>
      <c r="I1277" t="s">
        <v>83</v>
      </c>
      <c r="J1277" t="s">
        <v>38</v>
      </c>
      <c r="K1277">
        <v>4</v>
      </c>
      <c r="L1277" t="s">
        <v>46</v>
      </c>
      <c r="M1277">
        <v>92</v>
      </c>
      <c r="N1277">
        <v>3</v>
      </c>
      <c r="O1277">
        <v>2</v>
      </c>
      <c r="P1277" t="s">
        <v>53</v>
      </c>
      <c r="Q1277" t="s">
        <v>77</v>
      </c>
      <c r="R1277" t="s">
        <v>52</v>
      </c>
      <c r="S1277">
        <v>6804</v>
      </c>
      <c r="T1277" t="str" cm="1">
        <f t="array" ref="T1277">_xlfn.IFS(S1277&gt;=10000,"High (&gt;10k)",S1277&gt;=5000,"Medium (5k-10k)",S1277&lt;5000,"Low (&lt;5k)")</f>
        <v>Medium (5k-10k)</v>
      </c>
      <c r="U1277">
        <v>23793</v>
      </c>
      <c r="V1277">
        <v>1</v>
      </c>
      <c r="W1277" t="s">
        <v>35</v>
      </c>
      <c r="X1277">
        <v>15</v>
      </c>
      <c r="Y1277">
        <v>3</v>
      </c>
      <c r="Z1277">
        <v>1</v>
      </c>
      <c r="AA1277">
        <v>2</v>
      </c>
      <c r="AB1277">
        <v>7</v>
      </c>
      <c r="AC1277">
        <v>0</v>
      </c>
      <c r="AD1277" t="s">
        <v>74</v>
      </c>
      <c r="AE1277">
        <v>7</v>
      </c>
      <c r="AF1277" t="str" cm="1">
        <f t="array" ref="AF1277">_xlfn.IFS(AE1277&gt;=10,"Veteran (10y+)",AE1277&gt;=3,"Established (3-10y)",AE1277&lt;3,"New Hire (&lt;3y)")</f>
        <v>Established (3-10y)</v>
      </c>
      <c r="AG1277">
        <v>7</v>
      </c>
      <c r="AH1277">
        <v>1</v>
      </c>
      <c r="AI1277">
        <v>7</v>
      </c>
    </row>
    <row r="1278" spans="1:35">
      <c r="A1278">
        <v>49</v>
      </c>
      <c r="B1278" t="str">
        <f t="shared" si="19"/>
        <v>Senior</v>
      </c>
      <c r="C1278">
        <v>0</v>
      </c>
      <c r="D1278" t="s">
        <v>44</v>
      </c>
      <c r="E1278">
        <v>636</v>
      </c>
      <c r="F1278" t="s">
        <v>45</v>
      </c>
      <c r="G1278">
        <v>10</v>
      </c>
      <c r="H1278" t="str" cm="1">
        <f t="array" ref="H1278">_xlfn.IFS(G1278&gt;15,"Long Commute",G1278&gt;5,"Moderate",G1278&lt;=5,"Near Office")</f>
        <v>Moderate</v>
      </c>
      <c r="I1278" t="s">
        <v>83</v>
      </c>
      <c r="J1278" t="s">
        <v>38</v>
      </c>
      <c r="K1278">
        <v>3</v>
      </c>
      <c r="L1278" t="s">
        <v>39</v>
      </c>
      <c r="M1278">
        <v>35</v>
      </c>
      <c r="N1278">
        <v>3</v>
      </c>
      <c r="O1278">
        <v>5</v>
      </c>
      <c r="P1278" t="s">
        <v>58</v>
      </c>
      <c r="Q1278" t="s">
        <v>82</v>
      </c>
      <c r="R1278" t="s">
        <v>41</v>
      </c>
      <c r="S1278">
        <v>18665</v>
      </c>
      <c r="T1278" t="str" cm="1">
        <f t="array" ref="T1278">_xlfn.IFS(S1278&gt;=10000,"High (&gt;10k)",S1278&gt;=5000,"Medium (5k-10k)",S1278&lt;5000,"Low (&lt;5k)")</f>
        <v>High (&gt;10k)</v>
      </c>
      <c r="U1278">
        <v>25594</v>
      </c>
      <c r="V1278">
        <v>9</v>
      </c>
      <c r="W1278" t="s">
        <v>35</v>
      </c>
      <c r="X1278">
        <v>11</v>
      </c>
      <c r="Y1278">
        <v>3</v>
      </c>
      <c r="Z1278">
        <v>4</v>
      </c>
      <c r="AA1278">
        <v>0</v>
      </c>
      <c r="AB1278">
        <v>22</v>
      </c>
      <c r="AC1278">
        <v>4</v>
      </c>
      <c r="AD1278" t="s">
        <v>74</v>
      </c>
      <c r="AE1278">
        <v>3</v>
      </c>
      <c r="AF1278" t="str" cm="1">
        <f t="array" ref="AF1278">_xlfn.IFS(AE1278&gt;=10,"Veteran (10y+)",AE1278&gt;=3,"Established (3-10y)",AE1278&lt;3,"New Hire (&lt;3y)")</f>
        <v>Established (3-10y)</v>
      </c>
      <c r="AG1278">
        <v>2</v>
      </c>
      <c r="AH1278">
        <v>1</v>
      </c>
      <c r="AI1278">
        <v>2</v>
      </c>
    </row>
    <row r="1279" spans="1:35">
      <c r="A1279">
        <v>49</v>
      </c>
      <c r="B1279" t="str">
        <f t="shared" si="19"/>
        <v>Senior</v>
      </c>
      <c r="C1279">
        <v>0</v>
      </c>
      <c r="D1279" t="s">
        <v>36</v>
      </c>
      <c r="E1279">
        <v>1091</v>
      </c>
      <c r="F1279" t="s">
        <v>45</v>
      </c>
      <c r="G1279">
        <v>1</v>
      </c>
      <c r="H1279" t="str" cm="1">
        <f t="array" ref="H1279">_xlfn.IFS(G1279&gt;15,"Long Commute",G1279&gt;5,"Moderate",G1279&lt;=5,"Near Office")</f>
        <v>Near Office</v>
      </c>
      <c r="I1279" t="s">
        <v>76</v>
      </c>
      <c r="J1279" t="s">
        <v>60</v>
      </c>
      <c r="K1279">
        <v>3</v>
      </c>
      <c r="L1279" t="s">
        <v>39</v>
      </c>
      <c r="M1279">
        <v>90</v>
      </c>
      <c r="N1279">
        <v>2</v>
      </c>
      <c r="O1279">
        <v>4</v>
      </c>
      <c r="P1279" t="s">
        <v>54</v>
      </c>
      <c r="Q1279" t="s">
        <v>73</v>
      </c>
      <c r="R1279" t="s">
        <v>41</v>
      </c>
      <c r="S1279">
        <v>13964</v>
      </c>
      <c r="T1279" t="str" cm="1">
        <f t="array" ref="T1279">_xlfn.IFS(S1279&gt;=10000,"High (&gt;10k)",S1279&gt;=5000,"Medium (5k-10k)",S1279&lt;5000,"Low (&lt;5k)")</f>
        <v>High (&gt;10k)</v>
      </c>
      <c r="U1279">
        <v>17810</v>
      </c>
      <c r="V1279">
        <v>7</v>
      </c>
      <c r="W1279" t="s">
        <v>35</v>
      </c>
      <c r="X1279">
        <v>12</v>
      </c>
      <c r="Y1279">
        <v>3</v>
      </c>
      <c r="Z1279">
        <v>4</v>
      </c>
      <c r="AA1279">
        <v>0</v>
      </c>
      <c r="AB1279">
        <v>25</v>
      </c>
      <c r="AC1279">
        <v>2</v>
      </c>
      <c r="AD1279" t="s">
        <v>74</v>
      </c>
      <c r="AE1279">
        <v>7</v>
      </c>
      <c r="AF1279" t="str" cm="1">
        <f t="array" ref="AF1279">_xlfn.IFS(AE1279&gt;=10,"Veteran (10y+)",AE1279&gt;=3,"Established (3-10y)",AE1279&lt;3,"New Hire (&lt;3y)")</f>
        <v>Established (3-10y)</v>
      </c>
      <c r="AG1279">
        <v>1</v>
      </c>
      <c r="AH1279">
        <v>0</v>
      </c>
      <c r="AI1279">
        <v>7</v>
      </c>
    </row>
    <row r="1280" spans="1:35">
      <c r="A1280">
        <v>49</v>
      </c>
      <c r="B1280" t="str">
        <f t="shared" si="19"/>
        <v>Senior</v>
      </c>
      <c r="C1280">
        <v>0</v>
      </c>
      <c r="D1280" t="s">
        <v>36</v>
      </c>
      <c r="E1280">
        <v>1261</v>
      </c>
      <c r="F1280" t="s">
        <v>45</v>
      </c>
      <c r="G1280">
        <v>7</v>
      </c>
      <c r="H1280" t="str" cm="1">
        <f t="array" ref="H1280">_xlfn.IFS(G1280&gt;15,"Long Commute",G1280&gt;5,"Moderate",G1280&lt;=5,"Near Office")</f>
        <v>Moderate</v>
      </c>
      <c r="I1280" t="s">
        <v>72</v>
      </c>
      <c r="J1280" t="s">
        <v>49</v>
      </c>
      <c r="K1280">
        <v>2</v>
      </c>
      <c r="L1280" t="s">
        <v>46</v>
      </c>
      <c r="M1280">
        <v>31</v>
      </c>
      <c r="N1280">
        <v>2</v>
      </c>
      <c r="O1280">
        <v>3</v>
      </c>
      <c r="P1280" t="s">
        <v>54</v>
      </c>
      <c r="Q1280" t="s">
        <v>73</v>
      </c>
      <c r="R1280" t="s">
        <v>41</v>
      </c>
      <c r="S1280">
        <v>10965</v>
      </c>
      <c r="T1280" t="str" cm="1">
        <f t="array" ref="T1280">_xlfn.IFS(S1280&gt;=10000,"High (&gt;10k)",S1280&gt;=5000,"Medium (5k-10k)",S1280&lt;5000,"Low (&lt;5k)")</f>
        <v>High (&gt;10k)</v>
      </c>
      <c r="U1280">
        <v>12066</v>
      </c>
      <c r="V1280">
        <v>8</v>
      </c>
      <c r="W1280" t="s">
        <v>43</v>
      </c>
      <c r="X1280">
        <v>24</v>
      </c>
      <c r="Y1280">
        <v>4</v>
      </c>
      <c r="Z1280">
        <v>3</v>
      </c>
      <c r="AA1280">
        <v>0</v>
      </c>
      <c r="AB1280">
        <v>26</v>
      </c>
      <c r="AC1280">
        <v>2</v>
      </c>
      <c r="AD1280" t="s">
        <v>74</v>
      </c>
      <c r="AE1280">
        <v>5</v>
      </c>
      <c r="AF1280" t="str" cm="1">
        <f t="array" ref="AF1280">_xlfn.IFS(AE1280&gt;=10,"Veteran (10y+)",AE1280&gt;=3,"Established (3-10y)",AE1280&lt;3,"New Hire (&lt;3y)")</f>
        <v>Established (3-10y)</v>
      </c>
      <c r="AG1280">
        <v>2</v>
      </c>
      <c r="AH1280">
        <v>0</v>
      </c>
      <c r="AI1280">
        <v>0</v>
      </c>
    </row>
    <row r="1281" spans="1:35">
      <c r="A1281">
        <v>49</v>
      </c>
      <c r="B1281" t="str">
        <f t="shared" si="19"/>
        <v>Senior</v>
      </c>
      <c r="C1281">
        <v>0</v>
      </c>
      <c r="D1281" t="s">
        <v>36</v>
      </c>
      <c r="E1281">
        <v>1245</v>
      </c>
      <c r="F1281" t="s">
        <v>45</v>
      </c>
      <c r="G1281">
        <v>18</v>
      </c>
      <c r="H1281" t="str" cm="1">
        <f t="array" ref="H1281">_xlfn.IFS(G1281&gt;15,"Long Commute",G1281&gt;5,"Moderate",G1281&lt;=5,"Near Office")</f>
        <v>Long Commute</v>
      </c>
      <c r="I1281" t="s">
        <v>83</v>
      </c>
      <c r="J1281" t="s">
        <v>38</v>
      </c>
      <c r="K1281">
        <v>4</v>
      </c>
      <c r="L1281" t="s">
        <v>46</v>
      </c>
      <c r="M1281">
        <v>58</v>
      </c>
      <c r="N1281">
        <v>2</v>
      </c>
      <c r="O1281">
        <v>5</v>
      </c>
      <c r="P1281" t="s">
        <v>58</v>
      </c>
      <c r="Q1281" t="s">
        <v>73</v>
      </c>
      <c r="R1281" t="s">
        <v>52</v>
      </c>
      <c r="S1281">
        <v>19502</v>
      </c>
      <c r="T1281" t="str" cm="1">
        <f t="array" ref="T1281">_xlfn.IFS(S1281&gt;=10000,"High (&gt;10k)",S1281&gt;=5000,"Medium (5k-10k)",S1281&lt;5000,"Low (&lt;5k)")</f>
        <v>High (&gt;10k)</v>
      </c>
      <c r="U1281">
        <v>2125</v>
      </c>
      <c r="V1281">
        <v>1</v>
      </c>
      <c r="W1281" t="s">
        <v>35</v>
      </c>
      <c r="X1281">
        <v>17</v>
      </c>
      <c r="Y1281">
        <v>3</v>
      </c>
      <c r="Z1281">
        <v>3</v>
      </c>
      <c r="AA1281">
        <v>1</v>
      </c>
      <c r="AB1281">
        <v>31</v>
      </c>
      <c r="AC1281">
        <v>5</v>
      </c>
      <c r="AD1281" t="s">
        <v>74</v>
      </c>
      <c r="AE1281">
        <v>31</v>
      </c>
      <c r="AF1281" t="str" cm="1">
        <f t="array" ref="AF1281">_xlfn.IFS(AE1281&gt;=10,"Veteran (10y+)",AE1281&gt;=3,"Established (3-10y)",AE1281&lt;3,"New Hire (&lt;3y)")</f>
        <v>Veteran (10y+)</v>
      </c>
      <c r="AG1281">
        <v>9</v>
      </c>
      <c r="AH1281">
        <v>0</v>
      </c>
      <c r="AI1281">
        <v>9</v>
      </c>
    </row>
    <row r="1282" spans="1:35">
      <c r="A1282">
        <v>49</v>
      </c>
      <c r="B1282" t="str">
        <f t="shared" si="19"/>
        <v>Senior</v>
      </c>
      <c r="C1282">
        <v>1</v>
      </c>
      <c r="D1282" t="s">
        <v>36</v>
      </c>
      <c r="E1282">
        <v>1184</v>
      </c>
      <c r="F1282" t="s">
        <v>37</v>
      </c>
      <c r="G1282">
        <v>11</v>
      </c>
      <c r="H1282" t="str" cm="1">
        <f t="array" ref="H1282">_xlfn.IFS(G1282&gt;15,"Long Commute",G1282&gt;5,"Moderate",G1282&lt;=5,"Near Office")</f>
        <v>Moderate</v>
      </c>
      <c r="I1282" t="s">
        <v>72</v>
      </c>
      <c r="J1282" t="s">
        <v>59</v>
      </c>
      <c r="K1282">
        <v>3</v>
      </c>
      <c r="L1282" t="s">
        <v>39</v>
      </c>
      <c r="M1282">
        <v>43</v>
      </c>
      <c r="N1282">
        <v>3</v>
      </c>
      <c r="O1282">
        <v>3</v>
      </c>
      <c r="P1282" t="s">
        <v>40</v>
      </c>
      <c r="Q1282" t="s">
        <v>77</v>
      </c>
      <c r="R1282" t="s">
        <v>48</v>
      </c>
      <c r="S1282">
        <v>7654</v>
      </c>
      <c r="T1282" t="str" cm="1">
        <f t="array" ref="T1282">_xlfn.IFS(S1282&gt;=10000,"High (&gt;10k)",S1282&gt;=5000,"Medium (5k-10k)",S1282&lt;5000,"Low (&lt;5k)")</f>
        <v>Medium (5k-10k)</v>
      </c>
      <c r="U1282">
        <v>5860</v>
      </c>
      <c r="V1282">
        <v>1</v>
      </c>
      <c r="W1282" t="s">
        <v>43</v>
      </c>
      <c r="X1282">
        <v>18</v>
      </c>
      <c r="Y1282">
        <v>3</v>
      </c>
      <c r="Z1282">
        <v>1</v>
      </c>
      <c r="AA1282">
        <v>2</v>
      </c>
      <c r="AB1282">
        <v>9</v>
      </c>
      <c r="AC1282">
        <v>3</v>
      </c>
      <c r="AD1282" t="s">
        <v>79</v>
      </c>
      <c r="AE1282">
        <v>9</v>
      </c>
      <c r="AF1282" t="str" cm="1">
        <f t="array" ref="AF1282">_xlfn.IFS(AE1282&gt;=10,"Veteran (10y+)",AE1282&gt;=3,"Established (3-10y)",AE1282&lt;3,"New Hire (&lt;3y)")</f>
        <v>Established (3-10y)</v>
      </c>
      <c r="AG1282">
        <v>8</v>
      </c>
      <c r="AH1282">
        <v>7</v>
      </c>
      <c r="AI1282">
        <v>7</v>
      </c>
    </row>
    <row r="1283" spans="1:35">
      <c r="A1283">
        <v>49</v>
      </c>
      <c r="B1283" t="str">
        <f t="shared" ref="B1283:B1346" si="20">IF(A1283&gt;=46,"Senior",IF(A1283&gt;=30,"Middle Aged","Young Adults"))</f>
        <v>Senior</v>
      </c>
      <c r="C1283">
        <v>0</v>
      </c>
      <c r="D1283" t="s">
        <v>36</v>
      </c>
      <c r="E1283">
        <v>1418</v>
      </c>
      <c r="F1283" t="s">
        <v>45</v>
      </c>
      <c r="G1283">
        <v>1</v>
      </c>
      <c r="H1283" t="str" cm="1">
        <f t="array" ref="H1283">_xlfn.IFS(G1283&gt;15,"Long Commute",G1283&gt;5,"Moderate",G1283&lt;=5,"Near Office")</f>
        <v>Near Office</v>
      </c>
      <c r="I1283" t="s">
        <v>72</v>
      </c>
      <c r="J1283" t="s">
        <v>60</v>
      </c>
      <c r="K1283">
        <v>3</v>
      </c>
      <c r="L1283" t="s">
        <v>39</v>
      </c>
      <c r="M1283">
        <v>36</v>
      </c>
      <c r="N1283">
        <v>3</v>
      </c>
      <c r="O1283">
        <v>1</v>
      </c>
      <c r="P1283" t="s">
        <v>47</v>
      </c>
      <c r="Q1283" t="s">
        <v>82</v>
      </c>
      <c r="R1283" t="s">
        <v>48</v>
      </c>
      <c r="S1283">
        <v>3580</v>
      </c>
      <c r="T1283" t="str" cm="1">
        <f t="array" ref="T1283">_xlfn.IFS(S1283&gt;=10000,"High (&gt;10k)",S1283&gt;=5000,"Medium (5k-10k)",S1283&lt;5000,"Low (&lt;5k)")</f>
        <v>Low (&lt;5k)</v>
      </c>
      <c r="U1283">
        <v>10554</v>
      </c>
      <c r="V1283">
        <v>2</v>
      </c>
      <c r="W1283" t="s">
        <v>43</v>
      </c>
      <c r="X1283">
        <v>16</v>
      </c>
      <c r="Y1283">
        <v>3</v>
      </c>
      <c r="Z1283">
        <v>2</v>
      </c>
      <c r="AA1283">
        <v>1</v>
      </c>
      <c r="AB1283">
        <v>7</v>
      </c>
      <c r="AC1283">
        <v>2</v>
      </c>
      <c r="AD1283" t="s">
        <v>74</v>
      </c>
      <c r="AE1283">
        <v>4</v>
      </c>
      <c r="AF1283" t="str" cm="1">
        <f t="array" ref="AF1283">_xlfn.IFS(AE1283&gt;=10,"Veteran (10y+)",AE1283&gt;=3,"Established (3-10y)",AE1283&lt;3,"New Hire (&lt;3y)")</f>
        <v>Established (3-10y)</v>
      </c>
      <c r="AG1283">
        <v>2</v>
      </c>
      <c r="AH1283">
        <v>0</v>
      </c>
      <c r="AI1283">
        <v>2</v>
      </c>
    </row>
    <row r="1284" spans="1:35">
      <c r="A1284">
        <v>49</v>
      </c>
      <c r="B1284" t="str">
        <f t="shared" si="20"/>
        <v>Senior</v>
      </c>
      <c r="C1284">
        <v>0</v>
      </c>
      <c r="D1284" t="s">
        <v>36</v>
      </c>
      <c r="E1284">
        <v>527</v>
      </c>
      <c r="F1284" t="s">
        <v>45</v>
      </c>
      <c r="G1284">
        <v>8</v>
      </c>
      <c r="H1284" t="str" cm="1">
        <f t="array" ref="H1284">_xlfn.IFS(G1284&gt;15,"Long Commute",G1284&gt;5,"Moderate",G1284&lt;=5,"Near Office")</f>
        <v>Moderate</v>
      </c>
      <c r="I1284" t="s">
        <v>76</v>
      </c>
      <c r="J1284" t="s">
        <v>49</v>
      </c>
      <c r="K1284">
        <v>1</v>
      </c>
      <c r="L1284" t="s">
        <v>39</v>
      </c>
      <c r="M1284">
        <v>51</v>
      </c>
      <c r="N1284">
        <v>3</v>
      </c>
      <c r="O1284">
        <v>3</v>
      </c>
      <c r="P1284" t="s">
        <v>50</v>
      </c>
      <c r="Q1284" t="s">
        <v>75</v>
      </c>
      <c r="R1284" t="s">
        <v>48</v>
      </c>
      <c r="S1284">
        <v>7403</v>
      </c>
      <c r="T1284" t="str" cm="1">
        <f t="array" ref="T1284">_xlfn.IFS(S1284&gt;=10000,"High (&gt;10k)",S1284&gt;=5000,"Medium (5k-10k)",S1284&lt;5000,"Low (&lt;5k)")</f>
        <v>Medium (5k-10k)</v>
      </c>
      <c r="U1284">
        <v>22477</v>
      </c>
      <c r="V1284">
        <v>4</v>
      </c>
      <c r="W1284" t="s">
        <v>43</v>
      </c>
      <c r="X1284">
        <v>11</v>
      </c>
      <c r="Y1284">
        <v>3</v>
      </c>
      <c r="Z1284">
        <v>3</v>
      </c>
      <c r="AA1284">
        <v>1</v>
      </c>
      <c r="AB1284">
        <v>29</v>
      </c>
      <c r="AC1284">
        <v>3</v>
      </c>
      <c r="AD1284" t="s">
        <v>81</v>
      </c>
      <c r="AE1284">
        <v>26</v>
      </c>
      <c r="AF1284" t="str" cm="1">
        <f t="array" ref="AF1284">_xlfn.IFS(AE1284&gt;=10,"Veteran (10y+)",AE1284&gt;=3,"Established (3-10y)",AE1284&lt;3,"New Hire (&lt;3y)")</f>
        <v>Veteran (10y+)</v>
      </c>
      <c r="AG1284">
        <v>9</v>
      </c>
      <c r="AH1284">
        <v>1</v>
      </c>
      <c r="AI1284">
        <v>7</v>
      </c>
    </row>
    <row r="1285" spans="1:35">
      <c r="A1285">
        <v>49</v>
      </c>
      <c r="B1285" t="str">
        <f t="shared" si="20"/>
        <v>Senior</v>
      </c>
      <c r="C1285">
        <v>0</v>
      </c>
      <c r="D1285" t="s">
        <v>36</v>
      </c>
      <c r="E1285">
        <v>174</v>
      </c>
      <c r="F1285" t="s">
        <v>37</v>
      </c>
      <c r="G1285">
        <v>8</v>
      </c>
      <c r="H1285" t="str" cm="1">
        <f t="array" ref="H1285">_xlfn.IFS(G1285&gt;15,"Long Commute",G1285&gt;5,"Moderate",G1285&lt;=5,"Near Office")</f>
        <v>Moderate</v>
      </c>
      <c r="I1285" t="s">
        <v>83</v>
      </c>
      <c r="J1285" t="s">
        <v>60</v>
      </c>
      <c r="K1285">
        <v>4</v>
      </c>
      <c r="L1285" t="s">
        <v>46</v>
      </c>
      <c r="M1285">
        <v>56</v>
      </c>
      <c r="N1285">
        <v>2</v>
      </c>
      <c r="O1285">
        <v>4</v>
      </c>
      <c r="P1285" t="s">
        <v>40</v>
      </c>
      <c r="Q1285" t="s">
        <v>75</v>
      </c>
      <c r="R1285" t="s">
        <v>48</v>
      </c>
      <c r="S1285">
        <v>13120</v>
      </c>
      <c r="T1285" t="str" cm="1">
        <f t="array" ref="T1285">_xlfn.IFS(S1285&gt;=10000,"High (&gt;10k)",S1285&gt;=5000,"Medium (5k-10k)",S1285&lt;5000,"Low (&lt;5k)")</f>
        <v>High (&gt;10k)</v>
      </c>
      <c r="U1285">
        <v>11879</v>
      </c>
      <c r="V1285">
        <v>6</v>
      </c>
      <c r="W1285" t="s">
        <v>43</v>
      </c>
      <c r="X1285">
        <v>17</v>
      </c>
      <c r="Y1285">
        <v>3</v>
      </c>
      <c r="Z1285">
        <v>2</v>
      </c>
      <c r="AA1285">
        <v>1</v>
      </c>
      <c r="AB1285">
        <v>22</v>
      </c>
      <c r="AC1285">
        <v>3</v>
      </c>
      <c r="AD1285" t="s">
        <v>74</v>
      </c>
      <c r="AE1285">
        <v>9</v>
      </c>
      <c r="AF1285" t="str" cm="1">
        <f t="array" ref="AF1285">_xlfn.IFS(AE1285&gt;=10,"Veteran (10y+)",AE1285&gt;=3,"Established (3-10y)",AE1285&lt;3,"New Hire (&lt;3y)")</f>
        <v>Established (3-10y)</v>
      </c>
      <c r="AG1285">
        <v>8</v>
      </c>
      <c r="AH1285">
        <v>2</v>
      </c>
      <c r="AI1285">
        <v>3</v>
      </c>
    </row>
    <row r="1286" spans="1:35">
      <c r="A1286">
        <v>49</v>
      </c>
      <c r="B1286" t="str">
        <f t="shared" si="20"/>
        <v>Senior</v>
      </c>
      <c r="C1286">
        <v>0</v>
      </c>
      <c r="D1286" t="s">
        <v>36</v>
      </c>
      <c r="E1286">
        <v>1098</v>
      </c>
      <c r="F1286" t="s">
        <v>45</v>
      </c>
      <c r="G1286">
        <v>4</v>
      </c>
      <c r="H1286" t="str" cm="1">
        <f t="array" ref="H1286">_xlfn.IFS(G1286&gt;15,"Long Commute",G1286&gt;5,"Moderate",G1286&lt;=5,"Near Office")</f>
        <v>Near Office</v>
      </c>
      <c r="I1286" t="s">
        <v>76</v>
      </c>
      <c r="J1286" t="s">
        <v>51</v>
      </c>
      <c r="K1286">
        <v>1</v>
      </c>
      <c r="L1286" t="s">
        <v>46</v>
      </c>
      <c r="M1286">
        <v>85</v>
      </c>
      <c r="N1286">
        <v>2</v>
      </c>
      <c r="O1286">
        <v>5</v>
      </c>
      <c r="P1286" t="s">
        <v>56</v>
      </c>
      <c r="Q1286" t="s">
        <v>73</v>
      </c>
      <c r="R1286" t="s">
        <v>48</v>
      </c>
      <c r="S1286">
        <v>18711</v>
      </c>
      <c r="T1286" t="str" cm="1">
        <f t="array" ref="T1286">_xlfn.IFS(S1286&gt;=10000,"High (&gt;10k)",S1286&gt;=5000,"Medium (5k-10k)",S1286&lt;5000,"Low (&lt;5k)")</f>
        <v>High (&gt;10k)</v>
      </c>
      <c r="U1286">
        <v>12124</v>
      </c>
      <c r="V1286">
        <v>2</v>
      </c>
      <c r="W1286" t="s">
        <v>43</v>
      </c>
      <c r="X1286">
        <v>13</v>
      </c>
      <c r="Y1286">
        <v>3</v>
      </c>
      <c r="Z1286">
        <v>3</v>
      </c>
      <c r="AA1286">
        <v>1</v>
      </c>
      <c r="AB1286">
        <v>23</v>
      </c>
      <c r="AC1286">
        <v>2</v>
      </c>
      <c r="AD1286" t="s">
        <v>79</v>
      </c>
      <c r="AE1286">
        <v>1</v>
      </c>
      <c r="AF1286" t="str" cm="1">
        <f t="array" ref="AF1286">_xlfn.IFS(AE1286&gt;=10,"Veteran (10y+)",AE1286&gt;=3,"Established (3-10y)",AE1286&lt;3,"New Hire (&lt;3y)")</f>
        <v>New Hire (&lt;3y)</v>
      </c>
      <c r="AG1286">
        <v>0</v>
      </c>
      <c r="AH1286">
        <v>0</v>
      </c>
      <c r="AI1286">
        <v>0</v>
      </c>
    </row>
    <row r="1287" spans="1:35">
      <c r="A1287">
        <v>49</v>
      </c>
      <c r="B1287" t="str">
        <f t="shared" si="20"/>
        <v>Senior</v>
      </c>
      <c r="C1287">
        <v>1</v>
      </c>
      <c r="D1287" t="s">
        <v>44</v>
      </c>
      <c r="E1287">
        <v>1475</v>
      </c>
      <c r="F1287" t="s">
        <v>45</v>
      </c>
      <c r="G1287">
        <v>28</v>
      </c>
      <c r="H1287" t="str" cm="1">
        <f t="array" ref="H1287">_xlfn.IFS(G1287&gt;15,"Long Commute",G1287&gt;5,"Moderate",G1287&lt;=5,"Near Office")</f>
        <v>Long Commute</v>
      </c>
      <c r="I1287" t="s">
        <v>76</v>
      </c>
      <c r="J1287" t="s">
        <v>38</v>
      </c>
      <c r="K1287">
        <v>1</v>
      </c>
      <c r="L1287" t="s">
        <v>46</v>
      </c>
      <c r="M1287">
        <v>97</v>
      </c>
      <c r="N1287">
        <v>2</v>
      </c>
      <c r="O1287">
        <v>2</v>
      </c>
      <c r="P1287" t="s">
        <v>50</v>
      </c>
      <c r="Q1287" t="s">
        <v>82</v>
      </c>
      <c r="R1287" t="s">
        <v>41</v>
      </c>
      <c r="S1287">
        <v>4284</v>
      </c>
      <c r="T1287" t="str" cm="1">
        <f t="array" ref="T1287">_xlfn.IFS(S1287&gt;=10000,"High (&gt;10k)",S1287&gt;=5000,"Medium (5k-10k)",S1287&lt;5000,"Low (&lt;5k)")</f>
        <v>Low (&lt;5k)</v>
      </c>
      <c r="U1287">
        <v>22710</v>
      </c>
      <c r="V1287">
        <v>3</v>
      </c>
      <c r="W1287" t="s">
        <v>43</v>
      </c>
      <c r="X1287">
        <v>20</v>
      </c>
      <c r="Y1287">
        <v>4</v>
      </c>
      <c r="Z1287">
        <v>1</v>
      </c>
      <c r="AA1287">
        <v>0</v>
      </c>
      <c r="AB1287">
        <v>20</v>
      </c>
      <c r="AC1287">
        <v>2</v>
      </c>
      <c r="AD1287" t="s">
        <v>74</v>
      </c>
      <c r="AE1287">
        <v>4</v>
      </c>
      <c r="AF1287" t="str" cm="1">
        <f t="array" ref="AF1287">_xlfn.IFS(AE1287&gt;=10,"Veteran (10y+)",AE1287&gt;=3,"Established (3-10y)",AE1287&lt;3,"New Hire (&lt;3y)")</f>
        <v>Established (3-10y)</v>
      </c>
      <c r="AG1287">
        <v>3</v>
      </c>
      <c r="AH1287">
        <v>1</v>
      </c>
      <c r="AI1287">
        <v>3</v>
      </c>
    </row>
    <row r="1288" spans="1:35">
      <c r="A1288">
        <v>49</v>
      </c>
      <c r="B1288" t="str">
        <f t="shared" si="20"/>
        <v>Senior</v>
      </c>
      <c r="C1288">
        <v>0</v>
      </c>
      <c r="D1288" t="s">
        <v>36</v>
      </c>
      <c r="E1288">
        <v>1495</v>
      </c>
      <c r="F1288" t="s">
        <v>45</v>
      </c>
      <c r="G1288">
        <v>5</v>
      </c>
      <c r="H1288" t="str" cm="1">
        <f t="array" ref="H1288">_xlfn.IFS(G1288&gt;15,"Long Commute",G1288&gt;5,"Moderate",G1288&lt;=5,"Near Office")</f>
        <v>Near Office</v>
      </c>
      <c r="I1288" t="s">
        <v>83</v>
      </c>
      <c r="J1288" t="s">
        <v>60</v>
      </c>
      <c r="K1288">
        <v>1</v>
      </c>
      <c r="L1288" t="s">
        <v>46</v>
      </c>
      <c r="M1288">
        <v>96</v>
      </c>
      <c r="N1288">
        <v>3</v>
      </c>
      <c r="O1288">
        <v>2</v>
      </c>
      <c r="P1288" t="s">
        <v>54</v>
      </c>
      <c r="Q1288" t="s">
        <v>73</v>
      </c>
      <c r="R1288" t="s">
        <v>48</v>
      </c>
      <c r="S1288">
        <v>6651</v>
      </c>
      <c r="T1288" t="str" cm="1">
        <f t="array" ref="T1288">_xlfn.IFS(S1288&gt;=10000,"High (&gt;10k)",S1288&gt;=5000,"Medium (5k-10k)",S1288&lt;5000,"Low (&lt;5k)")</f>
        <v>Medium (5k-10k)</v>
      </c>
      <c r="U1288">
        <v>21534</v>
      </c>
      <c r="V1288">
        <v>2</v>
      </c>
      <c r="W1288" t="s">
        <v>43</v>
      </c>
      <c r="X1288">
        <v>14</v>
      </c>
      <c r="Y1288">
        <v>3</v>
      </c>
      <c r="Z1288">
        <v>2</v>
      </c>
      <c r="AA1288">
        <v>1</v>
      </c>
      <c r="AB1288">
        <v>20</v>
      </c>
      <c r="AC1288">
        <v>0</v>
      </c>
      <c r="AD1288" t="s">
        <v>81</v>
      </c>
      <c r="AE1288">
        <v>3</v>
      </c>
      <c r="AF1288" t="str" cm="1">
        <f t="array" ref="AF1288">_xlfn.IFS(AE1288&gt;=10,"Veteran (10y+)",AE1288&gt;=3,"Established (3-10y)",AE1288&lt;3,"New Hire (&lt;3y)")</f>
        <v>Established (3-10y)</v>
      </c>
      <c r="AG1288">
        <v>2</v>
      </c>
      <c r="AH1288">
        <v>1</v>
      </c>
      <c r="AI1288">
        <v>2</v>
      </c>
    </row>
    <row r="1289" spans="1:35">
      <c r="A1289">
        <v>49</v>
      </c>
      <c r="B1289" t="str">
        <f t="shared" si="20"/>
        <v>Senior</v>
      </c>
      <c r="C1289">
        <v>0</v>
      </c>
      <c r="D1289" t="s">
        <v>36</v>
      </c>
      <c r="E1289">
        <v>1490</v>
      </c>
      <c r="F1289" t="s">
        <v>45</v>
      </c>
      <c r="G1289">
        <v>7</v>
      </c>
      <c r="H1289" t="str" cm="1">
        <f t="array" ref="H1289">_xlfn.IFS(G1289&gt;15,"Long Commute",G1289&gt;5,"Moderate",G1289&lt;=5,"Near Office")</f>
        <v>Moderate</v>
      </c>
      <c r="I1289" t="s">
        <v>83</v>
      </c>
      <c r="J1289" t="s">
        <v>38</v>
      </c>
      <c r="K1289">
        <v>3</v>
      </c>
      <c r="L1289" t="s">
        <v>46</v>
      </c>
      <c r="M1289">
        <v>35</v>
      </c>
      <c r="N1289">
        <v>3</v>
      </c>
      <c r="O1289">
        <v>3</v>
      </c>
      <c r="P1289" t="s">
        <v>54</v>
      </c>
      <c r="Q1289" t="s">
        <v>75</v>
      </c>
      <c r="R1289" t="s">
        <v>52</v>
      </c>
      <c r="S1289">
        <v>10466</v>
      </c>
      <c r="T1289" t="str" cm="1">
        <f t="array" ref="T1289">_xlfn.IFS(S1289&gt;=10000,"High (&gt;10k)",S1289&gt;=5000,"Medium (5k-10k)",S1289&lt;5000,"Low (&lt;5k)")</f>
        <v>High (&gt;10k)</v>
      </c>
      <c r="U1289">
        <v>20948</v>
      </c>
      <c r="V1289">
        <v>3</v>
      </c>
      <c r="W1289" t="s">
        <v>43</v>
      </c>
      <c r="X1289">
        <v>14</v>
      </c>
      <c r="Y1289">
        <v>3</v>
      </c>
      <c r="Z1289">
        <v>2</v>
      </c>
      <c r="AA1289">
        <v>2</v>
      </c>
      <c r="AB1289">
        <v>29</v>
      </c>
      <c r="AC1289">
        <v>3</v>
      </c>
      <c r="AD1289" t="s">
        <v>74</v>
      </c>
      <c r="AE1289">
        <v>8</v>
      </c>
      <c r="AF1289" t="str" cm="1">
        <f t="array" ref="AF1289">_xlfn.IFS(AE1289&gt;=10,"Veteran (10y+)",AE1289&gt;=3,"Established (3-10y)",AE1289&lt;3,"New Hire (&lt;3y)")</f>
        <v>Established (3-10y)</v>
      </c>
      <c r="AG1289">
        <v>7</v>
      </c>
      <c r="AH1289">
        <v>0</v>
      </c>
      <c r="AI1289">
        <v>7</v>
      </c>
    </row>
    <row r="1290" spans="1:35">
      <c r="A1290">
        <v>49</v>
      </c>
      <c r="B1290" t="str">
        <f t="shared" si="20"/>
        <v>Senior</v>
      </c>
      <c r="C1290">
        <v>0</v>
      </c>
      <c r="D1290" t="s">
        <v>36</v>
      </c>
      <c r="E1290">
        <v>271</v>
      </c>
      <c r="F1290" t="s">
        <v>45</v>
      </c>
      <c r="G1290">
        <v>3</v>
      </c>
      <c r="H1290" t="str" cm="1">
        <f t="array" ref="H1290">_xlfn.IFS(G1290&gt;15,"Long Commute",G1290&gt;5,"Moderate",G1290&lt;=5,"Near Office")</f>
        <v>Near Office</v>
      </c>
      <c r="I1290" t="s">
        <v>76</v>
      </c>
      <c r="J1290" t="s">
        <v>51</v>
      </c>
      <c r="K1290">
        <v>3</v>
      </c>
      <c r="L1290" t="s">
        <v>39</v>
      </c>
      <c r="M1290">
        <v>43</v>
      </c>
      <c r="N1290">
        <v>2</v>
      </c>
      <c r="O1290">
        <v>2</v>
      </c>
      <c r="P1290" t="s">
        <v>50</v>
      </c>
      <c r="Q1290" t="s">
        <v>82</v>
      </c>
      <c r="R1290" t="s">
        <v>48</v>
      </c>
      <c r="S1290">
        <v>4789</v>
      </c>
      <c r="T1290" t="str" cm="1">
        <f t="array" ref="T1290">_xlfn.IFS(S1290&gt;=10000,"High (&gt;10k)",S1290&gt;=5000,"Medium (5k-10k)",S1290&lt;5000,"Low (&lt;5k)")</f>
        <v>Low (&lt;5k)</v>
      </c>
      <c r="U1290">
        <v>23070</v>
      </c>
      <c r="V1290">
        <v>4</v>
      </c>
      <c r="W1290" t="s">
        <v>43</v>
      </c>
      <c r="X1290">
        <v>25</v>
      </c>
      <c r="Y1290">
        <v>4</v>
      </c>
      <c r="Z1290">
        <v>1</v>
      </c>
      <c r="AA1290">
        <v>1</v>
      </c>
      <c r="AB1290">
        <v>10</v>
      </c>
      <c r="AC1290">
        <v>3</v>
      </c>
      <c r="AD1290" t="s">
        <v>74</v>
      </c>
      <c r="AE1290">
        <v>3</v>
      </c>
      <c r="AF1290" t="str" cm="1">
        <f t="array" ref="AF1290">_xlfn.IFS(AE1290&gt;=10,"Veteran (10y+)",AE1290&gt;=3,"Established (3-10y)",AE1290&lt;3,"New Hire (&lt;3y)")</f>
        <v>Established (3-10y)</v>
      </c>
      <c r="AG1290">
        <v>2</v>
      </c>
      <c r="AH1290">
        <v>1</v>
      </c>
      <c r="AI1290">
        <v>2</v>
      </c>
    </row>
    <row r="1291" spans="1:35">
      <c r="A1291">
        <v>49</v>
      </c>
      <c r="B1291" t="str">
        <f t="shared" si="20"/>
        <v>Senior</v>
      </c>
      <c r="C1291">
        <v>0</v>
      </c>
      <c r="D1291" t="s">
        <v>36</v>
      </c>
      <c r="E1291">
        <v>722</v>
      </c>
      <c r="F1291" t="s">
        <v>45</v>
      </c>
      <c r="G1291">
        <v>25</v>
      </c>
      <c r="H1291" t="str" cm="1">
        <f t="array" ref="H1291">_xlfn.IFS(G1291&gt;15,"Long Commute",G1291&gt;5,"Moderate",G1291&lt;=5,"Near Office")</f>
        <v>Long Commute</v>
      </c>
      <c r="I1291" t="s">
        <v>83</v>
      </c>
      <c r="J1291" t="s">
        <v>38</v>
      </c>
      <c r="K1291">
        <v>3</v>
      </c>
      <c r="L1291" t="s">
        <v>39</v>
      </c>
      <c r="M1291">
        <v>84</v>
      </c>
      <c r="N1291">
        <v>3</v>
      </c>
      <c r="O1291">
        <v>1</v>
      </c>
      <c r="P1291" t="s">
        <v>50</v>
      </c>
      <c r="Q1291" t="s">
        <v>82</v>
      </c>
      <c r="R1291" t="s">
        <v>48</v>
      </c>
      <c r="S1291">
        <v>3211</v>
      </c>
      <c r="T1291" t="str" cm="1">
        <f t="array" ref="T1291">_xlfn.IFS(S1291&gt;=10000,"High (&gt;10k)",S1291&gt;=5000,"Medium (5k-10k)",S1291&lt;5000,"Low (&lt;5k)")</f>
        <v>Low (&lt;5k)</v>
      </c>
      <c r="U1291">
        <v>22102</v>
      </c>
      <c r="V1291">
        <v>1</v>
      </c>
      <c r="W1291" t="s">
        <v>43</v>
      </c>
      <c r="X1291">
        <v>14</v>
      </c>
      <c r="Y1291">
        <v>3</v>
      </c>
      <c r="Z1291">
        <v>4</v>
      </c>
      <c r="AA1291">
        <v>1</v>
      </c>
      <c r="AB1291">
        <v>10</v>
      </c>
      <c r="AC1291">
        <v>3</v>
      </c>
      <c r="AD1291" t="s">
        <v>81</v>
      </c>
      <c r="AE1291">
        <v>9</v>
      </c>
      <c r="AF1291" t="str" cm="1">
        <f t="array" ref="AF1291">_xlfn.IFS(AE1291&gt;=10,"Veteran (10y+)",AE1291&gt;=3,"Established (3-10y)",AE1291&lt;3,"New Hire (&lt;3y)")</f>
        <v>Established (3-10y)</v>
      </c>
      <c r="AG1291">
        <v>6</v>
      </c>
      <c r="AH1291">
        <v>1</v>
      </c>
      <c r="AI1291">
        <v>4</v>
      </c>
    </row>
    <row r="1292" spans="1:35">
      <c r="A1292">
        <v>49</v>
      </c>
      <c r="B1292" t="str">
        <f t="shared" si="20"/>
        <v>Senior</v>
      </c>
      <c r="C1292">
        <v>0</v>
      </c>
      <c r="D1292" t="s">
        <v>36</v>
      </c>
      <c r="E1292">
        <v>301</v>
      </c>
      <c r="F1292" t="s">
        <v>45</v>
      </c>
      <c r="G1292">
        <v>22</v>
      </c>
      <c r="H1292" t="str" cm="1">
        <f t="array" ref="H1292">_xlfn.IFS(G1292&gt;15,"Long Commute",G1292&gt;5,"Moderate",G1292&lt;=5,"Near Office")</f>
        <v>Long Commute</v>
      </c>
      <c r="I1292" t="s">
        <v>83</v>
      </c>
      <c r="J1292" t="s">
        <v>49</v>
      </c>
      <c r="K1292">
        <v>1</v>
      </c>
      <c r="L1292" t="s">
        <v>39</v>
      </c>
      <c r="M1292">
        <v>72</v>
      </c>
      <c r="N1292">
        <v>3</v>
      </c>
      <c r="O1292">
        <v>4</v>
      </c>
      <c r="P1292" t="s">
        <v>58</v>
      </c>
      <c r="Q1292" t="s">
        <v>75</v>
      </c>
      <c r="R1292" t="s">
        <v>48</v>
      </c>
      <c r="S1292">
        <v>16413</v>
      </c>
      <c r="T1292" t="str" cm="1">
        <f t="array" ref="T1292">_xlfn.IFS(S1292&gt;=10000,"High (&gt;10k)",S1292&gt;=5000,"Medium (5k-10k)",S1292&lt;5000,"Low (&lt;5k)")</f>
        <v>High (&gt;10k)</v>
      </c>
      <c r="U1292">
        <v>3498</v>
      </c>
      <c r="V1292">
        <v>3</v>
      </c>
      <c r="W1292" t="s">
        <v>43</v>
      </c>
      <c r="X1292">
        <v>16</v>
      </c>
      <c r="Y1292">
        <v>3</v>
      </c>
      <c r="Z1292">
        <v>2</v>
      </c>
      <c r="AA1292">
        <v>2</v>
      </c>
      <c r="AB1292">
        <v>27</v>
      </c>
      <c r="AC1292">
        <v>2</v>
      </c>
      <c r="AD1292" t="s">
        <v>74</v>
      </c>
      <c r="AE1292">
        <v>4</v>
      </c>
      <c r="AF1292" t="str" cm="1">
        <f t="array" ref="AF1292">_xlfn.IFS(AE1292&gt;=10,"Veteran (10y+)",AE1292&gt;=3,"Established (3-10y)",AE1292&lt;3,"New Hire (&lt;3y)")</f>
        <v>Established (3-10y)</v>
      </c>
      <c r="AG1292">
        <v>2</v>
      </c>
      <c r="AH1292">
        <v>1</v>
      </c>
      <c r="AI1292">
        <v>2</v>
      </c>
    </row>
    <row r="1293" spans="1:35">
      <c r="A1293">
        <v>49</v>
      </c>
      <c r="B1293" t="str">
        <f t="shared" si="20"/>
        <v>Senior</v>
      </c>
      <c r="C1293">
        <v>0</v>
      </c>
      <c r="D1293" t="s">
        <v>36</v>
      </c>
      <c r="E1293">
        <v>465</v>
      </c>
      <c r="F1293" t="s">
        <v>45</v>
      </c>
      <c r="G1293">
        <v>6</v>
      </c>
      <c r="H1293" t="str" cm="1">
        <f t="array" ref="H1293">_xlfn.IFS(G1293&gt;15,"Long Commute",G1293&gt;5,"Moderate",G1293&lt;=5,"Near Office")</f>
        <v>Moderate</v>
      </c>
      <c r="I1293" t="s">
        <v>78</v>
      </c>
      <c r="J1293" t="s">
        <v>38</v>
      </c>
      <c r="K1293">
        <v>3</v>
      </c>
      <c r="L1293" t="s">
        <v>39</v>
      </c>
      <c r="M1293">
        <v>41</v>
      </c>
      <c r="N1293">
        <v>2</v>
      </c>
      <c r="O1293">
        <v>4</v>
      </c>
      <c r="P1293" t="s">
        <v>54</v>
      </c>
      <c r="Q1293" t="s">
        <v>73</v>
      </c>
      <c r="R1293" t="s">
        <v>48</v>
      </c>
      <c r="S1293">
        <v>13966</v>
      </c>
      <c r="T1293" t="str" cm="1">
        <f t="array" ref="T1293">_xlfn.IFS(S1293&gt;=10000,"High (&gt;10k)",S1293&gt;=5000,"Medium (5k-10k)",S1293&lt;5000,"Low (&lt;5k)")</f>
        <v>High (&gt;10k)</v>
      </c>
      <c r="U1293">
        <v>11652</v>
      </c>
      <c r="V1293">
        <v>2</v>
      </c>
      <c r="W1293" t="s">
        <v>35</v>
      </c>
      <c r="X1293">
        <v>19</v>
      </c>
      <c r="Y1293">
        <v>3</v>
      </c>
      <c r="Z1293">
        <v>2</v>
      </c>
      <c r="AA1293">
        <v>1</v>
      </c>
      <c r="AB1293">
        <v>30</v>
      </c>
      <c r="AC1293">
        <v>3</v>
      </c>
      <c r="AD1293" t="s">
        <v>74</v>
      </c>
      <c r="AE1293">
        <v>15</v>
      </c>
      <c r="AF1293" t="str" cm="1">
        <f t="array" ref="AF1293">_xlfn.IFS(AE1293&gt;=10,"Veteran (10y+)",AE1293&gt;=3,"Established (3-10y)",AE1293&lt;3,"New Hire (&lt;3y)")</f>
        <v>Veteran (10y+)</v>
      </c>
      <c r="AG1293">
        <v>11</v>
      </c>
      <c r="AH1293">
        <v>2</v>
      </c>
      <c r="AI1293">
        <v>12</v>
      </c>
    </row>
    <row r="1294" spans="1:35">
      <c r="A1294">
        <v>49</v>
      </c>
      <c r="B1294" t="str">
        <f t="shared" si="20"/>
        <v>Senior</v>
      </c>
      <c r="C1294">
        <v>0</v>
      </c>
      <c r="D1294" t="s">
        <v>36</v>
      </c>
      <c r="E1294">
        <v>464</v>
      </c>
      <c r="F1294" t="s">
        <v>45</v>
      </c>
      <c r="G1294">
        <v>16</v>
      </c>
      <c r="H1294" t="str" cm="1">
        <f t="array" ref="H1294">_xlfn.IFS(G1294&gt;15,"Long Commute",G1294&gt;5,"Moderate",G1294&lt;=5,"Near Office")</f>
        <v>Long Commute</v>
      </c>
      <c r="I1294" t="s">
        <v>72</v>
      </c>
      <c r="J1294" t="s">
        <v>51</v>
      </c>
      <c r="K1294">
        <v>4</v>
      </c>
      <c r="L1294" t="s">
        <v>39</v>
      </c>
      <c r="M1294">
        <v>74</v>
      </c>
      <c r="N1294">
        <v>3</v>
      </c>
      <c r="O1294">
        <v>1</v>
      </c>
      <c r="P1294" t="s">
        <v>50</v>
      </c>
      <c r="Q1294" t="s">
        <v>82</v>
      </c>
      <c r="R1294" t="s">
        <v>52</v>
      </c>
      <c r="S1294">
        <v>2587</v>
      </c>
      <c r="T1294" t="str" cm="1">
        <f t="array" ref="T1294">_xlfn.IFS(S1294&gt;=10000,"High (&gt;10k)",S1294&gt;=5000,"Medium (5k-10k)",S1294&lt;5000,"Low (&lt;5k)")</f>
        <v>Low (&lt;5k)</v>
      </c>
      <c r="U1294">
        <v>24941</v>
      </c>
      <c r="V1294">
        <v>4</v>
      </c>
      <c r="W1294" t="s">
        <v>35</v>
      </c>
      <c r="X1294">
        <v>16</v>
      </c>
      <c r="Y1294">
        <v>3</v>
      </c>
      <c r="Z1294">
        <v>2</v>
      </c>
      <c r="AA1294">
        <v>1</v>
      </c>
      <c r="AB1294">
        <v>17</v>
      </c>
      <c r="AC1294">
        <v>2</v>
      </c>
      <c r="AD1294" t="s">
        <v>81</v>
      </c>
      <c r="AE1294">
        <v>2</v>
      </c>
      <c r="AF1294" t="str" cm="1">
        <f t="array" ref="AF1294">_xlfn.IFS(AE1294&gt;=10,"Veteran (10y+)",AE1294&gt;=3,"Established (3-10y)",AE1294&lt;3,"New Hire (&lt;3y)")</f>
        <v>New Hire (&lt;3y)</v>
      </c>
      <c r="AG1294">
        <v>2</v>
      </c>
      <c r="AH1294">
        <v>2</v>
      </c>
      <c r="AI1294">
        <v>2</v>
      </c>
    </row>
    <row r="1295" spans="1:35">
      <c r="A1295">
        <v>49</v>
      </c>
      <c r="B1295" t="str">
        <f t="shared" si="20"/>
        <v>Senior</v>
      </c>
      <c r="C1295">
        <v>0</v>
      </c>
      <c r="D1295" t="s">
        <v>36</v>
      </c>
      <c r="E1295">
        <v>809</v>
      </c>
      <c r="F1295" t="s">
        <v>45</v>
      </c>
      <c r="G1295">
        <v>1</v>
      </c>
      <c r="H1295" t="str" cm="1">
        <f t="array" ref="H1295">_xlfn.IFS(G1295&gt;15,"Long Commute",G1295&gt;5,"Moderate",G1295&lt;=5,"Near Office")</f>
        <v>Near Office</v>
      </c>
      <c r="I1295" t="s">
        <v>72</v>
      </c>
      <c r="J1295" t="s">
        <v>38</v>
      </c>
      <c r="K1295">
        <v>3</v>
      </c>
      <c r="L1295" t="s">
        <v>46</v>
      </c>
      <c r="M1295">
        <v>36</v>
      </c>
      <c r="N1295">
        <v>3</v>
      </c>
      <c r="O1295">
        <v>4</v>
      </c>
      <c r="P1295" t="s">
        <v>56</v>
      </c>
      <c r="Q1295" t="s">
        <v>73</v>
      </c>
      <c r="R1295" t="s">
        <v>41</v>
      </c>
      <c r="S1295">
        <v>15379</v>
      </c>
      <c r="T1295" t="str" cm="1">
        <f t="array" ref="T1295">_xlfn.IFS(S1295&gt;=10000,"High (&gt;10k)",S1295&gt;=5000,"Medium (5k-10k)",S1295&lt;5000,"Low (&lt;5k)")</f>
        <v>High (&gt;10k)</v>
      </c>
      <c r="U1295">
        <v>22384</v>
      </c>
      <c r="V1295">
        <v>4</v>
      </c>
      <c r="W1295" t="s">
        <v>43</v>
      </c>
      <c r="X1295">
        <v>14</v>
      </c>
      <c r="Y1295">
        <v>3</v>
      </c>
      <c r="Z1295">
        <v>1</v>
      </c>
      <c r="AA1295">
        <v>0</v>
      </c>
      <c r="AB1295">
        <v>23</v>
      </c>
      <c r="AC1295">
        <v>2</v>
      </c>
      <c r="AD1295" t="s">
        <v>74</v>
      </c>
      <c r="AE1295">
        <v>8</v>
      </c>
      <c r="AF1295" t="str" cm="1">
        <f t="array" ref="AF1295">_xlfn.IFS(AE1295&gt;=10,"Veteran (10y+)",AE1295&gt;=3,"Established (3-10y)",AE1295&lt;3,"New Hire (&lt;3y)")</f>
        <v>Established (3-10y)</v>
      </c>
      <c r="AG1295">
        <v>7</v>
      </c>
      <c r="AH1295">
        <v>0</v>
      </c>
      <c r="AI1295">
        <v>0</v>
      </c>
    </row>
    <row r="1296" spans="1:35">
      <c r="A1296">
        <v>49</v>
      </c>
      <c r="B1296" t="str">
        <f t="shared" si="20"/>
        <v>Senior</v>
      </c>
      <c r="C1296">
        <v>0</v>
      </c>
      <c r="D1296" t="s">
        <v>36</v>
      </c>
      <c r="E1296">
        <v>1313</v>
      </c>
      <c r="F1296" t="s">
        <v>37</v>
      </c>
      <c r="G1296">
        <v>11</v>
      </c>
      <c r="H1296" t="str" cm="1">
        <f t="array" ref="H1296">_xlfn.IFS(G1296&gt;15,"Long Commute",G1296&gt;5,"Moderate",G1296&lt;=5,"Near Office")</f>
        <v>Moderate</v>
      </c>
      <c r="I1296" t="s">
        <v>83</v>
      </c>
      <c r="J1296" t="s">
        <v>59</v>
      </c>
      <c r="K1296">
        <v>4</v>
      </c>
      <c r="L1296" t="s">
        <v>39</v>
      </c>
      <c r="M1296">
        <v>80</v>
      </c>
      <c r="N1296">
        <v>3</v>
      </c>
      <c r="O1296">
        <v>2</v>
      </c>
      <c r="P1296" t="s">
        <v>40</v>
      </c>
      <c r="Q1296" t="s">
        <v>77</v>
      </c>
      <c r="R1296" t="s">
        <v>41</v>
      </c>
      <c r="S1296">
        <v>4507</v>
      </c>
      <c r="T1296" t="str" cm="1">
        <f t="array" ref="T1296">_xlfn.IFS(S1296&gt;=10000,"High (&gt;10k)",S1296&gt;=5000,"Medium (5k-10k)",S1296&lt;5000,"Low (&lt;5k)")</f>
        <v>Low (&lt;5k)</v>
      </c>
      <c r="U1296">
        <v>8191</v>
      </c>
      <c r="V1296">
        <v>3</v>
      </c>
      <c r="W1296" t="s">
        <v>43</v>
      </c>
      <c r="X1296">
        <v>12</v>
      </c>
      <c r="Y1296">
        <v>3</v>
      </c>
      <c r="Z1296">
        <v>3</v>
      </c>
      <c r="AA1296">
        <v>0</v>
      </c>
      <c r="AB1296">
        <v>8</v>
      </c>
      <c r="AC1296">
        <v>1</v>
      </c>
      <c r="AD1296" t="s">
        <v>79</v>
      </c>
      <c r="AE1296">
        <v>5</v>
      </c>
      <c r="AF1296" t="str" cm="1">
        <f t="array" ref="AF1296">_xlfn.IFS(AE1296&gt;=10,"Veteran (10y+)",AE1296&gt;=3,"Established (3-10y)",AE1296&lt;3,"New Hire (&lt;3y)")</f>
        <v>Established (3-10y)</v>
      </c>
      <c r="AG1296">
        <v>1</v>
      </c>
      <c r="AH1296">
        <v>0</v>
      </c>
      <c r="AI1296">
        <v>4</v>
      </c>
    </row>
    <row r="1297" spans="1:35">
      <c r="A1297">
        <v>49</v>
      </c>
      <c r="B1297" t="str">
        <f t="shared" si="20"/>
        <v>Senior</v>
      </c>
      <c r="C1297">
        <v>0</v>
      </c>
      <c r="D1297" t="s">
        <v>44</v>
      </c>
      <c r="E1297">
        <v>1064</v>
      </c>
      <c r="F1297" t="s">
        <v>45</v>
      </c>
      <c r="G1297">
        <v>2</v>
      </c>
      <c r="H1297" t="str" cm="1">
        <f t="array" ref="H1297">_xlfn.IFS(G1297&gt;15,"Long Commute",G1297&gt;5,"Moderate",G1297&lt;=5,"Near Office")</f>
        <v>Near Office</v>
      </c>
      <c r="I1297" t="s">
        <v>78</v>
      </c>
      <c r="J1297" t="s">
        <v>38</v>
      </c>
      <c r="K1297">
        <v>2</v>
      </c>
      <c r="L1297" t="s">
        <v>46</v>
      </c>
      <c r="M1297">
        <v>42</v>
      </c>
      <c r="N1297">
        <v>3</v>
      </c>
      <c r="O1297">
        <v>5</v>
      </c>
      <c r="P1297" t="s">
        <v>58</v>
      </c>
      <c r="Q1297" t="s">
        <v>77</v>
      </c>
      <c r="R1297" t="s">
        <v>48</v>
      </c>
      <c r="S1297">
        <v>19161</v>
      </c>
      <c r="T1297" t="str" cm="1">
        <f t="array" ref="T1297">_xlfn.IFS(S1297&gt;=10000,"High (&gt;10k)",S1297&gt;=5000,"Medium (5k-10k)",S1297&lt;5000,"Low (&lt;5k)")</f>
        <v>High (&gt;10k)</v>
      </c>
      <c r="U1297">
        <v>13738</v>
      </c>
      <c r="V1297">
        <v>3</v>
      </c>
      <c r="W1297" t="s">
        <v>43</v>
      </c>
      <c r="X1297">
        <v>15</v>
      </c>
      <c r="Y1297">
        <v>3</v>
      </c>
      <c r="Z1297">
        <v>4</v>
      </c>
      <c r="AA1297">
        <v>0</v>
      </c>
      <c r="AB1297">
        <v>28</v>
      </c>
      <c r="AC1297">
        <v>3</v>
      </c>
      <c r="AD1297" t="s">
        <v>74</v>
      </c>
      <c r="AE1297">
        <v>5</v>
      </c>
      <c r="AF1297" t="str" cm="1">
        <f t="array" ref="AF1297">_xlfn.IFS(AE1297&gt;=10,"Veteran (10y+)",AE1297&gt;=3,"Established (3-10y)",AE1297&lt;3,"New Hire (&lt;3y)")</f>
        <v>Established (3-10y)</v>
      </c>
      <c r="AG1297">
        <v>4</v>
      </c>
      <c r="AH1297">
        <v>4</v>
      </c>
      <c r="AI1297">
        <v>3</v>
      </c>
    </row>
    <row r="1298" spans="1:35">
      <c r="A1298">
        <v>49</v>
      </c>
      <c r="B1298" t="str">
        <f t="shared" si="20"/>
        <v>Senior</v>
      </c>
      <c r="C1298">
        <v>0</v>
      </c>
      <c r="D1298" t="s">
        <v>44</v>
      </c>
      <c r="E1298">
        <v>1023</v>
      </c>
      <c r="F1298" t="s">
        <v>37</v>
      </c>
      <c r="G1298">
        <v>2</v>
      </c>
      <c r="H1298" t="str" cm="1">
        <f t="array" ref="H1298">_xlfn.IFS(G1298&gt;15,"Long Commute",G1298&gt;5,"Moderate",G1298&lt;=5,"Near Office")</f>
        <v>Near Office</v>
      </c>
      <c r="I1298" t="s">
        <v>72</v>
      </c>
      <c r="J1298" t="s">
        <v>51</v>
      </c>
      <c r="K1298">
        <v>4</v>
      </c>
      <c r="L1298" t="s">
        <v>46</v>
      </c>
      <c r="M1298">
        <v>63</v>
      </c>
      <c r="N1298">
        <v>2</v>
      </c>
      <c r="O1298">
        <v>2</v>
      </c>
      <c r="P1298" t="s">
        <v>40</v>
      </c>
      <c r="Q1298" t="s">
        <v>75</v>
      </c>
      <c r="R1298" t="s">
        <v>48</v>
      </c>
      <c r="S1298">
        <v>5390</v>
      </c>
      <c r="T1298" t="str" cm="1">
        <f t="array" ref="T1298">_xlfn.IFS(S1298&gt;=10000,"High (&gt;10k)",S1298&gt;=5000,"Medium (5k-10k)",S1298&lt;5000,"Low (&lt;5k)")</f>
        <v>Medium (5k-10k)</v>
      </c>
      <c r="U1298">
        <v>13243</v>
      </c>
      <c r="V1298">
        <v>2</v>
      </c>
      <c r="W1298" t="s">
        <v>43</v>
      </c>
      <c r="X1298">
        <v>14</v>
      </c>
      <c r="Y1298">
        <v>3</v>
      </c>
      <c r="Z1298">
        <v>4</v>
      </c>
      <c r="AA1298">
        <v>0</v>
      </c>
      <c r="AB1298">
        <v>17</v>
      </c>
      <c r="AC1298">
        <v>3</v>
      </c>
      <c r="AD1298" t="s">
        <v>81</v>
      </c>
      <c r="AE1298">
        <v>9</v>
      </c>
      <c r="AF1298" t="str" cm="1">
        <f t="array" ref="AF1298">_xlfn.IFS(AE1298&gt;=10,"Veteran (10y+)",AE1298&gt;=3,"Established (3-10y)",AE1298&lt;3,"New Hire (&lt;3y)")</f>
        <v>Established (3-10y)</v>
      </c>
      <c r="AG1298">
        <v>6</v>
      </c>
      <c r="AH1298">
        <v>0</v>
      </c>
      <c r="AI1298">
        <v>8</v>
      </c>
    </row>
    <row r="1299" spans="1:35">
      <c r="A1299">
        <v>50</v>
      </c>
      <c r="B1299" t="str">
        <f t="shared" si="20"/>
        <v>Senior</v>
      </c>
      <c r="C1299">
        <v>1</v>
      </c>
      <c r="D1299" t="s">
        <v>36</v>
      </c>
      <c r="E1299">
        <v>869</v>
      </c>
      <c r="F1299" t="s">
        <v>37</v>
      </c>
      <c r="G1299">
        <v>3</v>
      </c>
      <c r="H1299" t="str" cm="1">
        <f t="array" ref="H1299">_xlfn.IFS(G1299&gt;15,"Long Commute",G1299&gt;5,"Moderate",G1299&lt;=5,"Near Office")</f>
        <v>Near Office</v>
      </c>
      <c r="I1299" t="s">
        <v>76</v>
      </c>
      <c r="J1299" t="s">
        <v>59</v>
      </c>
      <c r="K1299">
        <v>1</v>
      </c>
      <c r="L1299" t="s">
        <v>46</v>
      </c>
      <c r="M1299">
        <v>86</v>
      </c>
      <c r="N1299">
        <v>2</v>
      </c>
      <c r="O1299">
        <v>1</v>
      </c>
      <c r="P1299" t="s">
        <v>57</v>
      </c>
      <c r="Q1299" t="s">
        <v>73</v>
      </c>
      <c r="R1299" t="s">
        <v>48</v>
      </c>
      <c r="S1299">
        <v>2683</v>
      </c>
      <c r="T1299" t="str" cm="1">
        <f t="array" ref="T1299">_xlfn.IFS(S1299&gt;=10000,"High (&gt;10k)",S1299&gt;=5000,"Medium (5k-10k)",S1299&lt;5000,"Low (&lt;5k)")</f>
        <v>Low (&lt;5k)</v>
      </c>
      <c r="U1299">
        <v>3810</v>
      </c>
      <c r="V1299">
        <v>1</v>
      </c>
      <c r="W1299" t="s">
        <v>35</v>
      </c>
      <c r="X1299">
        <v>14</v>
      </c>
      <c r="Y1299">
        <v>3</v>
      </c>
      <c r="Z1299">
        <v>3</v>
      </c>
      <c r="AA1299">
        <v>0</v>
      </c>
      <c r="AB1299">
        <v>3</v>
      </c>
      <c r="AC1299">
        <v>2</v>
      </c>
      <c r="AD1299" t="s">
        <v>74</v>
      </c>
      <c r="AE1299">
        <v>3</v>
      </c>
      <c r="AF1299" t="str" cm="1">
        <f t="array" ref="AF1299">_xlfn.IFS(AE1299&gt;=10,"Veteran (10y+)",AE1299&gt;=3,"Established (3-10y)",AE1299&lt;3,"New Hire (&lt;3y)")</f>
        <v>Established (3-10y)</v>
      </c>
      <c r="AG1299">
        <v>2</v>
      </c>
      <c r="AH1299">
        <v>0</v>
      </c>
      <c r="AI1299">
        <v>2</v>
      </c>
    </row>
    <row r="1300" spans="1:35">
      <c r="A1300">
        <v>50</v>
      </c>
      <c r="B1300" t="str">
        <f t="shared" si="20"/>
        <v>Senior</v>
      </c>
      <c r="C1300">
        <v>0</v>
      </c>
      <c r="D1300" t="s">
        <v>36</v>
      </c>
      <c r="E1300">
        <v>989</v>
      </c>
      <c r="F1300" t="s">
        <v>45</v>
      </c>
      <c r="G1300">
        <v>7</v>
      </c>
      <c r="H1300" t="str" cm="1">
        <f t="array" ref="H1300">_xlfn.IFS(G1300&gt;15,"Long Commute",G1300&gt;5,"Moderate",G1300&lt;=5,"Near Office")</f>
        <v>Moderate</v>
      </c>
      <c r="I1300" t="s">
        <v>76</v>
      </c>
      <c r="J1300" t="s">
        <v>51</v>
      </c>
      <c r="K1300">
        <v>2</v>
      </c>
      <c r="L1300" t="s">
        <v>39</v>
      </c>
      <c r="M1300">
        <v>43</v>
      </c>
      <c r="N1300">
        <v>2</v>
      </c>
      <c r="O1300">
        <v>5</v>
      </c>
      <c r="P1300" t="s">
        <v>58</v>
      </c>
      <c r="Q1300" t="s">
        <v>73</v>
      </c>
      <c r="R1300" t="s">
        <v>52</v>
      </c>
      <c r="S1300">
        <v>18740</v>
      </c>
      <c r="T1300" t="str" cm="1">
        <f t="array" ref="T1300">_xlfn.IFS(S1300&gt;=10000,"High (&gt;10k)",S1300&gt;=5000,"Medium (5k-10k)",S1300&lt;5000,"Low (&lt;5k)")</f>
        <v>High (&gt;10k)</v>
      </c>
      <c r="U1300">
        <v>16701</v>
      </c>
      <c r="V1300">
        <v>5</v>
      </c>
      <c r="W1300" t="s">
        <v>35</v>
      </c>
      <c r="X1300">
        <v>12</v>
      </c>
      <c r="Y1300">
        <v>3</v>
      </c>
      <c r="Z1300">
        <v>4</v>
      </c>
      <c r="AA1300">
        <v>1</v>
      </c>
      <c r="AB1300">
        <v>29</v>
      </c>
      <c r="AC1300">
        <v>2</v>
      </c>
      <c r="AD1300" t="s">
        <v>81</v>
      </c>
      <c r="AE1300">
        <v>27</v>
      </c>
      <c r="AF1300" t="str" cm="1">
        <f t="array" ref="AF1300">_xlfn.IFS(AE1300&gt;=10,"Veteran (10y+)",AE1300&gt;=3,"Established (3-10y)",AE1300&lt;3,"New Hire (&lt;3y)")</f>
        <v>Veteran (10y+)</v>
      </c>
      <c r="AG1300">
        <v>3</v>
      </c>
      <c r="AH1300">
        <v>13</v>
      </c>
      <c r="AI1300">
        <v>8</v>
      </c>
    </row>
    <row r="1301" spans="1:35">
      <c r="A1301">
        <v>50</v>
      </c>
      <c r="B1301" t="str">
        <f t="shared" si="20"/>
        <v>Senior</v>
      </c>
      <c r="C1301">
        <v>0</v>
      </c>
      <c r="D1301" t="s">
        <v>44</v>
      </c>
      <c r="E1301">
        <v>1115</v>
      </c>
      <c r="F1301" t="s">
        <v>45</v>
      </c>
      <c r="G1301">
        <v>1</v>
      </c>
      <c r="H1301" t="str" cm="1">
        <f t="array" ref="H1301">_xlfn.IFS(G1301&gt;15,"Long Commute",G1301&gt;5,"Moderate",G1301&lt;=5,"Near Office")</f>
        <v>Near Office</v>
      </c>
      <c r="I1301" t="s">
        <v>72</v>
      </c>
      <c r="J1301" t="s">
        <v>38</v>
      </c>
      <c r="K1301">
        <v>1</v>
      </c>
      <c r="L1301" t="s">
        <v>39</v>
      </c>
      <c r="M1301">
        <v>73</v>
      </c>
      <c r="N1301">
        <v>3</v>
      </c>
      <c r="O1301">
        <v>5</v>
      </c>
      <c r="P1301" t="s">
        <v>58</v>
      </c>
      <c r="Q1301" t="s">
        <v>75</v>
      </c>
      <c r="R1301" t="s">
        <v>48</v>
      </c>
      <c r="S1301">
        <v>18172</v>
      </c>
      <c r="T1301" t="str" cm="1">
        <f t="array" ref="T1301">_xlfn.IFS(S1301&gt;=10000,"High (&gt;10k)",S1301&gt;=5000,"Medium (5k-10k)",S1301&lt;5000,"Low (&lt;5k)")</f>
        <v>High (&gt;10k)</v>
      </c>
      <c r="U1301">
        <v>9755</v>
      </c>
      <c r="V1301">
        <v>3</v>
      </c>
      <c r="W1301" t="s">
        <v>35</v>
      </c>
      <c r="X1301">
        <v>19</v>
      </c>
      <c r="Y1301">
        <v>3</v>
      </c>
      <c r="Z1301">
        <v>1</v>
      </c>
      <c r="AA1301">
        <v>0</v>
      </c>
      <c r="AB1301">
        <v>28</v>
      </c>
      <c r="AC1301">
        <v>1</v>
      </c>
      <c r="AD1301" t="s">
        <v>81</v>
      </c>
      <c r="AE1301">
        <v>8</v>
      </c>
      <c r="AF1301" t="str" cm="1">
        <f t="array" ref="AF1301">_xlfn.IFS(AE1301&gt;=10,"Veteran (10y+)",AE1301&gt;=3,"Established (3-10y)",AE1301&lt;3,"New Hire (&lt;3y)")</f>
        <v>Established (3-10y)</v>
      </c>
      <c r="AG1301">
        <v>3</v>
      </c>
      <c r="AH1301">
        <v>0</v>
      </c>
      <c r="AI1301">
        <v>7</v>
      </c>
    </row>
    <row r="1302" spans="1:35">
      <c r="A1302">
        <v>50</v>
      </c>
      <c r="B1302" t="str">
        <f t="shared" si="20"/>
        <v>Senior</v>
      </c>
      <c r="C1302">
        <v>0</v>
      </c>
      <c r="D1302" t="s">
        <v>44</v>
      </c>
      <c r="E1302">
        <v>809</v>
      </c>
      <c r="F1302" t="s">
        <v>37</v>
      </c>
      <c r="G1302">
        <v>12</v>
      </c>
      <c r="H1302" t="str" cm="1">
        <f t="array" ref="H1302">_xlfn.IFS(G1302&gt;15,"Long Commute",G1302&gt;5,"Moderate",G1302&lt;=5,"Near Office")</f>
        <v>Moderate</v>
      </c>
      <c r="I1302" t="s">
        <v>72</v>
      </c>
      <c r="J1302" t="s">
        <v>59</v>
      </c>
      <c r="K1302">
        <v>3</v>
      </c>
      <c r="L1302" t="s">
        <v>39</v>
      </c>
      <c r="M1302">
        <v>77</v>
      </c>
      <c r="N1302">
        <v>3</v>
      </c>
      <c r="O1302">
        <v>3</v>
      </c>
      <c r="P1302" t="s">
        <v>40</v>
      </c>
      <c r="Q1302" t="s">
        <v>77</v>
      </c>
      <c r="R1302" t="s">
        <v>41</v>
      </c>
      <c r="S1302">
        <v>9208</v>
      </c>
      <c r="T1302" t="str" cm="1">
        <f t="array" ref="T1302">_xlfn.IFS(S1302&gt;=10000,"High (&gt;10k)",S1302&gt;=5000,"Medium (5k-10k)",S1302&lt;5000,"Low (&lt;5k)")</f>
        <v>Medium (5k-10k)</v>
      </c>
      <c r="U1302">
        <v>6645</v>
      </c>
      <c r="V1302">
        <v>4</v>
      </c>
      <c r="W1302" t="s">
        <v>43</v>
      </c>
      <c r="X1302">
        <v>11</v>
      </c>
      <c r="Y1302">
        <v>3</v>
      </c>
      <c r="Z1302">
        <v>4</v>
      </c>
      <c r="AA1302">
        <v>0</v>
      </c>
      <c r="AB1302">
        <v>16</v>
      </c>
      <c r="AC1302">
        <v>3</v>
      </c>
      <c r="AD1302" t="s">
        <v>74</v>
      </c>
      <c r="AE1302">
        <v>2</v>
      </c>
      <c r="AF1302" t="str" cm="1">
        <f t="array" ref="AF1302">_xlfn.IFS(AE1302&gt;=10,"Veteran (10y+)",AE1302&gt;=3,"Established (3-10y)",AE1302&lt;3,"New Hire (&lt;3y)")</f>
        <v>New Hire (&lt;3y)</v>
      </c>
      <c r="AG1302">
        <v>2</v>
      </c>
      <c r="AH1302">
        <v>2</v>
      </c>
      <c r="AI1302">
        <v>1</v>
      </c>
    </row>
    <row r="1303" spans="1:35">
      <c r="A1303">
        <v>50</v>
      </c>
      <c r="B1303" t="str">
        <f t="shared" si="20"/>
        <v>Senior</v>
      </c>
      <c r="C1303">
        <v>0</v>
      </c>
      <c r="D1303" t="s">
        <v>36</v>
      </c>
      <c r="E1303">
        <v>1452</v>
      </c>
      <c r="F1303" t="s">
        <v>45</v>
      </c>
      <c r="G1303">
        <v>11</v>
      </c>
      <c r="H1303" t="str" cm="1">
        <f t="array" ref="H1303">_xlfn.IFS(G1303&gt;15,"Long Commute",G1303&gt;5,"Moderate",G1303&lt;=5,"Near Office")</f>
        <v>Moderate</v>
      </c>
      <c r="I1303" t="s">
        <v>72</v>
      </c>
      <c r="J1303" t="s">
        <v>38</v>
      </c>
      <c r="K1303">
        <v>3</v>
      </c>
      <c r="L1303" t="s">
        <v>39</v>
      </c>
      <c r="M1303">
        <v>53</v>
      </c>
      <c r="N1303">
        <v>3</v>
      </c>
      <c r="O1303">
        <v>5</v>
      </c>
      <c r="P1303" t="s">
        <v>56</v>
      </c>
      <c r="Q1303" t="s">
        <v>75</v>
      </c>
      <c r="R1303" t="s">
        <v>41</v>
      </c>
      <c r="S1303">
        <v>19926</v>
      </c>
      <c r="T1303" t="str" cm="1">
        <f t="array" ref="T1303">_xlfn.IFS(S1303&gt;=10000,"High (&gt;10k)",S1303&gt;=5000,"Medium (5k-10k)",S1303&lt;5000,"Low (&lt;5k)")</f>
        <v>High (&gt;10k)</v>
      </c>
      <c r="U1303">
        <v>17053</v>
      </c>
      <c r="V1303">
        <v>3</v>
      </c>
      <c r="W1303" t="s">
        <v>43</v>
      </c>
      <c r="X1303">
        <v>15</v>
      </c>
      <c r="Y1303">
        <v>3</v>
      </c>
      <c r="Z1303">
        <v>2</v>
      </c>
      <c r="AA1303">
        <v>0</v>
      </c>
      <c r="AB1303">
        <v>21</v>
      </c>
      <c r="AC1303">
        <v>5</v>
      </c>
      <c r="AD1303" t="s">
        <v>74</v>
      </c>
      <c r="AE1303">
        <v>5</v>
      </c>
      <c r="AF1303" t="str" cm="1">
        <f t="array" ref="AF1303">_xlfn.IFS(AE1303&gt;=10,"Veteran (10y+)",AE1303&gt;=3,"Established (3-10y)",AE1303&lt;3,"New Hire (&lt;3y)")</f>
        <v>Established (3-10y)</v>
      </c>
      <c r="AG1303">
        <v>4</v>
      </c>
      <c r="AH1303">
        <v>4</v>
      </c>
      <c r="AI1303">
        <v>4</v>
      </c>
    </row>
    <row r="1304" spans="1:35">
      <c r="A1304">
        <v>50</v>
      </c>
      <c r="B1304" t="str">
        <f t="shared" si="20"/>
        <v>Senior</v>
      </c>
      <c r="C1304">
        <v>0</v>
      </c>
      <c r="D1304" t="s">
        <v>36</v>
      </c>
      <c r="E1304">
        <v>328</v>
      </c>
      <c r="F1304" t="s">
        <v>45</v>
      </c>
      <c r="G1304">
        <v>1</v>
      </c>
      <c r="H1304" t="str" cm="1">
        <f t="array" ref="H1304">_xlfn.IFS(G1304&gt;15,"Long Commute",G1304&gt;5,"Moderate",G1304&lt;=5,"Near Office")</f>
        <v>Near Office</v>
      </c>
      <c r="I1304" t="s">
        <v>72</v>
      </c>
      <c r="J1304" t="s">
        <v>51</v>
      </c>
      <c r="K1304">
        <v>3</v>
      </c>
      <c r="L1304" t="s">
        <v>46</v>
      </c>
      <c r="M1304">
        <v>86</v>
      </c>
      <c r="N1304">
        <v>2</v>
      </c>
      <c r="O1304">
        <v>1</v>
      </c>
      <c r="P1304" t="s">
        <v>50</v>
      </c>
      <c r="Q1304" t="s">
        <v>73</v>
      </c>
      <c r="R1304" t="s">
        <v>48</v>
      </c>
      <c r="S1304">
        <v>3690</v>
      </c>
      <c r="T1304" t="str" cm="1">
        <f t="array" ref="T1304">_xlfn.IFS(S1304&gt;=10000,"High (&gt;10k)",S1304&gt;=5000,"Medium (5k-10k)",S1304&lt;5000,"Low (&lt;5k)")</f>
        <v>Low (&lt;5k)</v>
      </c>
      <c r="U1304">
        <v>3425</v>
      </c>
      <c r="V1304">
        <v>2</v>
      </c>
      <c r="W1304" t="s">
        <v>43</v>
      </c>
      <c r="X1304">
        <v>15</v>
      </c>
      <c r="Y1304">
        <v>3</v>
      </c>
      <c r="Z1304">
        <v>4</v>
      </c>
      <c r="AA1304">
        <v>1</v>
      </c>
      <c r="AB1304">
        <v>5</v>
      </c>
      <c r="AC1304">
        <v>2</v>
      </c>
      <c r="AD1304" t="s">
        <v>81</v>
      </c>
      <c r="AE1304">
        <v>3</v>
      </c>
      <c r="AF1304" t="str" cm="1">
        <f t="array" ref="AF1304">_xlfn.IFS(AE1304&gt;=10,"Veteran (10y+)",AE1304&gt;=3,"Established (3-10y)",AE1304&lt;3,"New Hire (&lt;3y)")</f>
        <v>Established (3-10y)</v>
      </c>
      <c r="AG1304">
        <v>2</v>
      </c>
      <c r="AH1304">
        <v>0</v>
      </c>
      <c r="AI1304">
        <v>2</v>
      </c>
    </row>
    <row r="1305" spans="1:35">
      <c r="A1305">
        <v>50</v>
      </c>
      <c r="B1305" t="str">
        <f t="shared" si="20"/>
        <v>Senior</v>
      </c>
      <c r="C1305">
        <v>0</v>
      </c>
      <c r="D1305" t="s">
        <v>36</v>
      </c>
      <c r="E1305">
        <v>854</v>
      </c>
      <c r="F1305" t="s">
        <v>37</v>
      </c>
      <c r="G1305">
        <v>1</v>
      </c>
      <c r="H1305" t="str" cm="1">
        <f t="array" ref="H1305">_xlfn.IFS(G1305&gt;15,"Long Commute",G1305&gt;5,"Moderate",G1305&lt;=5,"Near Office")</f>
        <v>Near Office</v>
      </c>
      <c r="I1305" t="s">
        <v>83</v>
      </c>
      <c r="J1305" t="s">
        <v>51</v>
      </c>
      <c r="K1305">
        <v>4</v>
      </c>
      <c r="L1305" t="s">
        <v>39</v>
      </c>
      <c r="M1305">
        <v>68</v>
      </c>
      <c r="N1305">
        <v>3</v>
      </c>
      <c r="O1305">
        <v>5</v>
      </c>
      <c r="P1305" t="s">
        <v>56</v>
      </c>
      <c r="Q1305" t="s">
        <v>77</v>
      </c>
      <c r="R1305" t="s">
        <v>52</v>
      </c>
      <c r="S1305">
        <v>19517</v>
      </c>
      <c r="T1305" t="str" cm="1">
        <f t="array" ref="T1305">_xlfn.IFS(S1305&gt;=10000,"High (&gt;10k)",S1305&gt;=5000,"Medium (5k-10k)",S1305&lt;5000,"Low (&lt;5k)")</f>
        <v>High (&gt;10k)</v>
      </c>
      <c r="U1305">
        <v>24118</v>
      </c>
      <c r="V1305">
        <v>3</v>
      </c>
      <c r="W1305" t="s">
        <v>43</v>
      </c>
      <c r="X1305">
        <v>11</v>
      </c>
      <c r="Y1305">
        <v>3</v>
      </c>
      <c r="Z1305">
        <v>3</v>
      </c>
      <c r="AA1305">
        <v>1</v>
      </c>
      <c r="AB1305">
        <v>32</v>
      </c>
      <c r="AC1305">
        <v>3</v>
      </c>
      <c r="AD1305" t="s">
        <v>81</v>
      </c>
      <c r="AE1305">
        <v>7</v>
      </c>
      <c r="AF1305" t="str" cm="1">
        <f t="array" ref="AF1305">_xlfn.IFS(AE1305&gt;=10,"Veteran (10y+)",AE1305&gt;=3,"Established (3-10y)",AE1305&lt;3,"New Hire (&lt;3y)")</f>
        <v>Established (3-10y)</v>
      </c>
      <c r="AG1305">
        <v>0</v>
      </c>
      <c r="AH1305">
        <v>0</v>
      </c>
      <c r="AI1305">
        <v>6</v>
      </c>
    </row>
    <row r="1306" spans="1:35">
      <c r="A1306">
        <v>50</v>
      </c>
      <c r="B1306" t="str">
        <f t="shared" si="20"/>
        <v>Senior</v>
      </c>
      <c r="C1306">
        <v>0</v>
      </c>
      <c r="D1306" t="s">
        <v>36</v>
      </c>
      <c r="E1306">
        <v>797</v>
      </c>
      <c r="F1306" t="s">
        <v>45</v>
      </c>
      <c r="G1306">
        <v>4</v>
      </c>
      <c r="H1306" t="str" cm="1">
        <f t="array" ref="H1306">_xlfn.IFS(G1306&gt;15,"Long Commute",G1306&gt;5,"Moderate",G1306&lt;=5,"Near Office")</f>
        <v>Near Office</v>
      </c>
      <c r="I1306" t="s">
        <v>78</v>
      </c>
      <c r="J1306" t="s">
        <v>38</v>
      </c>
      <c r="K1306">
        <v>1</v>
      </c>
      <c r="L1306" t="s">
        <v>46</v>
      </c>
      <c r="M1306">
        <v>96</v>
      </c>
      <c r="N1306">
        <v>3</v>
      </c>
      <c r="O1306">
        <v>5</v>
      </c>
      <c r="P1306" t="s">
        <v>58</v>
      </c>
      <c r="Q1306" t="s">
        <v>75</v>
      </c>
      <c r="R1306" t="s">
        <v>52</v>
      </c>
      <c r="S1306">
        <v>19144</v>
      </c>
      <c r="T1306" t="str" cm="1">
        <f t="array" ref="T1306">_xlfn.IFS(S1306&gt;=10000,"High (&gt;10k)",S1306&gt;=5000,"Medium (5k-10k)",S1306&lt;5000,"Low (&lt;5k)")</f>
        <v>High (&gt;10k)</v>
      </c>
      <c r="U1306">
        <v>15815</v>
      </c>
      <c r="V1306">
        <v>3</v>
      </c>
      <c r="W1306" t="s">
        <v>43</v>
      </c>
      <c r="X1306">
        <v>14</v>
      </c>
      <c r="Y1306">
        <v>3</v>
      </c>
      <c r="Z1306">
        <v>1</v>
      </c>
      <c r="AA1306">
        <v>2</v>
      </c>
      <c r="AB1306">
        <v>28</v>
      </c>
      <c r="AC1306">
        <v>4</v>
      </c>
      <c r="AD1306" t="s">
        <v>81</v>
      </c>
      <c r="AE1306">
        <v>10</v>
      </c>
      <c r="AF1306" t="str" cm="1">
        <f t="array" ref="AF1306">_xlfn.IFS(AE1306&gt;=10,"Veteran (10y+)",AE1306&gt;=3,"Established (3-10y)",AE1306&lt;3,"New Hire (&lt;3y)")</f>
        <v>Veteran (10y+)</v>
      </c>
      <c r="AG1306">
        <v>4</v>
      </c>
      <c r="AH1306">
        <v>1</v>
      </c>
      <c r="AI1306">
        <v>6</v>
      </c>
    </row>
    <row r="1307" spans="1:35">
      <c r="A1307">
        <v>50</v>
      </c>
      <c r="B1307" t="str">
        <f t="shared" si="20"/>
        <v>Senior</v>
      </c>
      <c r="C1307">
        <v>0</v>
      </c>
      <c r="D1307" t="s">
        <v>36</v>
      </c>
      <c r="E1307">
        <v>1046</v>
      </c>
      <c r="F1307" t="s">
        <v>45</v>
      </c>
      <c r="G1307">
        <v>10</v>
      </c>
      <c r="H1307" t="str" cm="1">
        <f t="array" ref="H1307">_xlfn.IFS(G1307&gt;15,"Long Commute",G1307&gt;5,"Moderate",G1307&lt;=5,"Near Office")</f>
        <v>Moderate</v>
      </c>
      <c r="I1307" t="s">
        <v>72</v>
      </c>
      <c r="J1307" t="s">
        <v>60</v>
      </c>
      <c r="K1307">
        <v>4</v>
      </c>
      <c r="L1307" t="s">
        <v>46</v>
      </c>
      <c r="M1307">
        <v>100</v>
      </c>
      <c r="N1307">
        <v>2</v>
      </c>
      <c r="O1307">
        <v>3</v>
      </c>
      <c r="P1307" t="s">
        <v>54</v>
      </c>
      <c r="Q1307" t="s">
        <v>77</v>
      </c>
      <c r="R1307" t="s">
        <v>41</v>
      </c>
      <c r="S1307">
        <v>10496</v>
      </c>
      <c r="T1307" t="str" cm="1">
        <f t="array" ref="T1307">_xlfn.IFS(S1307&gt;=10000,"High (&gt;10k)",S1307&gt;=5000,"Medium (5k-10k)",S1307&lt;5000,"Low (&lt;5k)")</f>
        <v>High (&gt;10k)</v>
      </c>
      <c r="U1307">
        <v>2755</v>
      </c>
      <c r="V1307">
        <v>6</v>
      </c>
      <c r="W1307" t="s">
        <v>43</v>
      </c>
      <c r="X1307">
        <v>15</v>
      </c>
      <c r="Y1307">
        <v>3</v>
      </c>
      <c r="Z1307">
        <v>4</v>
      </c>
      <c r="AA1307">
        <v>0</v>
      </c>
      <c r="AB1307">
        <v>20</v>
      </c>
      <c r="AC1307">
        <v>2</v>
      </c>
      <c r="AD1307" t="s">
        <v>74</v>
      </c>
      <c r="AE1307">
        <v>4</v>
      </c>
      <c r="AF1307" t="str" cm="1">
        <f t="array" ref="AF1307">_xlfn.IFS(AE1307&gt;=10,"Veteran (10y+)",AE1307&gt;=3,"Established (3-10y)",AE1307&lt;3,"New Hire (&lt;3y)")</f>
        <v>Established (3-10y)</v>
      </c>
      <c r="AG1307">
        <v>3</v>
      </c>
      <c r="AH1307">
        <v>1</v>
      </c>
      <c r="AI1307">
        <v>3</v>
      </c>
    </row>
    <row r="1308" spans="1:35">
      <c r="A1308">
        <v>50</v>
      </c>
      <c r="B1308" t="str">
        <f t="shared" si="20"/>
        <v>Senior</v>
      </c>
      <c r="C1308">
        <v>0</v>
      </c>
      <c r="D1308" t="s">
        <v>36</v>
      </c>
      <c r="E1308">
        <v>1099</v>
      </c>
      <c r="F1308" t="s">
        <v>45</v>
      </c>
      <c r="G1308">
        <v>29</v>
      </c>
      <c r="H1308" t="str" cm="1">
        <f t="array" ref="H1308">_xlfn.IFS(G1308&gt;15,"Long Commute",G1308&gt;5,"Moderate",G1308&lt;=5,"Near Office")</f>
        <v>Long Commute</v>
      </c>
      <c r="I1308" t="s">
        <v>83</v>
      </c>
      <c r="J1308" t="s">
        <v>38</v>
      </c>
      <c r="K1308">
        <v>2</v>
      </c>
      <c r="L1308" t="s">
        <v>46</v>
      </c>
      <c r="M1308">
        <v>88</v>
      </c>
      <c r="N1308">
        <v>2</v>
      </c>
      <c r="O1308">
        <v>4</v>
      </c>
      <c r="P1308" t="s">
        <v>56</v>
      </c>
      <c r="Q1308" t="s">
        <v>73</v>
      </c>
      <c r="R1308" t="s">
        <v>48</v>
      </c>
      <c r="S1308">
        <v>17046</v>
      </c>
      <c r="T1308" t="str" cm="1">
        <f t="array" ref="T1308">_xlfn.IFS(S1308&gt;=10000,"High (&gt;10k)",S1308&gt;=5000,"Medium (5k-10k)",S1308&lt;5000,"Low (&lt;5k)")</f>
        <v>High (&gt;10k)</v>
      </c>
      <c r="U1308">
        <v>9314</v>
      </c>
      <c r="V1308">
        <v>0</v>
      </c>
      <c r="W1308" t="s">
        <v>43</v>
      </c>
      <c r="X1308">
        <v>15</v>
      </c>
      <c r="Y1308">
        <v>3</v>
      </c>
      <c r="Z1308">
        <v>2</v>
      </c>
      <c r="AA1308">
        <v>1</v>
      </c>
      <c r="AB1308">
        <v>28</v>
      </c>
      <c r="AC1308">
        <v>2</v>
      </c>
      <c r="AD1308" t="s">
        <v>74</v>
      </c>
      <c r="AE1308">
        <v>27</v>
      </c>
      <c r="AF1308" t="str" cm="1">
        <f t="array" ref="AF1308">_xlfn.IFS(AE1308&gt;=10,"Veteran (10y+)",AE1308&gt;=3,"Established (3-10y)",AE1308&lt;3,"New Hire (&lt;3y)")</f>
        <v>Veteran (10y+)</v>
      </c>
      <c r="AG1308">
        <v>10</v>
      </c>
      <c r="AH1308">
        <v>15</v>
      </c>
      <c r="AI1308">
        <v>7</v>
      </c>
    </row>
    <row r="1309" spans="1:35">
      <c r="A1309">
        <v>50</v>
      </c>
      <c r="B1309" t="str">
        <f t="shared" si="20"/>
        <v>Senior</v>
      </c>
      <c r="C1309">
        <v>0</v>
      </c>
      <c r="D1309" t="s">
        <v>44</v>
      </c>
      <c r="E1309">
        <v>1246</v>
      </c>
      <c r="F1309" t="s">
        <v>61</v>
      </c>
      <c r="G1309">
        <v>3</v>
      </c>
      <c r="H1309" t="str" cm="1">
        <f t="array" ref="H1309">_xlfn.IFS(G1309&gt;15,"Long Commute",G1309&gt;5,"Moderate",G1309&lt;=5,"Near Office")</f>
        <v>Near Office</v>
      </c>
      <c r="I1309" t="s">
        <v>72</v>
      </c>
      <c r="J1309" t="s">
        <v>51</v>
      </c>
      <c r="K1309">
        <v>1</v>
      </c>
      <c r="L1309" t="s">
        <v>46</v>
      </c>
      <c r="M1309">
        <v>99</v>
      </c>
      <c r="N1309">
        <v>3</v>
      </c>
      <c r="O1309">
        <v>5</v>
      </c>
      <c r="P1309" t="s">
        <v>56</v>
      </c>
      <c r="Q1309" t="s">
        <v>75</v>
      </c>
      <c r="R1309" t="s">
        <v>48</v>
      </c>
      <c r="S1309">
        <v>18200</v>
      </c>
      <c r="T1309" t="str" cm="1">
        <f t="array" ref="T1309">_xlfn.IFS(S1309&gt;=10000,"High (&gt;10k)",S1309&gt;=5000,"Medium (5k-10k)",S1309&lt;5000,"Low (&lt;5k)")</f>
        <v>High (&gt;10k)</v>
      </c>
      <c r="U1309">
        <v>7999</v>
      </c>
      <c r="V1309">
        <v>1</v>
      </c>
      <c r="W1309" t="s">
        <v>43</v>
      </c>
      <c r="X1309">
        <v>11</v>
      </c>
      <c r="Y1309">
        <v>3</v>
      </c>
      <c r="Z1309">
        <v>3</v>
      </c>
      <c r="AA1309">
        <v>1</v>
      </c>
      <c r="AB1309">
        <v>32</v>
      </c>
      <c r="AC1309">
        <v>2</v>
      </c>
      <c r="AD1309" t="s">
        <v>74</v>
      </c>
      <c r="AE1309">
        <v>32</v>
      </c>
      <c r="AF1309" t="str" cm="1">
        <f t="array" ref="AF1309">_xlfn.IFS(AE1309&gt;=10,"Veteran (10y+)",AE1309&gt;=3,"Established (3-10y)",AE1309&lt;3,"New Hire (&lt;3y)")</f>
        <v>Veteran (10y+)</v>
      </c>
      <c r="AG1309">
        <v>5</v>
      </c>
      <c r="AH1309">
        <v>10</v>
      </c>
      <c r="AI1309">
        <v>7</v>
      </c>
    </row>
    <row r="1310" spans="1:35">
      <c r="A1310">
        <v>50</v>
      </c>
      <c r="B1310" t="str">
        <f t="shared" si="20"/>
        <v>Senior</v>
      </c>
      <c r="C1310">
        <v>0</v>
      </c>
      <c r="D1310" t="s">
        <v>36</v>
      </c>
      <c r="E1310">
        <v>1207</v>
      </c>
      <c r="F1310" t="s">
        <v>45</v>
      </c>
      <c r="G1310">
        <v>28</v>
      </c>
      <c r="H1310" t="str" cm="1">
        <f t="array" ref="H1310">_xlfn.IFS(G1310&gt;15,"Long Commute",G1310&gt;5,"Moderate",G1310&lt;=5,"Near Office")</f>
        <v>Long Commute</v>
      </c>
      <c r="I1310" t="s">
        <v>78</v>
      </c>
      <c r="J1310" t="s">
        <v>51</v>
      </c>
      <c r="K1310">
        <v>4</v>
      </c>
      <c r="L1310" t="s">
        <v>46</v>
      </c>
      <c r="M1310">
        <v>74</v>
      </c>
      <c r="N1310">
        <v>4</v>
      </c>
      <c r="O1310">
        <v>1</v>
      </c>
      <c r="P1310" t="s">
        <v>50</v>
      </c>
      <c r="Q1310" t="s">
        <v>73</v>
      </c>
      <c r="R1310" t="s">
        <v>48</v>
      </c>
      <c r="S1310">
        <v>3221</v>
      </c>
      <c r="T1310" t="str" cm="1">
        <f t="array" ref="T1310">_xlfn.IFS(S1310&gt;=10000,"High (&gt;10k)",S1310&gt;=5000,"Medium (5k-10k)",S1310&lt;5000,"Low (&lt;5k)")</f>
        <v>Low (&lt;5k)</v>
      </c>
      <c r="U1310">
        <v>3297</v>
      </c>
      <c r="V1310">
        <v>1</v>
      </c>
      <c r="W1310" t="s">
        <v>35</v>
      </c>
      <c r="X1310">
        <v>11</v>
      </c>
      <c r="Y1310">
        <v>3</v>
      </c>
      <c r="Z1310">
        <v>3</v>
      </c>
      <c r="AA1310">
        <v>3</v>
      </c>
      <c r="AB1310">
        <v>20</v>
      </c>
      <c r="AC1310">
        <v>3</v>
      </c>
      <c r="AD1310" t="s">
        <v>74</v>
      </c>
      <c r="AE1310">
        <v>20</v>
      </c>
      <c r="AF1310" t="str" cm="1">
        <f t="array" ref="AF1310">_xlfn.IFS(AE1310&gt;=10,"Veteran (10y+)",AE1310&gt;=3,"Established (3-10y)",AE1310&lt;3,"New Hire (&lt;3y)")</f>
        <v>Veteran (10y+)</v>
      </c>
      <c r="AG1310">
        <v>8</v>
      </c>
      <c r="AH1310">
        <v>3</v>
      </c>
      <c r="AI1310">
        <v>8</v>
      </c>
    </row>
    <row r="1311" spans="1:35">
      <c r="A1311">
        <v>50</v>
      </c>
      <c r="B1311" t="str">
        <f t="shared" si="20"/>
        <v>Senior</v>
      </c>
      <c r="C1311">
        <v>1</v>
      </c>
      <c r="D1311" t="s">
        <v>44</v>
      </c>
      <c r="E1311">
        <v>562</v>
      </c>
      <c r="F1311" t="s">
        <v>37</v>
      </c>
      <c r="G1311">
        <v>8</v>
      </c>
      <c r="H1311" t="str" cm="1">
        <f t="array" ref="H1311">_xlfn.IFS(G1311&gt;15,"Long Commute",G1311&gt;5,"Moderate",G1311&lt;=5,"Near Office")</f>
        <v>Moderate</v>
      </c>
      <c r="I1311" t="s">
        <v>76</v>
      </c>
      <c r="J1311" t="s">
        <v>60</v>
      </c>
      <c r="K1311">
        <v>2</v>
      </c>
      <c r="L1311" t="s">
        <v>46</v>
      </c>
      <c r="M1311">
        <v>50</v>
      </c>
      <c r="N1311">
        <v>3</v>
      </c>
      <c r="O1311">
        <v>2</v>
      </c>
      <c r="P1311" t="s">
        <v>40</v>
      </c>
      <c r="Q1311" t="s">
        <v>73</v>
      </c>
      <c r="R1311" t="s">
        <v>48</v>
      </c>
      <c r="S1311">
        <v>6796</v>
      </c>
      <c r="T1311" t="str" cm="1">
        <f t="array" ref="T1311">_xlfn.IFS(S1311&gt;=10000,"High (&gt;10k)",S1311&gt;=5000,"Medium (5k-10k)",S1311&lt;5000,"Low (&lt;5k)")</f>
        <v>Medium (5k-10k)</v>
      </c>
      <c r="U1311">
        <v>23452</v>
      </c>
      <c r="V1311">
        <v>3</v>
      </c>
      <c r="W1311" t="s">
        <v>35</v>
      </c>
      <c r="X1311">
        <v>14</v>
      </c>
      <c r="Y1311">
        <v>3</v>
      </c>
      <c r="Z1311">
        <v>1</v>
      </c>
      <c r="AA1311">
        <v>1</v>
      </c>
      <c r="AB1311">
        <v>18</v>
      </c>
      <c r="AC1311">
        <v>4</v>
      </c>
      <c r="AD1311" t="s">
        <v>74</v>
      </c>
      <c r="AE1311">
        <v>4</v>
      </c>
      <c r="AF1311" t="str" cm="1">
        <f t="array" ref="AF1311">_xlfn.IFS(AE1311&gt;=10,"Veteran (10y+)",AE1311&gt;=3,"Established (3-10y)",AE1311&lt;3,"New Hire (&lt;3y)")</f>
        <v>Established (3-10y)</v>
      </c>
      <c r="AG1311">
        <v>3</v>
      </c>
      <c r="AH1311">
        <v>1</v>
      </c>
      <c r="AI1311">
        <v>3</v>
      </c>
    </row>
    <row r="1312" spans="1:35">
      <c r="A1312">
        <v>50</v>
      </c>
      <c r="B1312" t="str">
        <f t="shared" si="20"/>
        <v>Senior</v>
      </c>
      <c r="C1312">
        <v>0</v>
      </c>
      <c r="D1312" t="s">
        <v>36</v>
      </c>
      <c r="E1312">
        <v>316</v>
      </c>
      <c r="F1312" t="s">
        <v>37</v>
      </c>
      <c r="G1312">
        <v>8</v>
      </c>
      <c r="H1312" t="str" cm="1">
        <f t="array" ref="H1312">_xlfn.IFS(G1312&gt;15,"Long Commute",G1312&gt;5,"Moderate",G1312&lt;=5,"Near Office")</f>
        <v>Moderate</v>
      </c>
      <c r="I1312" t="s">
        <v>83</v>
      </c>
      <c r="J1312" t="s">
        <v>59</v>
      </c>
      <c r="K1312">
        <v>4</v>
      </c>
      <c r="L1312" t="s">
        <v>46</v>
      </c>
      <c r="M1312">
        <v>54</v>
      </c>
      <c r="N1312">
        <v>3</v>
      </c>
      <c r="O1312">
        <v>1</v>
      </c>
      <c r="P1312" t="s">
        <v>57</v>
      </c>
      <c r="Q1312" t="s">
        <v>75</v>
      </c>
      <c r="R1312" t="s">
        <v>48</v>
      </c>
      <c r="S1312">
        <v>3875</v>
      </c>
      <c r="T1312" t="str" cm="1">
        <f t="array" ref="T1312">_xlfn.IFS(S1312&gt;=10000,"High (&gt;10k)",S1312&gt;=5000,"Medium (5k-10k)",S1312&lt;5000,"Low (&lt;5k)")</f>
        <v>Low (&lt;5k)</v>
      </c>
      <c r="U1312">
        <v>9983</v>
      </c>
      <c r="V1312">
        <v>7</v>
      </c>
      <c r="W1312" t="s">
        <v>43</v>
      </c>
      <c r="X1312">
        <v>15</v>
      </c>
      <c r="Y1312">
        <v>3</v>
      </c>
      <c r="Z1312">
        <v>4</v>
      </c>
      <c r="AA1312">
        <v>1</v>
      </c>
      <c r="AB1312">
        <v>4</v>
      </c>
      <c r="AC1312">
        <v>2</v>
      </c>
      <c r="AD1312" t="s">
        <v>74</v>
      </c>
      <c r="AE1312">
        <v>2</v>
      </c>
      <c r="AF1312" t="str" cm="1">
        <f t="array" ref="AF1312">_xlfn.IFS(AE1312&gt;=10,"Veteran (10y+)",AE1312&gt;=3,"Established (3-10y)",AE1312&lt;3,"New Hire (&lt;3y)")</f>
        <v>New Hire (&lt;3y)</v>
      </c>
      <c r="AG1312">
        <v>2</v>
      </c>
      <c r="AH1312">
        <v>2</v>
      </c>
      <c r="AI1312">
        <v>2</v>
      </c>
    </row>
    <row r="1313" spans="1:35">
      <c r="A1313">
        <v>50</v>
      </c>
      <c r="B1313" t="str">
        <f t="shared" si="20"/>
        <v>Senior</v>
      </c>
      <c r="C1313">
        <v>0</v>
      </c>
      <c r="D1313" t="s">
        <v>36</v>
      </c>
      <c r="E1313">
        <v>691</v>
      </c>
      <c r="F1313" t="s">
        <v>45</v>
      </c>
      <c r="G1313">
        <v>2</v>
      </c>
      <c r="H1313" t="str" cm="1">
        <f t="array" ref="H1313">_xlfn.IFS(G1313&gt;15,"Long Commute",G1313&gt;5,"Moderate",G1313&lt;=5,"Near Office")</f>
        <v>Near Office</v>
      </c>
      <c r="I1313" t="s">
        <v>72</v>
      </c>
      <c r="J1313" t="s">
        <v>51</v>
      </c>
      <c r="K1313">
        <v>3</v>
      </c>
      <c r="L1313" t="s">
        <v>46</v>
      </c>
      <c r="M1313">
        <v>64</v>
      </c>
      <c r="N1313">
        <v>3</v>
      </c>
      <c r="O1313">
        <v>4</v>
      </c>
      <c r="P1313" t="s">
        <v>58</v>
      </c>
      <c r="Q1313" t="s">
        <v>73</v>
      </c>
      <c r="R1313" t="s">
        <v>48</v>
      </c>
      <c r="S1313">
        <v>17639</v>
      </c>
      <c r="T1313" t="str" cm="1">
        <f t="array" ref="T1313">_xlfn.IFS(S1313&gt;=10000,"High (&gt;10k)",S1313&gt;=5000,"Medium (5k-10k)",S1313&lt;5000,"Low (&lt;5k)")</f>
        <v>High (&gt;10k)</v>
      </c>
      <c r="U1313">
        <v>6881</v>
      </c>
      <c r="V1313">
        <v>5</v>
      </c>
      <c r="W1313" t="s">
        <v>43</v>
      </c>
      <c r="X1313">
        <v>16</v>
      </c>
      <c r="Y1313">
        <v>3</v>
      </c>
      <c r="Z1313">
        <v>4</v>
      </c>
      <c r="AA1313">
        <v>0</v>
      </c>
      <c r="AB1313">
        <v>30</v>
      </c>
      <c r="AC1313">
        <v>3</v>
      </c>
      <c r="AD1313" t="s">
        <v>74</v>
      </c>
      <c r="AE1313">
        <v>4</v>
      </c>
      <c r="AF1313" t="str" cm="1">
        <f t="array" ref="AF1313">_xlfn.IFS(AE1313&gt;=10,"Veteran (10y+)",AE1313&gt;=3,"Established (3-10y)",AE1313&lt;3,"New Hire (&lt;3y)")</f>
        <v>Established (3-10y)</v>
      </c>
      <c r="AG1313">
        <v>3</v>
      </c>
      <c r="AH1313">
        <v>0</v>
      </c>
      <c r="AI1313">
        <v>3</v>
      </c>
    </row>
    <row r="1314" spans="1:35">
      <c r="A1314">
        <v>50</v>
      </c>
      <c r="B1314" t="str">
        <f t="shared" si="20"/>
        <v>Senior</v>
      </c>
      <c r="C1314">
        <v>0</v>
      </c>
      <c r="D1314" t="s">
        <v>55</v>
      </c>
      <c r="E1314">
        <v>881</v>
      </c>
      <c r="F1314" t="s">
        <v>45</v>
      </c>
      <c r="G1314">
        <v>2</v>
      </c>
      <c r="H1314" t="str" cm="1">
        <f t="array" ref="H1314">_xlfn.IFS(G1314&gt;15,"Long Commute",G1314&gt;5,"Moderate",G1314&lt;=5,"Near Office")</f>
        <v>Near Office</v>
      </c>
      <c r="I1314" t="s">
        <v>83</v>
      </c>
      <c r="J1314" t="s">
        <v>38</v>
      </c>
      <c r="K1314">
        <v>1</v>
      </c>
      <c r="L1314" t="s">
        <v>46</v>
      </c>
      <c r="M1314">
        <v>98</v>
      </c>
      <c r="N1314">
        <v>3</v>
      </c>
      <c r="O1314">
        <v>4</v>
      </c>
      <c r="P1314" t="s">
        <v>56</v>
      </c>
      <c r="Q1314" t="s">
        <v>82</v>
      </c>
      <c r="R1314" t="s">
        <v>52</v>
      </c>
      <c r="S1314">
        <v>17924</v>
      </c>
      <c r="T1314" t="str" cm="1">
        <f t="array" ref="T1314">_xlfn.IFS(S1314&gt;=10000,"High (&gt;10k)",S1314&gt;=5000,"Medium (5k-10k)",S1314&lt;5000,"Low (&lt;5k)")</f>
        <v>High (&gt;10k)</v>
      </c>
      <c r="U1314">
        <v>4544</v>
      </c>
      <c r="V1314">
        <v>1</v>
      </c>
      <c r="W1314" t="s">
        <v>43</v>
      </c>
      <c r="X1314">
        <v>11</v>
      </c>
      <c r="Y1314">
        <v>3</v>
      </c>
      <c r="Z1314">
        <v>4</v>
      </c>
      <c r="AA1314">
        <v>1</v>
      </c>
      <c r="AB1314">
        <v>31</v>
      </c>
      <c r="AC1314">
        <v>3</v>
      </c>
      <c r="AD1314" t="s">
        <v>74</v>
      </c>
      <c r="AE1314">
        <v>31</v>
      </c>
      <c r="AF1314" t="str" cm="1">
        <f t="array" ref="AF1314">_xlfn.IFS(AE1314&gt;=10,"Veteran (10y+)",AE1314&gt;=3,"Established (3-10y)",AE1314&lt;3,"New Hire (&lt;3y)")</f>
        <v>Veteran (10y+)</v>
      </c>
      <c r="AG1314">
        <v>6</v>
      </c>
      <c r="AH1314">
        <v>14</v>
      </c>
      <c r="AI1314">
        <v>7</v>
      </c>
    </row>
    <row r="1315" spans="1:35">
      <c r="A1315">
        <v>50</v>
      </c>
      <c r="B1315" t="str">
        <f t="shared" si="20"/>
        <v>Senior</v>
      </c>
      <c r="C1315">
        <v>0</v>
      </c>
      <c r="D1315" t="s">
        <v>36</v>
      </c>
      <c r="E1315">
        <v>1126</v>
      </c>
      <c r="F1315" t="s">
        <v>45</v>
      </c>
      <c r="G1315">
        <v>1</v>
      </c>
      <c r="H1315" t="str" cm="1">
        <f t="array" ref="H1315">_xlfn.IFS(G1315&gt;15,"Long Commute",G1315&gt;5,"Moderate",G1315&lt;=5,"Near Office")</f>
        <v>Near Office</v>
      </c>
      <c r="I1315" t="s">
        <v>76</v>
      </c>
      <c r="J1315" t="s">
        <v>51</v>
      </c>
      <c r="K1315">
        <v>4</v>
      </c>
      <c r="L1315" t="s">
        <v>46</v>
      </c>
      <c r="M1315">
        <v>66</v>
      </c>
      <c r="N1315">
        <v>3</v>
      </c>
      <c r="O1315">
        <v>4</v>
      </c>
      <c r="P1315" t="s">
        <v>58</v>
      </c>
      <c r="Q1315" t="s">
        <v>77</v>
      </c>
      <c r="R1315" t="s">
        <v>52</v>
      </c>
      <c r="S1315">
        <v>17399</v>
      </c>
      <c r="T1315" t="str" cm="1">
        <f t="array" ref="T1315">_xlfn.IFS(S1315&gt;=10000,"High (&gt;10k)",S1315&gt;=5000,"Medium (5k-10k)",S1315&lt;5000,"Low (&lt;5k)")</f>
        <v>High (&gt;10k)</v>
      </c>
      <c r="U1315">
        <v>6615</v>
      </c>
      <c r="V1315">
        <v>9</v>
      </c>
      <c r="W1315" t="s">
        <v>43</v>
      </c>
      <c r="X1315">
        <v>22</v>
      </c>
      <c r="Y1315">
        <v>4</v>
      </c>
      <c r="Z1315">
        <v>3</v>
      </c>
      <c r="AA1315">
        <v>1</v>
      </c>
      <c r="AB1315">
        <v>32</v>
      </c>
      <c r="AC1315">
        <v>1</v>
      </c>
      <c r="AD1315" t="s">
        <v>81</v>
      </c>
      <c r="AE1315">
        <v>5</v>
      </c>
      <c r="AF1315" t="str" cm="1">
        <f t="array" ref="AF1315">_xlfn.IFS(AE1315&gt;=10,"Veteran (10y+)",AE1315&gt;=3,"Established (3-10y)",AE1315&lt;3,"New Hire (&lt;3y)")</f>
        <v>Established (3-10y)</v>
      </c>
      <c r="AG1315">
        <v>4</v>
      </c>
      <c r="AH1315">
        <v>1</v>
      </c>
      <c r="AI1315">
        <v>3</v>
      </c>
    </row>
    <row r="1316" spans="1:35">
      <c r="A1316">
        <v>50</v>
      </c>
      <c r="B1316" t="str">
        <f t="shared" si="20"/>
        <v>Senior</v>
      </c>
      <c r="C1316">
        <v>0</v>
      </c>
      <c r="D1316" t="s">
        <v>36</v>
      </c>
      <c r="E1316">
        <v>939</v>
      </c>
      <c r="F1316" t="s">
        <v>45</v>
      </c>
      <c r="G1316">
        <v>24</v>
      </c>
      <c r="H1316" t="str" cm="1">
        <f t="array" ref="H1316">_xlfn.IFS(G1316&gt;15,"Long Commute",G1316&gt;5,"Moderate",G1316&lt;=5,"Near Office")</f>
        <v>Long Commute</v>
      </c>
      <c r="I1316" t="s">
        <v>72</v>
      </c>
      <c r="J1316" t="s">
        <v>38</v>
      </c>
      <c r="K1316">
        <v>4</v>
      </c>
      <c r="L1316" t="s">
        <v>46</v>
      </c>
      <c r="M1316">
        <v>95</v>
      </c>
      <c r="N1316">
        <v>3</v>
      </c>
      <c r="O1316">
        <v>4</v>
      </c>
      <c r="P1316" t="s">
        <v>53</v>
      </c>
      <c r="Q1316" t="s">
        <v>73</v>
      </c>
      <c r="R1316" t="s">
        <v>48</v>
      </c>
      <c r="S1316">
        <v>13973</v>
      </c>
      <c r="T1316" t="str" cm="1">
        <f t="array" ref="T1316">_xlfn.IFS(S1316&gt;=10000,"High (&gt;10k)",S1316&gt;=5000,"Medium (5k-10k)",S1316&lt;5000,"Low (&lt;5k)")</f>
        <v>High (&gt;10k)</v>
      </c>
      <c r="U1316">
        <v>4161</v>
      </c>
      <c r="V1316">
        <v>3</v>
      </c>
      <c r="W1316" t="s">
        <v>35</v>
      </c>
      <c r="X1316">
        <v>18</v>
      </c>
      <c r="Y1316">
        <v>3</v>
      </c>
      <c r="Z1316">
        <v>4</v>
      </c>
      <c r="AA1316">
        <v>1</v>
      </c>
      <c r="AB1316">
        <v>22</v>
      </c>
      <c r="AC1316">
        <v>2</v>
      </c>
      <c r="AD1316" t="s">
        <v>74</v>
      </c>
      <c r="AE1316">
        <v>12</v>
      </c>
      <c r="AF1316" t="str" cm="1">
        <f t="array" ref="AF1316">_xlfn.IFS(AE1316&gt;=10,"Veteran (10y+)",AE1316&gt;=3,"Established (3-10y)",AE1316&lt;3,"New Hire (&lt;3y)")</f>
        <v>Veteran (10y+)</v>
      </c>
      <c r="AG1316">
        <v>11</v>
      </c>
      <c r="AH1316">
        <v>1</v>
      </c>
      <c r="AI1316">
        <v>5</v>
      </c>
    </row>
    <row r="1317" spans="1:35">
      <c r="A1317">
        <v>50</v>
      </c>
      <c r="B1317" t="str">
        <f t="shared" si="20"/>
        <v>Senior</v>
      </c>
      <c r="C1317">
        <v>0</v>
      </c>
      <c r="D1317" t="s">
        <v>36</v>
      </c>
      <c r="E1317">
        <v>804</v>
      </c>
      <c r="F1317" t="s">
        <v>45</v>
      </c>
      <c r="G1317">
        <v>9</v>
      </c>
      <c r="H1317" t="str" cm="1">
        <f t="array" ref="H1317">_xlfn.IFS(G1317&gt;15,"Long Commute",G1317&gt;5,"Moderate",G1317&lt;=5,"Near Office")</f>
        <v>Moderate</v>
      </c>
      <c r="I1317" t="s">
        <v>72</v>
      </c>
      <c r="J1317" t="s">
        <v>38</v>
      </c>
      <c r="K1317">
        <v>1</v>
      </c>
      <c r="L1317" t="s">
        <v>46</v>
      </c>
      <c r="M1317">
        <v>64</v>
      </c>
      <c r="N1317">
        <v>3</v>
      </c>
      <c r="O1317">
        <v>1</v>
      </c>
      <c r="P1317" t="s">
        <v>50</v>
      </c>
      <c r="Q1317" t="s">
        <v>77</v>
      </c>
      <c r="R1317" t="s">
        <v>48</v>
      </c>
      <c r="S1317">
        <v>2380</v>
      </c>
      <c r="T1317" t="str" cm="1">
        <f t="array" ref="T1317">_xlfn.IFS(S1317&gt;=10000,"High (&gt;10k)",S1317&gt;=5000,"Medium (5k-10k)",S1317&lt;5000,"Low (&lt;5k)")</f>
        <v>Low (&lt;5k)</v>
      </c>
      <c r="U1317">
        <v>20165</v>
      </c>
      <c r="V1317">
        <v>4</v>
      </c>
      <c r="W1317" t="s">
        <v>43</v>
      </c>
      <c r="X1317">
        <v>18</v>
      </c>
      <c r="Y1317">
        <v>3</v>
      </c>
      <c r="Z1317">
        <v>2</v>
      </c>
      <c r="AA1317">
        <v>0</v>
      </c>
      <c r="AB1317">
        <v>8</v>
      </c>
      <c r="AC1317">
        <v>5</v>
      </c>
      <c r="AD1317" t="s">
        <v>74</v>
      </c>
      <c r="AE1317">
        <v>1</v>
      </c>
      <c r="AF1317" t="str" cm="1">
        <f t="array" ref="AF1317">_xlfn.IFS(AE1317&gt;=10,"Veteran (10y+)",AE1317&gt;=3,"Established (3-10y)",AE1317&lt;3,"New Hire (&lt;3y)")</f>
        <v>New Hire (&lt;3y)</v>
      </c>
      <c r="AG1317">
        <v>0</v>
      </c>
      <c r="AH1317">
        <v>0</v>
      </c>
      <c r="AI1317">
        <v>0</v>
      </c>
    </row>
    <row r="1318" spans="1:35">
      <c r="A1318">
        <v>50</v>
      </c>
      <c r="B1318" t="str">
        <f t="shared" si="20"/>
        <v>Senior</v>
      </c>
      <c r="C1318">
        <v>0</v>
      </c>
      <c r="D1318" t="s">
        <v>55</v>
      </c>
      <c r="E1318">
        <v>145</v>
      </c>
      <c r="F1318" t="s">
        <v>37</v>
      </c>
      <c r="G1318">
        <v>1</v>
      </c>
      <c r="H1318" t="str" cm="1">
        <f t="array" ref="H1318">_xlfn.IFS(G1318&gt;15,"Long Commute",G1318&gt;5,"Moderate",G1318&lt;=5,"Near Office")</f>
        <v>Near Office</v>
      </c>
      <c r="I1318" t="s">
        <v>72</v>
      </c>
      <c r="J1318" t="s">
        <v>38</v>
      </c>
      <c r="K1318">
        <v>4</v>
      </c>
      <c r="L1318" t="s">
        <v>39</v>
      </c>
      <c r="M1318">
        <v>95</v>
      </c>
      <c r="N1318">
        <v>3</v>
      </c>
      <c r="O1318">
        <v>2</v>
      </c>
      <c r="P1318" t="s">
        <v>40</v>
      </c>
      <c r="Q1318" t="s">
        <v>73</v>
      </c>
      <c r="R1318" t="s">
        <v>48</v>
      </c>
      <c r="S1318">
        <v>6347</v>
      </c>
      <c r="T1318" t="str" cm="1">
        <f t="array" ref="T1318">_xlfn.IFS(S1318&gt;=10000,"High (&gt;10k)",S1318&gt;=5000,"Medium (5k-10k)",S1318&lt;5000,"Low (&lt;5k)")</f>
        <v>Medium (5k-10k)</v>
      </c>
      <c r="U1318">
        <v>24920</v>
      </c>
      <c r="V1318">
        <v>0</v>
      </c>
      <c r="W1318" t="s">
        <v>43</v>
      </c>
      <c r="X1318">
        <v>12</v>
      </c>
      <c r="Y1318">
        <v>3</v>
      </c>
      <c r="Z1318">
        <v>1</v>
      </c>
      <c r="AA1318">
        <v>1</v>
      </c>
      <c r="AB1318">
        <v>19</v>
      </c>
      <c r="AC1318">
        <v>3</v>
      </c>
      <c r="AD1318" t="s">
        <v>74</v>
      </c>
      <c r="AE1318">
        <v>18</v>
      </c>
      <c r="AF1318" t="str" cm="1">
        <f t="array" ref="AF1318">_xlfn.IFS(AE1318&gt;=10,"Veteran (10y+)",AE1318&gt;=3,"Established (3-10y)",AE1318&lt;3,"New Hire (&lt;3y)")</f>
        <v>Veteran (10y+)</v>
      </c>
      <c r="AG1318">
        <v>7</v>
      </c>
      <c r="AH1318">
        <v>0</v>
      </c>
      <c r="AI1318">
        <v>13</v>
      </c>
    </row>
    <row r="1319" spans="1:35">
      <c r="A1319">
        <v>50</v>
      </c>
      <c r="B1319" t="str">
        <f t="shared" si="20"/>
        <v>Senior</v>
      </c>
      <c r="C1319">
        <v>0</v>
      </c>
      <c r="D1319" t="s">
        <v>36</v>
      </c>
      <c r="E1319">
        <v>1464</v>
      </c>
      <c r="F1319" t="s">
        <v>45</v>
      </c>
      <c r="G1319">
        <v>2</v>
      </c>
      <c r="H1319" t="str" cm="1">
        <f t="array" ref="H1319">_xlfn.IFS(G1319&gt;15,"Long Commute",G1319&gt;5,"Moderate",G1319&lt;=5,"Near Office")</f>
        <v>Near Office</v>
      </c>
      <c r="I1319" t="s">
        <v>83</v>
      </c>
      <c r="J1319" t="s">
        <v>51</v>
      </c>
      <c r="K1319">
        <v>2</v>
      </c>
      <c r="L1319" t="s">
        <v>46</v>
      </c>
      <c r="M1319">
        <v>62</v>
      </c>
      <c r="N1319">
        <v>3</v>
      </c>
      <c r="O1319">
        <v>5</v>
      </c>
      <c r="P1319" t="s">
        <v>58</v>
      </c>
      <c r="Q1319" t="s">
        <v>73</v>
      </c>
      <c r="R1319" t="s">
        <v>48</v>
      </c>
      <c r="S1319">
        <v>19237</v>
      </c>
      <c r="T1319" t="str" cm="1">
        <f t="array" ref="T1319">_xlfn.IFS(S1319&gt;=10000,"High (&gt;10k)",S1319&gt;=5000,"Medium (5k-10k)",S1319&lt;5000,"Low (&lt;5k)")</f>
        <v>High (&gt;10k)</v>
      </c>
      <c r="U1319">
        <v>12853</v>
      </c>
      <c r="V1319">
        <v>2</v>
      </c>
      <c r="W1319" t="s">
        <v>35</v>
      </c>
      <c r="X1319">
        <v>11</v>
      </c>
      <c r="Y1319">
        <v>3</v>
      </c>
      <c r="Z1319">
        <v>4</v>
      </c>
      <c r="AA1319">
        <v>1</v>
      </c>
      <c r="AB1319">
        <v>29</v>
      </c>
      <c r="AC1319">
        <v>2</v>
      </c>
      <c r="AD1319" t="s">
        <v>81</v>
      </c>
      <c r="AE1319">
        <v>8</v>
      </c>
      <c r="AF1319" t="str" cm="1">
        <f t="array" ref="AF1319">_xlfn.IFS(AE1319&gt;=10,"Veteran (10y+)",AE1319&gt;=3,"Established (3-10y)",AE1319&lt;3,"New Hire (&lt;3y)")</f>
        <v>Established (3-10y)</v>
      </c>
      <c r="AG1319">
        <v>1</v>
      </c>
      <c r="AH1319">
        <v>7</v>
      </c>
      <c r="AI1319">
        <v>7</v>
      </c>
    </row>
    <row r="1320" spans="1:35">
      <c r="A1320">
        <v>50</v>
      </c>
      <c r="B1320" t="str">
        <f t="shared" si="20"/>
        <v>Senior</v>
      </c>
      <c r="C1320">
        <v>1</v>
      </c>
      <c r="D1320" t="s">
        <v>44</v>
      </c>
      <c r="E1320">
        <v>959</v>
      </c>
      <c r="F1320" t="s">
        <v>37</v>
      </c>
      <c r="G1320">
        <v>1</v>
      </c>
      <c r="H1320" t="str" cm="1">
        <f t="array" ref="H1320">_xlfn.IFS(G1320&gt;15,"Long Commute",G1320&gt;5,"Moderate",G1320&lt;=5,"Near Office")</f>
        <v>Near Office</v>
      </c>
      <c r="I1320" t="s">
        <v>83</v>
      </c>
      <c r="J1320" t="s">
        <v>49</v>
      </c>
      <c r="K1320">
        <v>4</v>
      </c>
      <c r="L1320" t="s">
        <v>46</v>
      </c>
      <c r="M1320">
        <v>81</v>
      </c>
      <c r="N1320">
        <v>3</v>
      </c>
      <c r="O1320">
        <v>2</v>
      </c>
      <c r="P1320" t="s">
        <v>40</v>
      </c>
      <c r="Q1320" t="s">
        <v>73</v>
      </c>
      <c r="R1320" t="s">
        <v>41</v>
      </c>
      <c r="S1320">
        <v>4728</v>
      </c>
      <c r="T1320" t="str" cm="1">
        <f t="array" ref="T1320">_xlfn.IFS(S1320&gt;=10000,"High (&gt;10k)",S1320&gt;=5000,"Medium (5k-10k)",S1320&lt;5000,"Low (&lt;5k)")</f>
        <v>Low (&lt;5k)</v>
      </c>
      <c r="U1320">
        <v>17251</v>
      </c>
      <c r="V1320">
        <v>3</v>
      </c>
      <c r="W1320" t="s">
        <v>35</v>
      </c>
      <c r="X1320">
        <v>14</v>
      </c>
      <c r="Y1320">
        <v>3</v>
      </c>
      <c r="Z1320">
        <v>4</v>
      </c>
      <c r="AA1320">
        <v>0</v>
      </c>
      <c r="AB1320">
        <v>5</v>
      </c>
      <c r="AC1320">
        <v>4</v>
      </c>
      <c r="AD1320" t="s">
        <v>74</v>
      </c>
      <c r="AE1320">
        <v>0</v>
      </c>
      <c r="AF1320" t="str" cm="1">
        <f t="array" ref="AF1320">_xlfn.IFS(AE1320&gt;=10,"Veteran (10y+)",AE1320&gt;=3,"Established (3-10y)",AE1320&lt;3,"New Hire (&lt;3y)")</f>
        <v>New Hire (&lt;3y)</v>
      </c>
      <c r="AG1320">
        <v>0</v>
      </c>
      <c r="AH1320">
        <v>0</v>
      </c>
      <c r="AI1320">
        <v>0</v>
      </c>
    </row>
    <row r="1321" spans="1:35">
      <c r="A1321">
        <v>50</v>
      </c>
      <c r="B1321" t="str">
        <f t="shared" si="20"/>
        <v>Senior</v>
      </c>
      <c r="C1321">
        <v>0</v>
      </c>
      <c r="D1321" t="s">
        <v>44</v>
      </c>
      <c r="E1321">
        <v>1421</v>
      </c>
      <c r="F1321" t="s">
        <v>45</v>
      </c>
      <c r="G1321">
        <v>2</v>
      </c>
      <c r="H1321" t="str" cm="1">
        <f t="array" ref="H1321">_xlfn.IFS(G1321&gt;15,"Long Commute",G1321&gt;5,"Moderate",G1321&lt;=5,"Near Office")</f>
        <v>Near Office</v>
      </c>
      <c r="I1321" t="s">
        <v>72</v>
      </c>
      <c r="J1321" t="s">
        <v>51</v>
      </c>
      <c r="K1321">
        <v>4</v>
      </c>
      <c r="L1321" t="s">
        <v>39</v>
      </c>
      <c r="M1321">
        <v>30</v>
      </c>
      <c r="N1321">
        <v>3</v>
      </c>
      <c r="O1321">
        <v>4</v>
      </c>
      <c r="P1321" t="s">
        <v>56</v>
      </c>
      <c r="Q1321" t="s">
        <v>82</v>
      </c>
      <c r="R1321" t="s">
        <v>48</v>
      </c>
      <c r="S1321">
        <v>17856</v>
      </c>
      <c r="T1321" t="str" cm="1">
        <f t="array" ref="T1321">_xlfn.IFS(S1321&gt;=10000,"High (&gt;10k)",S1321&gt;=5000,"Medium (5k-10k)",S1321&lt;5000,"Low (&lt;5k)")</f>
        <v>High (&gt;10k)</v>
      </c>
      <c r="U1321">
        <v>9490</v>
      </c>
      <c r="V1321">
        <v>2</v>
      </c>
      <c r="W1321" t="s">
        <v>43</v>
      </c>
      <c r="X1321">
        <v>22</v>
      </c>
      <c r="Y1321">
        <v>4</v>
      </c>
      <c r="Z1321">
        <v>3</v>
      </c>
      <c r="AA1321">
        <v>1</v>
      </c>
      <c r="AB1321">
        <v>32</v>
      </c>
      <c r="AC1321">
        <v>3</v>
      </c>
      <c r="AD1321" t="s">
        <v>74</v>
      </c>
      <c r="AE1321">
        <v>2</v>
      </c>
      <c r="AF1321" t="str" cm="1">
        <f t="array" ref="AF1321">_xlfn.IFS(AE1321&gt;=10,"Veteran (10y+)",AE1321&gt;=3,"Established (3-10y)",AE1321&lt;3,"New Hire (&lt;3y)")</f>
        <v>New Hire (&lt;3y)</v>
      </c>
      <c r="AG1321">
        <v>2</v>
      </c>
      <c r="AH1321">
        <v>2</v>
      </c>
      <c r="AI1321">
        <v>2</v>
      </c>
    </row>
    <row r="1322" spans="1:35">
      <c r="A1322">
        <v>50</v>
      </c>
      <c r="B1322" t="str">
        <f t="shared" si="20"/>
        <v>Senior</v>
      </c>
      <c r="C1322">
        <v>0</v>
      </c>
      <c r="D1322" t="s">
        <v>36</v>
      </c>
      <c r="E1322">
        <v>1322</v>
      </c>
      <c r="F1322" t="s">
        <v>45</v>
      </c>
      <c r="G1322">
        <v>28</v>
      </c>
      <c r="H1322" t="str" cm="1">
        <f t="array" ref="H1322">_xlfn.IFS(G1322&gt;15,"Long Commute",G1322&gt;5,"Moderate",G1322&lt;=5,"Near Office")</f>
        <v>Long Commute</v>
      </c>
      <c r="I1322" t="s">
        <v>72</v>
      </c>
      <c r="J1322" t="s">
        <v>38</v>
      </c>
      <c r="K1322">
        <v>4</v>
      </c>
      <c r="L1322" t="s">
        <v>39</v>
      </c>
      <c r="M1322">
        <v>43</v>
      </c>
      <c r="N1322">
        <v>3</v>
      </c>
      <c r="O1322">
        <v>4</v>
      </c>
      <c r="P1322" t="s">
        <v>58</v>
      </c>
      <c r="Q1322" t="s">
        <v>82</v>
      </c>
      <c r="R1322" t="s">
        <v>48</v>
      </c>
      <c r="S1322">
        <v>16880</v>
      </c>
      <c r="T1322" t="str" cm="1">
        <f t="array" ref="T1322">_xlfn.IFS(S1322&gt;=10000,"High (&gt;10k)",S1322&gt;=5000,"Medium (5k-10k)",S1322&lt;5000,"Low (&lt;5k)")</f>
        <v>High (&gt;10k)</v>
      </c>
      <c r="U1322">
        <v>22422</v>
      </c>
      <c r="V1322">
        <v>4</v>
      </c>
      <c r="W1322" t="s">
        <v>35</v>
      </c>
      <c r="X1322">
        <v>11</v>
      </c>
      <c r="Y1322">
        <v>3</v>
      </c>
      <c r="Z1322">
        <v>2</v>
      </c>
      <c r="AA1322">
        <v>0</v>
      </c>
      <c r="AB1322">
        <v>25</v>
      </c>
      <c r="AC1322">
        <v>2</v>
      </c>
      <c r="AD1322" t="s">
        <v>74</v>
      </c>
      <c r="AE1322">
        <v>3</v>
      </c>
      <c r="AF1322" t="str" cm="1">
        <f t="array" ref="AF1322">_xlfn.IFS(AE1322&gt;=10,"Veteran (10y+)",AE1322&gt;=3,"Established (3-10y)",AE1322&lt;3,"New Hire (&lt;3y)")</f>
        <v>Established (3-10y)</v>
      </c>
      <c r="AG1322">
        <v>2</v>
      </c>
      <c r="AH1322">
        <v>1</v>
      </c>
      <c r="AI1322">
        <v>2</v>
      </c>
    </row>
    <row r="1323" spans="1:35">
      <c r="A1323">
        <v>50</v>
      </c>
      <c r="B1323" t="str">
        <f t="shared" si="20"/>
        <v>Senior</v>
      </c>
      <c r="C1323">
        <v>0</v>
      </c>
      <c r="D1323" t="s">
        <v>44</v>
      </c>
      <c r="E1323">
        <v>333</v>
      </c>
      <c r="F1323" t="s">
        <v>45</v>
      </c>
      <c r="G1323">
        <v>22</v>
      </c>
      <c r="H1323" t="str" cm="1">
        <f t="array" ref="H1323">_xlfn.IFS(G1323&gt;15,"Long Commute",G1323&gt;5,"Moderate",G1323&lt;=5,"Near Office")</f>
        <v>Long Commute</v>
      </c>
      <c r="I1323" t="s">
        <v>84</v>
      </c>
      <c r="J1323" t="s">
        <v>51</v>
      </c>
      <c r="K1323">
        <v>3</v>
      </c>
      <c r="L1323" t="s">
        <v>46</v>
      </c>
      <c r="M1323">
        <v>88</v>
      </c>
      <c r="N1323">
        <v>1</v>
      </c>
      <c r="O1323">
        <v>4</v>
      </c>
      <c r="P1323" t="s">
        <v>58</v>
      </c>
      <c r="Q1323" t="s">
        <v>77</v>
      </c>
      <c r="R1323" t="s">
        <v>41</v>
      </c>
      <c r="S1323">
        <v>14411</v>
      </c>
      <c r="T1323" t="str" cm="1">
        <f t="array" ref="T1323">_xlfn.IFS(S1323&gt;=10000,"High (&gt;10k)",S1323&gt;=5000,"Medium (5k-10k)",S1323&lt;5000,"Low (&lt;5k)")</f>
        <v>High (&gt;10k)</v>
      </c>
      <c r="U1323">
        <v>24450</v>
      </c>
      <c r="V1323">
        <v>1</v>
      </c>
      <c r="W1323" t="s">
        <v>35</v>
      </c>
      <c r="X1323">
        <v>13</v>
      </c>
      <c r="Y1323">
        <v>3</v>
      </c>
      <c r="Z1323">
        <v>4</v>
      </c>
      <c r="AA1323">
        <v>0</v>
      </c>
      <c r="AB1323">
        <v>32</v>
      </c>
      <c r="AC1323">
        <v>2</v>
      </c>
      <c r="AD1323" t="s">
        <v>74</v>
      </c>
      <c r="AE1323">
        <v>32</v>
      </c>
      <c r="AF1323" t="str" cm="1">
        <f t="array" ref="AF1323">_xlfn.IFS(AE1323&gt;=10,"Veteran (10y+)",AE1323&gt;=3,"Established (3-10y)",AE1323&lt;3,"New Hire (&lt;3y)")</f>
        <v>Veteran (10y+)</v>
      </c>
      <c r="AG1323">
        <v>6</v>
      </c>
      <c r="AH1323">
        <v>13</v>
      </c>
      <c r="AI1323">
        <v>9</v>
      </c>
    </row>
    <row r="1324" spans="1:35">
      <c r="A1324">
        <v>50</v>
      </c>
      <c r="B1324" t="str">
        <f t="shared" si="20"/>
        <v>Senior</v>
      </c>
      <c r="C1324">
        <v>0</v>
      </c>
      <c r="D1324" t="s">
        <v>36</v>
      </c>
      <c r="E1324">
        <v>264</v>
      </c>
      <c r="F1324" t="s">
        <v>37</v>
      </c>
      <c r="G1324">
        <v>9</v>
      </c>
      <c r="H1324" t="str" cm="1">
        <f t="array" ref="H1324">_xlfn.IFS(G1324&gt;15,"Long Commute",G1324&gt;5,"Moderate",G1324&lt;=5,"Near Office")</f>
        <v>Moderate</v>
      </c>
      <c r="I1324" t="s">
        <v>72</v>
      </c>
      <c r="J1324" t="s">
        <v>59</v>
      </c>
      <c r="K1324">
        <v>3</v>
      </c>
      <c r="L1324" t="s">
        <v>46</v>
      </c>
      <c r="M1324">
        <v>59</v>
      </c>
      <c r="N1324">
        <v>3</v>
      </c>
      <c r="O1324">
        <v>5</v>
      </c>
      <c r="P1324" t="s">
        <v>56</v>
      </c>
      <c r="Q1324" t="s">
        <v>73</v>
      </c>
      <c r="R1324" t="s">
        <v>48</v>
      </c>
      <c r="S1324">
        <v>19331</v>
      </c>
      <c r="T1324" t="str" cm="1">
        <f t="array" ref="T1324">_xlfn.IFS(S1324&gt;=10000,"High (&gt;10k)",S1324&gt;=5000,"Medium (5k-10k)",S1324&lt;5000,"Low (&lt;5k)")</f>
        <v>High (&gt;10k)</v>
      </c>
      <c r="U1324">
        <v>19519</v>
      </c>
      <c r="V1324">
        <v>4</v>
      </c>
      <c r="W1324" t="s">
        <v>35</v>
      </c>
      <c r="X1324">
        <v>16</v>
      </c>
      <c r="Y1324">
        <v>3</v>
      </c>
      <c r="Z1324">
        <v>3</v>
      </c>
      <c r="AA1324">
        <v>1</v>
      </c>
      <c r="AB1324">
        <v>27</v>
      </c>
      <c r="AC1324">
        <v>2</v>
      </c>
      <c r="AD1324" t="s">
        <v>74</v>
      </c>
      <c r="AE1324">
        <v>1</v>
      </c>
      <c r="AF1324" t="str" cm="1">
        <f t="array" ref="AF1324">_xlfn.IFS(AE1324&gt;=10,"Veteran (10y+)",AE1324&gt;=3,"Established (3-10y)",AE1324&lt;3,"New Hire (&lt;3y)")</f>
        <v>New Hire (&lt;3y)</v>
      </c>
      <c r="AG1324">
        <v>0</v>
      </c>
      <c r="AH1324">
        <v>0</v>
      </c>
      <c r="AI1324">
        <v>0</v>
      </c>
    </row>
    <row r="1325" spans="1:35">
      <c r="A1325">
        <v>50</v>
      </c>
      <c r="B1325" t="str">
        <f t="shared" si="20"/>
        <v>Senior</v>
      </c>
      <c r="C1325">
        <v>0</v>
      </c>
      <c r="D1325" t="s">
        <v>44</v>
      </c>
      <c r="E1325">
        <v>1234</v>
      </c>
      <c r="F1325" t="s">
        <v>45</v>
      </c>
      <c r="G1325">
        <v>20</v>
      </c>
      <c r="H1325" t="str" cm="1">
        <f t="array" ref="H1325">_xlfn.IFS(G1325&gt;15,"Long Commute",G1325&gt;5,"Moderate",G1325&lt;=5,"Near Office")</f>
        <v>Long Commute</v>
      </c>
      <c r="I1325" t="s">
        <v>84</v>
      </c>
      <c r="J1325" t="s">
        <v>51</v>
      </c>
      <c r="K1325">
        <v>2</v>
      </c>
      <c r="L1325" t="s">
        <v>46</v>
      </c>
      <c r="M1325">
        <v>41</v>
      </c>
      <c r="N1325">
        <v>3</v>
      </c>
      <c r="O1325">
        <v>4</v>
      </c>
      <c r="P1325" t="s">
        <v>54</v>
      </c>
      <c r="Q1325" t="s">
        <v>73</v>
      </c>
      <c r="R1325" t="s">
        <v>48</v>
      </c>
      <c r="S1325">
        <v>11245</v>
      </c>
      <c r="T1325" t="str" cm="1">
        <f t="array" ref="T1325">_xlfn.IFS(S1325&gt;=10000,"High (&gt;10k)",S1325&gt;=5000,"Medium (5k-10k)",S1325&lt;5000,"Low (&lt;5k)")</f>
        <v>High (&gt;10k)</v>
      </c>
      <c r="U1325">
        <v>20689</v>
      </c>
      <c r="V1325">
        <v>2</v>
      </c>
      <c r="W1325" t="s">
        <v>35</v>
      </c>
      <c r="X1325">
        <v>15</v>
      </c>
      <c r="Y1325">
        <v>3</v>
      </c>
      <c r="Z1325">
        <v>3</v>
      </c>
      <c r="AA1325">
        <v>1</v>
      </c>
      <c r="AB1325">
        <v>32</v>
      </c>
      <c r="AC1325">
        <v>3</v>
      </c>
      <c r="AD1325" t="s">
        <v>74</v>
      </c>
      <c r="AE1325">
        <v>30</v>
      </c>
      <c r="AF1325" t="str" cm="1">
        <f t="array" ref="AF1325">_xlfn.IFS(AE1325&gt;=10,"Veteran (10y+)",AE1325&gt;=3,"Established (3-10y)",AE1325&lt;3,"New Hire (&lt;3y)")</f>
        <v>Veteran (10y+)</v>
      </c>
      <c r="AG1325">
        <v>8</v>
      </c>
      <c r="AH1325">
        <v>12</v>
      </c>
      <c r="AI1325">
        <v>13</v>
      </c>
    </row>
    <row r="1326" spans="1:35">
      <c r="A1326">
        <v>50</v>
      </c>
      <c r="B1326" t="str">
        <f t="shared" si="20"/>
        <v>Senior</v>
      </c>
      <c r="C1326">
        <v>0</v>
      </c>
      <c r="D1326" t="s">
        <v>36</v>
      </c>
      <c r="E1326">
        <v>813</v>
      </c>
      <c r="F1326" t="s">
        <v>45</v>
      </c>
      <c r="G1326">
        <v>17</v>
      </c>
      <c r="H1326" t="str" cm="1">
        <f t="array" ref="H1326">_xlfn.IFS(G1326&gt;15,"Long Commute",G1326&gt;5,"Moderate",G1326&lt;=5,"Near Office")</f>
        <v>Long Commute</v>
      </c>
      <c r="I1326" t="s">
        <v>84</v>
      </c>
      <c r="J1326" t="s">
        <v>38</v>
      </c>
      <c r="K1326">
        <v>4</v>
      </c>
      <c r="L1326" t="s">
        <v>39</v>
      </c>
      <c r="M1326">
        <v>50</v>
      </c>
      <c r="N1326">
        <v>2</v>
      </c>
      <c r="O1326">
        <v>3</v>
      </c>
      <c r="P1326" t="s">
        <v>58</v>
      </c>
      <c r="Q1326" t="s">
        <v>82</v>
      </c>
      <c r="R1326" t="s">
        <v>52</v>
      </c>
      <c r="S1326">
        <v>13269</v>
      </c>
      <c r="T1326" t="str" cm="1">
        <f t="array" ref="T1326">_xlfn.IFS(S1326&gt;=10000,"High (&gt;10k)",S1326&gt;=5000,"Medium (5k-10k)",S1326&lt;5000,"Low (&lt;5k)")</f>
        <v>High (&gt;10k)</v>
      </c>
      <c r="U1326">
        <v>21981</v>
      </c>
      <c r="V1326">
        <v>5</v>
      </c>
      <c r="W1326" t="s">
        <v>43</v>
      </c>
      <c r="X1326">
        <v>15</v>
      </c>
      <c r="Y1326">
        <v>3</v>
      </c>
      <c r="Z1326">
        <v>3</v>
      </c>
      <c r="AA1326">
        <v>3</v>
      </c>
      <c r="AB1326">
        <v>19</v>
      </c>
      <c r="AC1326">
        <v>3</v>
      </c>
      <c r="AD1326" t="s">
        <v>74</v>
      </c>
      <c r="AE1326">
        <v>14</v>
      </c>
      <c r="AF1326" t="str" cm="1">
        <f t="array" ref="AF1326">_xlfn.IFS(AE1326&gt;=10,"Veteran (10y+)",AE1326&gt;=3,"Established (3-10y)",AE1326&lt;3,"New Hire (&lt;3y)")</f>
        <v>Veteran (10y+)</v>
      </c>
      <c r="AG1326">
        <v>11</v>
      </c>
      <c r="AH1326">
        <v>1</v>
      </c>
      <c r="AI1326">
        <v>11</v>
      </c>
    </row>
    <row r="1327" spans="1:35">
      <c r="A1327">
        <v>50</v>
      </c>
      <c r="B1327" t="str">
        <f t="shared" si="20"/>
        <v>Senior</v>
      </c>
      <c r="C1327">
        <v>1</v>
      </c>
      <c r="D1327" t="s">
        <v>44</v>
      </c>
      <c r="E1327">
        <v>878</v>
      </c>
      <c r="F1327" t="s">
        <v>37</v>
      </c>
      <c r="G1327">
        <v>1</v>
      </c>
      <c r="H1327" t="str" cm="1">
        <f t="array" ref="H1327">_xlfn.IFS(G1327&gt;15,"Long Commute",G1327&gt;5,"Moderate",G1327&lt;=5,"Near Office")</f>
        <v>Near Office</v>
      </c>
      <c r="I1327" t="s">
        <v>83</v>
      </c>
      <c r="J1327" t="s">
        <v>38</v>
      </c>
      <c r="K1327">
        <v>2</v>
      </c>
      <c r="L1327" t="s">
        <v>46</v>
      </c>
      <c r="M1327">
        <v>94</v>
      </c>
      <c r="N1327">
        <v>3</v>
      </c>
      <c r="O1327">
        <v>2</v>
      </c>
      <c r="P1327" t="s">
        <v>40</v>
      </c>
      <c r="Q1327" t="s">
        <v>73</v>
      </c>
      <c r="R1327" t="s">
        <v>52</v>
      </c>
      <c r="S1327">
        <v>6728</v>
      </c>
      <c r="T1327" t="str" cm="1">
        <f t="array" ref="T1327">_xlfn.IFS(S1327&gt;=10000,"High (&gt;10k)",S1327&gt;=5000,"Medium (5k-10k)",S1327&lt;5000,"Low (&lt;5k)")</f>
        <v>Medium (5k-10k)</v>
      </c>
      <c r="U1327">
        <v>14255</v>
      </c>
      <c r="V1327">
        <v>7</v>
      </c>
      <c r="W1327" t="s">
        <v>43</v>
      </c>
      <c r="X1327">
        <v>12</v>
      </c>
      <c r="Y1327">
        <v>3</v>
      </c>
      <c r="Z1327">
        <v>4</v>
      </c>
      <c r="AA1327">
        <v>2</v>
      </c>
      <c r="AB1327">
        <v>12</v>
      </c>
      <c r="AC1327">
        <v>3</v>
      </c>
      <c r="AD1327" t="s">
        <v>74</v>
      </c>
      <c r="AE1327">
        <v>6</v>
      </c>
      <c r="AF1327" t="str" cm="1">
        <f t="array" ref="AF1327">_xlfn.IFS(AE1327&gt;=10,"Veteran (10y+)",AE1327&gt;=3,"Established (3-10y)",AE1327&lt;3,"New Hire (&lt;3y)")</f>
        <v>Established (3-10y)</v>
      </c>
      <c r="AG1327">
        <v>3</v>
      </c>
      <c r="AH1327">
        <v>0</v>
      </c>
      <c r="AI1327">
        <v>1</v>
      </c>
    </row>
    <row r="1328" spans="1:35">
      <c r="A1328">
        <v>50</v>
      </c>
      <c r="B1328" t="str">
        <f t="shared" si="20"/>
        <v>Senior</v>
      </c>
      <c r="C1328">
        <v>1</v>
      </c>
      <c r="D1328" t="s">
        <v>36</v>
      </c>
      <c r="E1328">
        <v>410</v>
      </c>
      <c r="F1328" t="s">
        <v>37</v>
      </c>
      <c r="G1328">
        <v>28</v>
      </c>
      <c r="H1328" t="str" cm="1">
        <f t="array" ref="H1328">_xlfn.IFS(G1328&gt;15,"Long Commute",G1328&gt;5,"Moderate",G1328&lt;=5,"Near Office")</f>
        <v>Long Commute</v>
      </c>
      <c r="I1328" t="s">
        <v>72</v>
      </c>
      <c r="J1328" t="s">
        <v>59</v>
      </c>
      <c r="K1328">
        <v>4</v>
      </c>
      <c r="L1328" t="s">
        <v>46</v>
      </c>
      <c r="M1328">
        <v>39</v>
      </c>
      <c r="N1328">
        <v>2</v>
      </c>
      <c r="O1328">
        <v>3</v>
      </c>
      <c r="P1328" t="s">
        <v>40</v>
      </c>
      <c r="Q1328" t="s">
        <v>82</v>
      </c>
      <c r="R1328" t="s">
        <v>52</v>
      </c>
      <c r="S1328">
        <v>10854</v>
      </c>
      <c r="T1328" t="str" cm="1">
        <f t="array" ref="T1328">_xlfn.IFS(S1328&gt;=10000,"High (&gt;10k)",S1328&gt;=5000,"Medium (5k-10k)",S1328&lt;5000,"Low (&lt;5k)")</f>
        <v>High (&gt;10k)</v>
      </c>
      <c r="U1328">
        <v>16586</v>
      </c>
      <c r="V1328">
        <v>4</v>
      </c>
      <c r="W1328" t="s">
        <v>35</v>
      </c>
      <c r="X1328">
        <v>13</v>
      </c>
      <c r="Y1328">
        <v>3</v>
      </c>
      <c r="Z1328">
        <v>2</v>
      </c>
      <c r="AA1328">
        <v>1</v>
      </c>
      <c r="AB1328">
        <v>20</v>
      </c>
      <c r="AC1328">
        <v>3</v>
      </c>
      <c r="AD1328" t="s">
        <v>74</v>
      </c>
      <c r="AE1328">
        <v>3</v>
      </c>
      <c r="AF1328" t="str" cm="1">
        <f t="array" ref="AF1328">_xlfn.IFS(AE1328&gt;=10,"Veteran (10y+)",AE1328&gt;=3,"Established (3-10y)",AE1328&lt;3,"New Hire (&lt;3y)")</f>
        <v>Established (3-10y)</v>
      </c>
      <c r="AG1328">
        <v>2</v>
      </c>
      <c r="AH1328">
        <v>2</v>
      </c>
      <c r="AI1328">
        <v>0</v>
      </c>
    </row>
    <row r="1329" spans="1:35">
      <c r="A1329">
        <v>51</v>
      </c>
      <c r="B1329" t="str">
        <f t="shared" si="20"/>
        <v>Senior</v>
      </c>
      <c r="C1329">
        <v>0</v>
      </c>
      <c r="D1329" t="s">
        <v>36</v>
      </c>
      <c r="E1329">
        <v>432</v>
      </c>
      <c r="F1329" t="s">
        <v>45</v>
      </c>
      <c r="G1329">
        <v>9</v>
      </c>
      <c r="H1329" t="str" cm="1">
        <f t="array" ref="H1329">_xlfn.IFS(G1329&gt;15,"Long Commute",G1329&gt;5,"Moderate",G1329&lt;=5,"Near Office")</f>
        <v>Moderate</v>
      </c>
      <c r="I1329" t="s">
        <v>83</v>
      </c>
      <c r="J1329" t="s">
        <v>38</v>
      </c>
      <c r="K1329">
        <v>4</v>
      </c>
      <c r="L1329" t="s">
        <v>46</v>
      </c>
      <c r="M1329">
        <v>96</v>
      </c>
      <c r="N1329">
        <v>3</v>
      </c>
      <c r="O1329">
        <v>1</v>
      </c>
      <c r="P1329" t="s">
        <v>50</v>
      </c>
      <c r="Q1329" t="s">
        <v>77</v>
      </c>
      <c r="R1329" t="s">
        <v>48</v>
      </c>
      <c r="S1329">
        <v>2075</v>
      </c>
      <c r="T1329" t="str" cm="1">
        <f t="array" ref="T1329">_xlfn.IFS(S1329&gt;=10000,"High (&gt;10k)",S1329&gt;=5000,"Medium (5k-10k)",S1329&lt;5000,"Low (&lt;5k)")</f>
        <v>Low (&lt;5k)</v>
      </c>
      <c r="U1329">
        <v>18725</v>
      </c>
      <c r="V1329">
        <v>3</v>
      </c>
      <c r="W1329" t="s">
        <v>43</v>
      </c>
      <c r="X1329">
        <v>23</v>
      </c>
      <c r="Y1329">
        <v>4</v>
      </c>
      <c r="Z1329">
        <v>2</v>
      </c>
      <c r="AA1329">
        <v>2</v>
      </c>
      <c r="AB1329">
        <v>10</v>
      </c>
      <c r="AC1329">
        <v>4</v>
      </c>
      <c r="AD1329" t="s">
        <v>74</v>
      </c>
      <c r="AE1329">
        <v>4</v>
      </c>
      <c r="AF1329" t="str" cm="1">
        <f t="array" ref="AF1329">_xlfn.IFS(AE1329&gt;=10,"Veteran (10y+)",AE1329&gt;=3,"Established (3-10y)",AE1329&lt;3,"New Hire (&lt;3y)")</f>
        <v>Established (3-10y)</v>
      </c>
      <c r="AG1329">
        <v>2</v>
      </c>
      <c r="AH1329">
        <v>0</v>
      </c>
      <c r="AI1329">
        <v>3</v>
      </c>
    </row>
    <row r="1330" spans="1:35">
      <c r="A1330">
        <v>51</v>
      </c>
      <c r="B1330" t="str">
        <f t="shared" si="20"/>
        <v>Senior</v>
      </c>
      <c r="C1330">
        <v>0</v>
      </c>
      <c r="D1330" t="s">
        <v>36</v>
      </c>
      <c r="E1330">
        <v>632</v>
      </c>
      <c r="F1330" t="s">
        <v>37</v>
      </c>
      <c r="G1330">
        <v>21</v>
      </c>
      <c r="H1330" t="str" cm="1">
        <f t="array" ref="H1330">_xlfn.IFS(G1330&gt;15,"Long Commute",G1330&gt;5,"Moderate",G1330&lt;=5,"Near Office")</f>
        <v>Long Commute</v>
      </c>
      <c r="I1330" t="s">
        <v>83</v>
      </c>
      <c r="J1330" t="s">
        <v>59</v>
      </c>
      <c r="K1330">
        <v>3</v>
      </c>
      <c r="L1330" t="s">
        <v>46</v>
      </c>
      <c r="M1330">
        <v>71</v>
      </c>
      <c r="N1330">
        <v>3</v>
      </c>
      <c r="O1330">
        <v>2</v>
      </c>
      <c r="P1330" t="s">
        <v>40</v>
      </c>
      <c r="Q1330" t="s">
        <v>77</v>
      </c>
      <c r="R1330" t="s">
        <v>41</v>
      </c>
      <c r="S1330">
        <v>5441</v>
      </c>
      <c r="T1330" t="str" cm="1">
        <f t="array" ref="T1330">_xlfn.IFS(S1330&gt;=10000,"High (&gt;10k)",S1330&gt;=5000,"Medium (5k-10k)",S1330&lt;5000,"Low (&lt;5k)")</f>
        <v>Medium (5k-10k)</v>
      </c>
      <c r="U1330">
        <v>8423</v>
      </c>
      <c r="V1330">
        <v>0</v>
      </c>
      <c r="W1330" t="s">
        <v>35</v>
      </c>
      <c r="X1330">
        <v>22</v>
      </c>
      <c r="Y1330">
        <v>4</v>
      </c>
      <c r="Z1330">
        <v>4</v>
      </c>
      <c r="AA1330">
        <v>0</v>
      </c>
      <c r="AB1330">
        <v>11</v>
      </c>
      <c r="AC1330">
        <v>2</v>
      </c>
      <c r="AD1330" t="s">
        <v>80</v>
      </c>
      <c r="AE1330">
        <v>10</v>
      </c>
      <c r="AF1330" t="str" cm="1">
        <f t="array" ref="AF1330">_xlfn.IFS(AE1330&gt;=10,"Veteran (10y+)",AE1330&gt;=3,"Established (3-10y)",AE1330&lt;3,"New Hire (&lt;3y)")</f>
        <v>Veteran (10y+)</v>
      </c>
      <c r="AG1330">
        <v>7</v>
      </c>
      <c r="AH1330">
        <v>1</v>
      </c>
      <c r="AI1330">
        <v>0</v>
      </c>
    </row>
    <row r="1331" spans="1:35">
      <c r="A1331">
        <v>51</v>
      </c>
      <c r="B1331" t="str">
        <f t="shared" si="20"/>
        <v>Senior</v>
      </c>
      <c r="C1331">
        <v>0</v>
      </c>
      <c r="D1331" t="s">
        <v>44</v>
      </c>
      <c r="E1331">
        <v>1456</v>
      </c>
      <c r="F1331" t="s">
        <v>45</v>
      </c>
      <c r="G1331">
        <v>1</v>
      </c>
      <c r="H1331" t="str" cm="1">
        <f t="array" ref="H1331">_xlfn.IFS(G1331&gt;15,"Long Commute",G1331&gt;5,"Moderate",G1331&lt;=5,"Near Office")</f>
        <v>Near Office</v>
      </c>
      <c r="I1331" t="s">
        <v>83</v>
      </c>
      <c r="J1331" t="s">
        <v>51</v>
      </c>
      <c r="K1331">
        <v>1</v>
      </c>
      <c r="L1331" t="s">
        <v>39</v>
      </c>
      <c r="M1331">
        <v>30</v>
      </c>
      <c r="N1331">
        <v>2</v>
      </c>
      <c r="O1331">
        <v>3</v>
      </c>
      <c r="P1331" t="s">
        <v>54</v>
      </c>
      <c r="Q1331" t="s">
        <v>82</v>
      </c>
      <c r="R1331" t="s">
        <v>41</v>
      </c>
      <c r="S1331">
        <v>7484</v>
      </c>
      <c r="T1331" t="str" cm="1">
        <f t="array" ref="T1331">_xlfn.IFS(S1331&gt;=10000,"High (&gt;10k)",S1331&gt;=5000,"Medium (5k-10k)",S1331&lt;5000,"Low (&lt;5k)")</f>
        <v>Medium (5k-10k)</v>
      </c>
      <c r="U1331">
        <v>25796</v>
      </c>
      <c r="V1331">
        <v>3</v>
      </c>
      <c r="W1331" t="s">
        <v>43</v>
      </c>
      <c r="X1331">
        <v>20</v>
      </c>
      <c r="Y1331">
        <v>4</v>
      </c>
      <c r="Z1331">
        <v>3</v>
      </c>
      <c r="AA1331">
        <v>0</v>
      </c>
      <c r="AB1331">
        <v>23</v>
      </c>
      <c r="AC1331">
        <v>1</v>
      </c>
      <c r="AD1331" t="s">
        <v>81</v>
      </c>
      <c r="AE1331">
        <v>13</v>
      </c>
      <c r="AF1331" t="str" cm="1">
        <f t="array" ref="AF1331">_xlfn.IFS(AE1331&gt;=10,"Veteran (10y+)",AE1331&gt;=3,"Established (3-10y)",AE1331&lt;3,"New Hire (&lt;3y)")</f>
        <v>Veteran (10y+)</v>
      </c>
      <c r="AG1331">
        <v>12</v>
      </c>
      <c r="AH1331">
        <v>12</v>
      </c>
      <c r="AI1331">
        <v>8</v>
      </c>
    </row>
    <row r="1332" spans="1:35">
      <c r="A1332">
        <v>51</v>
      </c>
      <c r="B1332" t="str">
        <f t="shared" si="20"/>
        <v>Senior</v>
      </c>
      <c r="C1332">
        <v>0</v>
      </c>
      <c r="D1332" t="s">
        <v>36</v>
      </c>
      <c r="E1332">
        <v>684</v>
      </c>
      <c r="F1332" t="s">
        <v>45</v>
      </c>
      <c r="G1332">
        <v>6</v>
      </c>
      <c r="H1332" t="str" cm="1">
        <f t="array" ref="H1332">_xlfn.IFS(G1332&gt;15,"Long Commute",G1332&gt;5,"Moderate",G1332&lt;=5,"Near Office")</f>
        <v>Moderate</v>
      </c>
      <c r="I1332" t="s">
        <v>72</v>
      </c>
      <c r="J1332" t="s">
        <v>38</v>
      </c>
      <c r="K1332">
        <v>1</v>
      </c>
      <c r="L1332" t="s">
        <v>46</v>
      </c>
      <c r="M1332">
        <v>51</v>
      </c>
      <c r="N1332">
        <v>3</v>
      </c>
      <c r="O1332">
        <v>5</v>
      </c>
      <c r="P1332" t="s">
        <v>58</v>
      </c>
      <c r="Q1332" t="s">
        <v>73</v>
      </c>
      <c r="R1332" t="s">
        <v>41</v>
      </c>
      <c r="S1332">
        <v>19537</v>
      </c>
      <c r="T1332" t="str" cm="1">
        <f t="array" ref="T1332">_xlfn.IFS(S1332&gt;=10000,"High (&gt;10k)",S1332&gt;=5000,"Medium (5k-10k)",S1332&lt;5000,"Low (&lt;5k)")</f>
        <v>High (&gt;10k)</v>
      </c>
      <c r="U1332">
        <v>6462</v>
      </c>
      <c r="V1332">
        <v>7</v>
      </c>
      <c r="W1332" t="s">
        <v>43</v>
      </c>
      <c r="X1332">
        <v>13</v>
      </c>
      <c r="Y1332">
        <v>3</v>
      </c>
      <c r="Z1332">
        <v>3</v>
      </c>
      <c r="AA1332">
        <v>0</v>
      </c>
      <c r="AB1332">
        <v>23</v>
      </c>
      <c r="AC1332">
        <v>5</v>
      </c>
      <c r="AD1332" t="s">
        <v>74</v>
      </c>
      <c r="AE1332">
        <v>20</v>
      </c>
      <c r="AF1332" t="str" cm="1">
        <f t="array" ref="AF1332">_xlfn.IFS(AE1332&gt;=10,"Veteran (10y+)",AE1332&gt;=3,"Established (3-10y)",AE1332&lt;3,"New Hire (&lt;3y)")</f>
        <v>Veteran (10y+)</v>
      </c>
      <c r="AG1332">
        <v>18</v>
      </c>
      <c r="AH1332">
        <v>15</v>
      </c>
      <c r="AI1332">
        <v>15</v>
      </c>
    </row>
    <row r="1333" spans="1:35">
      <c r="A1333">
        <v>51</v>
      </c>
      <c r="B1333" t="str">
        <f t="shared" si="20"/>
        <v>Senior</v>
      </c>
      <c r="C1333">
        <v>1</v>
      </c>
      <c r="D1333" t="s">
        <v>44</v>
      </c>
      <c r="E1333">
        <v>1150</v>
      </c>
      <c r="F1333" t="s">
        <v>45</v>
      </c>
      <c r="G1333">
        <v>8</v>
      </c>
      <c r="H1333" t="str" cm="1">
        <f t="array" ref="H1333">_xlfn.IFS(G1333&gt;15,"Long Commute",G1333&gt;5,"Moderate",G1333&lt;=5,"Near Office")</f>
        <v>Moderate</v>
      </c>
      <c r="I1333" t="s">
        <v>83</v>
      </c>
      <c r="J1333" t="s">
        <v>38</v>
      </c>
      <c r="K1333">
        <v>1</v>
      </c>
      <c r="L1333" t="s">
        <v>46</v>
      </c>
      <c r="M1333">
        <v>53</v>
      </c>
      <c r="N1333">
        <v>1</v>
      </c>
      <c r="O1333">
        <v>3</v>
      </c>
      <c r="P1333" t="s">
        <v>53</v>
      </c>
      <c r="Q1333" t="s">
        <v>77</v>
      </c>
      <c r="R1333" t="s">
        <v>41</v>
      </c>
      <c r="S1333">
        <v>10650</v>
      </c>
      <c r="T1333" t="str" cm="1">
        <f t="array" ref="T1333">_xlfn.IFS(S1333&gt;=10000,"High (&gt;10k)",S1333&gt;=5000,"Medium (5k-10k)",S1333&lt;5000,"Low (&lt;5k)")</f>
        <v>High (&gt;10k)</v>
      </c>
      <c r="U1333">
        <v>25150</v>
      </c>
      <c r="V1333">
        <v>2</v>
      </c>
      <c r="W1333" t="s">
        <v>43</v>
      </c>
      <c r="X1333">
        <v>15</v>
      </c>
      <c r="Y1333">
        <v>3</v>
      </c>
      <c r="Z1333">
        <v>4</v>
      </c>
      <c r="AA1333">
        <v>0</v>
      </c>
      <c r="AB1333">
        <v>18</v>
      </c>
      <c r="AC1333">
        <v>2</v>
      </c>
      <c r="AD1333" t="s">
        <v>74</v>
      </c>
      <c r="AE1333">
        <v>4</v>
      </c>
      <c r="AF1333" t="str" cm="1">
        <f t="array" ref="AF1333">_xlfn.IFS(AE1333&gt;=10,"Veteran (10y+)",AE1333&gt;=3,"Established (3-10y)",AE1333&lt;3,"New Hire (&lt;3y)")</f>
        <v>Established (3-10y)</v>
      </c>
      <c r="AG1333">
        <v>2</v>
      </c>
      <c r="AH1333">
        <v>0</v>
      </c>
      <c r="AI1333">
        <v>3</v>
      </c>
    </row>
    <row r="1334" spans="1:35">
      <c r="A1334">
        <v>51</v>
      </c>
      <c r="B1334" t="str">
        <f t="shared" si="20"/>
        <v>Senior</v>
      </c>
      <c r="C1334">
        <v>0</v>
      </c>
      <c r="D1334" t="s">
        <v>36</v>
      </c>
      <c r="E1334">
        <v>1169</v>
      </c>
      <c r="F1334" t="s">
        <v>45</v>
      </c>
      <c r="G1334">
        <v>7</v>
      </c>
      <c r="H1334" t="str" cm="1">
        <f t="array" ref="H1334">_xlfn.IFS(G1334&gt;15,"Long Commute",G1334&gt;5,"Moderate",G1334&lt;=5,"Near Office")</f>
        <v>Moderate</v>
      </c>
      <c r="I1334" t="s">
        <v>83</v>
      </c>
      <c r="J1334" t="s">
        <v>51</v>
      </c>
      <c r="K1334">
        <v>2</v>
      </c>
      <c r="L1334" t="s">
        <v>46</v>
      </c>
      <c r="M1334">
        <v>34</v>
      </c>
      <c r="N1334">
        <v>2</v>
      </c>
      <c r="O1334">
        <v>2</v>
      </c>
      <c r="P1334" t="s">
        <v>53</v>
      </c>
      <c r="Q1334" t="s">
        <v>73</v>
      </c>
      <c r="R1334" t="s">
        <v>48</v>
      </c>
      <c r="S1334">
        <v>6132</v>
      </c>
      <c r="T1334" t="str" cm="1">
        <f t="array" ref="T1334">_xlfn.IFS(S1334&gt;=10000,"High (&gt;10k)",S1334&gt;=5000,"Medium (5k-10k)",S1334&lt;5000,"Low (&lt;5k)")</f>
        <v>Medium (5k-10k)</v>
      </c>
      <c r="U1334">
        <v>13983</v>
      </c>
      <c r="V1334">
        <v>2</v>
      </c>
      <c r="W1334" t="s">
        <v>43</v>
      </c>
      <c r="X1334">
        <v>17</v>
      </c>
      <c r="Y1334">
        <v>3</v>
      </c>
      <c r="Z1334">
        <v>3</v>
      </c>
      <c r="AA1334">
        <v>0</v>
      </c>
      <c r="AB1334">
        <v>10</v>
      </c>
      <c r="AC1334">
        <v>2</v>
      </c>
      <c r="AD1334" t="s">
        <v>74</v>
      </c>
      <c r="AE1334">
        <v>1</v>
      </c>
      <c r="AF1334" t="str" cm="1">
        <f t="array" ref="AF1334">_xlfn.IFS(AE1334&gt;=10,"Veteran (10y+)",AE1334&gt;=3,"Established (3-10y)",AE1334&lt;3,"New Hire (&lt;3y)")</f>
        <v>New Hire (&lt;3y)</v>
      </c>
      <c r="AG1334">
        <v>0</v>
      </c>
      <c r="AH1334">
        <v>0</v>
      </c>
      <c r="AI1334">
        <v>0</v>
      </c>
    </row>
    <row r="1335" spans="1:35">
      <c r="A1335">
        <v>51</v>
      </c>
      <c r="B1335" t="str">
        <f t="shared" si="20"/>
        <v>Senior</v>
      </c>
      <c r="C1335">
        <v>0</v>
      </c>
      <c r="D1335" t="s">
        <v>36</v>
      </c>
      <c r="E1335">
        <v>313</v>
      </c>
      <c r="F1335" t="s">
        <v>45</v>
      </c>
      <c r="G1335">
        <v>3</v>
      </c>
      <c r="H1335" t="str" cm="1">
        <f t="array" ref="H1335">_xlfn.IFS(G1335&gt;15,"Long Commute",G1335&gt;5,"Moderate",G1335&lt;=5,"Near Office")</f>
        <v>Near Office</v>
      </c>
      <c r="I1335" t="s">
        <v>72</v>
      </c>
      <c r="J1335" t="s">
        <v>51</v>
      </c>
      <c r="K1335">
        <v>4</v>
      </c>
      <c r="L1335" t="s">
        <v>39</v>
      </c>
      <c r="M1335">
        <v>98</v>
      </c>
      <c r="N1335">
        <v>3</v>
      </c>
      <c r="O1335">
        <v>4</v>
      </c>
      <c r="P1335" t="s">
        <v>54</v>
      </c>
      <c r="Q1335" t="s">
        <v>75</v>
      </c>
      <c r="R1335" t="s">
        <v>41</v>
      </c>
      <c r="S1335">
        <v>13734</v>
      </c>
      <c r="T1335" t="str" cm="1">
        <f t="array" ref="T1335">_xlfn.IFS(S1335&gt;=10000,"High (&gt;10k)",S1335&gt;=5000,"Medium (5k-10k)",S1335&lt;5000,"Low (&lt;5k)")</f>
        <v>High (&gt;10k)</v>
      </c>
      <c r="U1335">
        <v>7192</v>
      </c>
      <c r="V1335">
        <v>3</v>
      </c>
      <c r="W1335" t="s">
        <v>43</v>
      </c>
      <c r="X1335">
        <v>18</v>
      </c>
      <c r="Y1335">
        <v>3</v>
      </c>
      <c r="Z1335">
        <v>3</v>
      </c>
      <c r="AA1335">
        <v>0</v>
      </c>
      <c r="AB1335">
        <v>21</v>
      </c>
      <c r="AC1335">
        <v>6</v>
      </c>
      <c r="AD1335" t="s">
        <v>74</v>
      </c>
      <c r="AE1335">
        <v>7</v>
      </c>
      <c r="AF1335" t="str" cm="1">
        <f t="array" ref="AF1335">_xlfn.IFS(AE1335&gt;=10,"Veteran (10y+)",AE1335&gt;=3,"Established (3-10y)",AE1335&lt;3,"New Hire (&lt;3y)")</f>
        <v>Established (3-10y)</v>
      </c>
      <c r="AG1335">
        <v>7</v>
      </c>
      <c r="AH1335">
        <v>1</v>
      </c>
      <c r="AI1335">
        <v>0</v>
      </c>
    </row>
    <row r="1336" spans="1:35">
      <c r="A1336">
        <v>51</v>
      </c>
      <c r="B1336" t="str">
        <f t="shared" si="20"/>
        <v>Senior</v>
      </c>
      <c r="C1336">
        <v>0</v>
      </c>
      <c r="D1336" t="s">
        <v>36</v>
      </c>
      <c r="E1336">
        <v>1469</v>
      </c>
      <c r="F1336" t="s">
        <v>45</v>
      </c>
      <c r="G1336">
        <v>8</v>
      </c>
      <c r="H1336" t="str" cm="1">
        <f t="array" ref="H1336">_xlfn.IFS(G1336&gt;15,"Long Commute",G1336&gt;5,"Moderate",G1336&lt;=5,"Near Office")</f>
        <v>Moderate</v>
      </c>
      <c r="I1336" t="s">
        <v>83</v>
      </c>
      <c r="J1336" t="s">
        <v>38</v>
      </c>
      <c r="K1336">
        <v>2</v>
      </c>
      <c r="L1336" t="s">
        <v>46</v>
      </c>
      <c r="M1336">
        <v>81</v>
      </c>
      <c r="N1336">
        <v>2</v>
      </c>
      <c r="O1336">
        <v>3</v>
      </c>
      <c r="P1336" t="s">
        <v>58</v>
      </c>
      <c r="Q1336" t="s">
        <v>75</v>
      </c>
      <c r="R1336" t="s">
        <v>48</v>
      </c>
      <c r="S1336">
        <v>12490</v>
      </c>
      <c r="T1336" t="str" cm="1">
        <f t="array" ref="T1336">_xlfn.IFS(S1336&gt;=10000,"High (&gt;10k)",S1336&gt;=5000,"Medium (5k-10k)",S1336&lt;5000,"Low (&lt;5k)")</f>
        <v>High (&gt;10k)</v>
      </c>
      <c r="U1336">
        <v>15736</v>
      </c>
      <c r="V1336">
        <v>5</v>
      </c>
      <c r="W1336" t="s">
        <v>43</v>
      </c>
      <c r="X1336">
        <v>16</v>
      </c>
      <c r="Y1336">
        <v>3</v>
      </c>
      <c r="Z1336">
        <v>4</v>
      </c>
      <c r="AA1336">
        <v>2</v>
      </c>
      <c r="AB1336">
        <v>16</v>
      </c>
      <c r="AC1336">
        <v>5</v>
      </c>
      <c r="AD1336" t="s">
        <v>80</v>
      </c>
      <c r="AE1336">
        <v>10</v>
      </c>
      <c r="AF1336" t="str" cm="1">
        <f t="array" ref="AF1336">_xlfn.IFS(AE1336&gt;=10,"Veteran (10y+)",AE1336&gt;=3,"Established (3-10y)",AE1336&lt;3,"New Hire (&lt;3y)")</f>
        <v>Veteran (10y+)</v>
      </c>
      <c r="AG1336">
        <v>9</v>
      </c>
      <c r="AH1336">
        <v>4</v>
      </c>
      <c r="AI1336">
        <v>7</v>
      </c>
    </row>
    <row r="1337" spans="1:35">
      <c r="A1337">
        <v>51</v>
      </c>
      <c r="B1337" t="str">
        <f t="shared" si="20"/>
        <v>Senior</v>
      </c>
      <c r="C1337">
        <v>0</v>
      </c>
      <c r="D1337" t="s">
        <v>36</v>
      </c>
      <c r="E1337">
        <v>833</v>
      </c>
      <c r="F1337" t="s">
        <v>45</v>
      </c>
      <c r="G1337">
        <v>1</v>
      </c>
      <c r="H1337" t="str" cm="1">
        <f t="array" ref="H1337">_xlfn.IFS(G1337&gt;15,"Long Commute",G1337&gt;5,"Moderate",G1337&lt;=5,"Near Office")</f>
        <v>Near Office</v>
      </c>
      <c r="I1337" t="s">
        <v>72</v>
      </c>
      <c r="J1337" t="s">
        <v>38</v>
      </c>
      <c r="K1337">
        <v>3</v>
      </c>
      <c r="L1337" t="s">
        <v>46</v>
      </c>
      <c r="M1337">
        <v>96</v>
      </c>
      <c r="N1337">
        <v>3</v>
      </c>
      <c r="O1337">
        <v>1</v>
      </c>
      <c r="P1337" t="s">
        <v>47</v>
      </c>
      <c r="Q1337" t="s">
        <v>77</v>
      </c>
      <c r="R1337" t="s">
        <v>48</v>
      </c>
      <c r="S1337">
        <v>2723</v>
      </c>
      <c r="T1337" t="str" cm="1">
        <f t="array" ref="T1337">_xlfn.IFS(S1337&gt;=10000,"High (&gt;10k)",S1337&gt;=5000,"Medium (5k-10k)",S1337&lt;5000,"Low (&lt;5k)")</f>
        <v>Low (&lt;5k)</v>
      </c>
      <c r="U1337">
        <v>23231</v>
      </c>
      <c r="V1337">
        <v>1</v>
      </c>
      <c r="W1337" t="s">
        <v>43</v>
      </c>
      <c r="X1337">
        <v>11</v>
      </c>
      <c r="Y1337">
        <v>3</v>
      </c>
      <c r="Z1337">
        <v>2</v>
      </c>
      <c r="AA1337">
        <v>0</v>
      </c>
      <c r="AB1337">
        <v>1</v>
      </c>
      <c r="AC1337">
        <v>0</v>
      </c>
      <c r="AD1337" t="s">
        <v>81</v>
      </c>
      <c r="AE1337">
        <v>1</v>
      </c>
      <c r="AF1337" t="str" cm="1">
        <f t="array" ref="AF1337">_xlfn.IFS(AE1337&gt;=10,"Veteran (10y+)",AE1337&gt;=3,"Established (3-10y)",AE1337&lt;3,"New Hire (&lt;3y)")</f>
        <v>New Hire (&lt;3y)</v>
      </c>
      <c r="AG1337">
        <v>0</v>
      </c>
      <c r="AH1337">
        <v>0</v>
      </c>
      <c r="AI1337">
        <v>0</v>
      </c>
    </row>
    <row r="1338" spans="1:35">
      <c r="A1338">
        <v>51</v>
      </c>
      <c r="B1338" t="str">
        <f t="shared" si="20"/>
        <v>Senior</v>
      </c>
      <c r="C1338">
        <v>0</v>
      </c>
      <c r="D1338" t="s">
        <v>36</v>
      </c>
      <c r="E1338">
        <v>1302</v>
      </c>
      <c r="F1338" t="s">
        <v>45</v>
      </c>
      <c r="G1338">
        <v>2</v>
      </c>
      <c r="H1338" t="str" cm="1">
        <f t="array" ref="H1338">_xlfn.IFS(G1338&gt;15,"Long Commute",G1338&gt;5,"Moderate",G1338&lt;=5,"Near Office")</f>
        <v>Near Office</v>
      </c>
      <c r="I1338" t="s">
        <v>72</v>
      </c>
      <c r="J1338" t="s">
        <v>51</v>
      </c>
      <c r="K1338">
        <v>4</v>
      </c>
      <c r="L1338" t="s">
        <v>46</v>
      </c>
      <c r="M1338">
        <v>84</v>
      </c>
      <c r="N1338">
        <v>1</v>
      </c>
      <c r="O1338">
        <v>2</v>
      </c>
      <c r="P1338" t="s">
        <v>53</v>
      </c>
      <c r="Q1338" t="s">
        <v>75</v>
      </c>
      <c r="R1338" t="s">
        <v>52</v>
      </c>
      <c r="S1338">
        <v>5482</v>
      </c>
      <c r="T1338" t="str" cm="1">
        <f t="array" ref="T1338">_xlfn.IFS(S1338&gt;=10000,"High (&gt;10k)",S1338&gt;=5000,"Medium (5k-10k)",S1338&lt;5000,"Low (&lt;5k)")</f>
        <v>Medium (5k-10k)</v>
      </c>
      <c r="U1338">
        <v>16321</v>
      </c>
      <c r="V1338">
        <v>5</v>
      </c>
      <c r="W1338" t="s">
        <v>43</v>
      </c>
      <c r="X1338">
        <v>18</v>
      </c>
      <c r="Y1338">
        <v>3</v>
      </c>
      <c r="Z1338">
        <v>4</v>
      </c>
      <c r="AA1338">
        <v>1</v>
      </c>
      <c r="AB1338">
        <v>13</v>
      </c>
      <c r="AC1338">
        <v>3</v>
      </c>
      <c r="AD1338" t="s">
        <v>74</v>
      </c>
      <c r="AE1338">
        <v>4</v>
      </c>
      <c r="AF1338" t="str" cm="1">
        <f t="array" ref="AF1338">_xlfn.IFS(AE1338&gt;=10,"Veteran (10y+)",AE1338&gt;=3,"Established (3-10y)",AE1338&lt;3,"New Hire (&lt;3y)")</f>
        <v>Established (3-10y)</v>
      </c>
      <c r="AG1338">
        <v>1</v>
      </c>
      <c r="AH1338">
        <v>1</v>
      </c>
      <c r="AI1338">
        <v>2</v>
      </c>
    </row>
    <row r="1339" spans="1:35">
      <c r="A1339">
        <v>51</v>
      </c>
      <c r="B1339" t="str">
        <f t="shared" si="20"/>
        <v>Senior</v>
      </c>
      <c r="C1339">
        <v>0</v>
      </c>
      <c r="D1339" t="s">
        <v>36</v>
      </c>
      <c r="E1339">
        <v>1178</v>
      </c>
      <c r="F1339" t="s">
        <v>37</v>
      </c>
      <c r="G1339">
        <v>14</v>
      </c>
      <c r="H1339" t="str" cm="1">
        <f t="array" ref="H1339">_xlfn.IFS(G1339&gt;15,"Long Commute",G1339&gt;5,"Moderate",G1339&lt;=5,"Near Office")</f>
        <v>Moderate</v>
      </c>
      <c r="I1339" t="s">
        <v>76</v>
      </c>
      <c r="J1339" t="s">
        <v>38</v>
      </c>
      <c r="K1339">
        <v>3</v>
      </c>
      <c r="L1339" t="s">
        <v>39</v>
      </c>
      <c r="M1339">
        <v>87</v>
      </c>
      <c r="N1339">
        <v>3</v>
      </c>
      <c r="O1339">
        <v>2</v>
      </c>
      <c r="P1339" t="s">
        <v>40</v>
      </c>
      <c r="Q1339" t="s">
        <v>77</v>
      </c>
      <c r="R1339" t="s">
        <v>48</v>
      </c>
      <c r="S1339">
        <v>4936</v>
      </c>
      <c r="T1339" t="str" cm="1">
        <f t="array" ref="T1339">_xlfn.IFS(S1339&gt;=10000,"High (&gt;10k)",S1339&gt;=5000,"Medium (5k-10k)",S1339&lt;5000,"Low (&lt;5k)")</f>
        <v>Low (&lt;5k)</v>
      </c>
      <c r="U1339">
        <v>14862</v>
      </c>
      <c r="V1339">
        <v>4</v>
      </c>
      <c r="W1339" t="s">
        <v>43</v>
      </c>
      <c r="X1339">
        <v>11</v>
      </c>
      <c r="Y1339">
        <v>3</v>
      </c>
      <c r="Z1339">
        <v>3</v>
      </c>
      <c r="AA1339">
        <v>1</v>
      </c>
      <c r="AB1339">
        <v>18</v>
      </c>
      <c r="AC1339">
        <v>2</v>
      </c>
      <c r="AD1339" t="s">
        <v>81</v>
      </c>
      <c r="AE1339">
        <v>7</v>
      </c>
      <c r="AF1339" t="str" cm="1">
        <f t="array" ref="AF1339">_xlfn.IFS(AE1339&gt;=10,"Veteran (10y+)",AE1339&gt;=3,"Established (3-10y)",AE1339&lt;3,"New Hire (&lt;3y)")</f>
        <v>Established (3-10y)</v>
      </c>
      <c r="AG1339">
        <v>7</v>
      </c>
      <c r="AH1339">
        <v>0</v>
      </c>
      <c r="AI1339">
        <v>7</v>
      </c>
    </row>
    <row r="1340" spans="1:35">
      <c r="A1340">
        <v>51</v>
      </c>
      <c r="B1340" t="str">
        <f t="shared" si="20"/>
        <v>Senior</v>
      </c>
      <c r="C1340">
        <v>0</v>
      </c>
      <c r="D1340" t="s">
        <v>36</v>
      </c>
      <c r="E1340">
        <v>1318</v>
      </c>
      <c r="F1340" t="s">
        <v>37</v>
      </c>
      <c r="G1340">
        <v>26</v>
      </c>
      <c r="H1340" t="str" cm="1">
        <f t="array" ref="H1340">_xlfn.IFS(G1340&gt;15,"Long Commute",G1340&gt;5,"Moderate",G1340&lt;=5,"Near Office")</f>
        <v>Long Commute</v>
      </c>
      <c r="I1340" t="s">
        <v>83</v>
      </c>
      <c r="J1340" t="s">
        <v>59</v>
      </c>
      <c r="K1340">
        <v>1</v>
      </c>
      <c r="L1340" t="s">
        <v>39</v>
      </c>
      <c r="M1340">
        <v>66</v>
      </c>
      <c r="N1340">
        <v>3</v>
      </c>
      <c r="O1340">
        <v>4</v>
      </c>
      <c r="P1340" t="s">
        <v>56</v>
      </c>
      <c r="Q1340" t="s">
        <v>73</v>
      </c>
      <c r="R1340" t="s">
        <v>48</v>
      </c>
      <c r="S1340">
        <v>16307</v>
      </c>
      <c r="T1340" t="str" cm="1">
        <f t="array" ref="T1340">_xlfn.IFS(S1340&gt;=10000,"High (&gt;10k)",S1340&gt;=5000,"Medium (5k-10k)",S1340&lt;5000,"Low (&lt;5k)")</f>
        <v>High (&gt;10k)</v>
      </c>
      <c r="U1340">
        <v>5594</v>
      </c>
      <c r="V1340">
        <v>2</v>
      </c>
      <c r="W1340" t="s">
        <v>43</v>
      </c>
      <c r="X1340">
        <v>14</v>
      </c>
      <c r="Y1340">
        <v>3</v>
      </c>
      <c r="Z1340">
        <v>3</v>
      </c>
      <c r="AA1340">
        <v>1</v>
      </c>
      <c r="AB1340">
        <v>29</v>
      </c>
      <c r="AC1340">
        <v>2</v>
      </c>
      <c r="AD1340" t="s">
        <v>81</v>
      </c>
      <c r="AE1340">
        <v>20</v>
      </c>
      <c r="AF1340" t="str" cm="1">
        <f t="array" ref="AF1340">_xlfn.IFS(AE1340&gt;=10,"Veteran (10y+)",AE1340&gt;=3,"Established (3-10y)",AE1340&lt;3,"New Hire (&lt;3y)")</f>
        <v>Veteran (10y+)</v>
      </c>
      <c r="AG1340">
        <v>6</v>
      </c>
      <c r="AH1340">
        <v>4</v>
      </c>
      <c r="AI1340">
        <v>17</v>
      </c>
    </row>
    <row r="1341" spans="1:35">
      <c r="A1341">
        <v>51</v>
      </c>
      <c r="B1341" t="str">
        <f t="shared" si="20"/>
        <v>Senior</v>
      </c>
      <c r="C1341">
        <v>1</v>
      </c>
      <c r="D1341" t="s">
        <v>36</v>
      </c>
      <c r="E1341">
        <v>1323</v>
      </c>
      <c r="F1341" t="s">
        <v>45</v>
      </c>
      <c r="G1341">
        <v>4</v>
      </c>
      <c r="H1341" t="str" cm="1">
        <f t="array" ref="H1341">_xlfn.IFS(G1341&gt;15,"Long Commute",G1341&gt;5,"Moderate",G1341&lt;=5,"Near Office")</f>
        <v>Near Office</v>
      </c>
      <c r="I1341" t="s">
        <v>83</v>
      </c>
      <c r="J1341" t="s">
        <v>38</v>
      </c>
      <c r="K1341">
        <v>1</v>
      </c>
      <c r="L1341" t="s">
        <v>46</v>
      </c>
      <c r="M1341">
        <v>34</v>
      </c>
      <c r="N1341">
        <v>3</v>
      </c>
      <c r="O1341">
        <v>1</v>
      </c>
      <c r="P1341" t="s">
        <v>47</v>
      </c>
      <c r="Q1341" t="s">
        <v>73</v>
      </c>
      <c r="R1341" t="s">
        <v>48</v>
      </c>
      <c r="S1341">
        <v>2461</v>
      </c>
      <c r="T1341" t="str" cm="1">
        <f t="array" ref="T1341">_xlfn.IFS(S1341&gt;=10000,"High (&gt;10k)",S1341&gt;=5000,"Medium (5k-10k)",S1341&lt;5000,"Low (&lt;5k)")</f>
        <v>Low (&lt;5k)</v>
      </c>
      <c r="U1341">
        <v>10332</v>
      </c>
      <c r="V1341">
        <v>9</v>
      </c>
      <c r="W1341" t="s">
        <v>35</v>
      </c>
      <c r="X1341">
        <v>12</v>
      </c>
      <c r="Y1341">
        <v>3</v>
      </c>
      <c r="Z1341">
        <v>3</v>
      </c>
      <c r="AA1341">
        <v>3</v>
      </c>
      <c r="AB1341">
        <v>18</v>
      </c>
      <c r="AC1341">
        <v>2</v>
      </c>
      <c r="AD1341" t="s">
        <v>79</v>
      </c>
      <c r="AE1341">
        <v>10</v>
      </c>
      <c r="AF1341" t="str" cm="1">
        <f t="array" ref="AF1341">_xlfn.IFS(AE1341&gt;=10,"Veteran (10y+)",AE1341&gt;=3,"Established (3-10y)",AE1341&lt;3,"New Hire (&lt;3y)")</f>
        <v>Veteran (10y+)</v>
      </c>
      <c r="AG1341">
        <v>0</v>
      </c>
      <c r="AH1341">
        <v>2</v>
      </c>
      <c r="AI1341">
        <v>7</v>
      </c>
    </row>
    <row r="1342" spans="1:35">
      <c r="A1342">
        <v>51</v>
      </c>
      <c r="B1342" t="str">
        <f t="shared" si="20"/>
        <v>Senior</v>
      </c>
      <c r="C1342">
        <v>0</v>
      </c>
      <c r="D1342" t="s">
        <v>44</v>
      </c>
      <c r="E1342">
        <v>237</v>
      </c>
      <c r="F1342" t="s">
        <v>37</v>
      </c>
      <c r="G1342">
        <v>9</v>
      </c>
      <c r="H1342" t="str" cm="1">
        <f t="array" ref="H1342">_xlfn.IFS(G1342&gt;15,"Long Commute",G1342&gt;5,"Moderate",G1342&lt;=5,"Near Office")</f>
        <v>Moderate</v>
      </c>
      <c r="I1342" t="s">
        <v>72</v>
      </c>
      <c r="J1342" t="s">
        <v>38</v>
      </c>
      <c r="K1342">
        <v>4</v>
      </c>
      <c r="L1342" t="s">
        <v>46</v>
      </c>
      <c r="M1342">
        <v>83</v>
      </c>
      <c r="N1342">
        <v>3</v>
      </c>
      <c r="O1342">
        <v>5</v>
      </c>
      <c r="P1342" t="s">
        <v>56</v>
      </c>
      <c r="Q1342" t="s">
        <v>75</v>
      </c>
      <c r="R1342" t="s">
        <v>52</v>
      </c>
      <c r="S1342">
        <v>19847</v>
      </c>
      <c r="T1342" t="str" cm="1">
        <f t="array" ref="T1342">_xlfn.IFS(S1342&gt;=10000,"High (&gt;10k)",S1342&gt;=5000,"Medium (5k-10k)",S1342&lt;5000,"Low (&lt;5k)")</f>
        <v>High (&gt;10k)</v>
      </c>
      <c r="U1342">
        <v>19196</v>
      </c>
      <c r="V1342">
        <v>4</v>
      </c>
      <c r="W1342" t="s">
        <v>35</v>
      </c>
      <c r="X1342">
        <v>24</v>
      </c>
      <c r="Y1342">
        <v>4</v>
      </c>
      <c r="Z1342">
        <v>1</v>
      </c>
      <c r="AA1342">
        <v>1</v>
      </c>
      <c r="AB1342">
        <v>31</v>
      </c>
      <c r="AC1342">
        <v>5</v>
      </c>
      <c r="AD1342" t="s">
        <v>81</v>
      </c>
      <c r="AE1342">
        <v>29</v>
      </c>
      <c r="AF1342" t="str" cm="1">
        <f t="array" ref="AF1342">_xlfn.IFS(AE1342&gt;=10,"Veteran (10y+)",AE1342&gt;=3,"Established (3-10y)",AE1342&lt;3,"New Hire (&lt;3y)")</f>
        <v>Veteran (10y+)</v>
      </c>
      <c r="AG1342">
        <v>10</v>
      </c>
      <c r="AH1342">
        <v>11</v>
      </c>
      <c r="AI1342">
        <v>10</v>
      </c>
    </row>
    <row r="1343" spans="1:35">
      <c r="A1343">
        <v>51</v>
      </c>
      <c r="B1343" t="str">
        <f t="shared" si="20"/>
        <v>Senior</v>
      </c>
      <c r="C1343">
        <v>0</v>
      </c>
      <c r="D1343" t="s">
        <v>44</v>
      </c>
      <c r="E1343">
        <v>968</v>
      </c>
      <c r="F1343" t="s">
        <v>45</v>
      </c>
      <c r="G1343">
        <v>6</v>
      </c>
      <c r="H1343" t="str" cm="1">
        <f t="array" ref="H1343">_xlfn.IFS(G1343&gt;15,"Long Commute",G1343&gt;5,"Moderate",G1343&lt;=5,"Near Office")</f>
        <v>Moderate</v>
      </c>
      <c r="I1343" t="s">
        <v>76</v>
      </c>
      <c r="J1343" t="s">
        <v>51</v>
      </c>
      <c r="K1343">
        <v>2</v>
      </c>
      <c r="L1343" t="s">
        <v>39</v>
      </c>
      <c r="M1343">
        <v>40</v>
      </c>
      <c r="N1343">
        <v>2</v>
      </c>
      <c r="O1343">
        <v>1</v>
      </c>
      <c r="P1343" t="s">
        <v>50</v>
      </c>
      <c r="Q1343" t="s">
        <v>73</v>
      </c>
      <c r="R1343" t="s">
        <v>41</v>
      </c>
      <c r="S1343">
        <v>2838</v>
      </c>
      <c r="T1343" t="str" cm="1">
        <f t="array" ref="T1343">_xlfn.IFS(S1343&gt;=10000,"High (&gt;10k)",S1343&gt;=5000,"Medium (5k-10k)",S1343&lt;5000,"Low (&lt;5k)")</f>
        <v>Low (&lt;5k)</v>
      </c>
      <c r="U1343">
        <v>4257</v>
      </c>
      <c r="V1343">
        <v>0</v>
      </c>
      <c r="W1343" t="s">
        <v>43</v>
      </c>
      <c r="X1343">
        <v>14</v>
      </c>
      <c r="Y1343">
        <v>3</v>
      </c>
      <c r="Z1343">
        <v>2</v>
      </c>
      <c r="AA1343">
        <v>0</v>
      </c>
      <c r="AB1343">
        <v>8</v>
      </c>
      <c r="AC1343">
        <v>6</v>
      </c>
      <c r="AD1343" t="s">
        <v>81</v>
      </c>
      <c r="AE1343">
        <v>7</v>
      </c>
      <c r="AF1343" t="str" cm="1">
        <f t="array" ref="AF1343">_xlfn.IFS(AE1343&gt;=10,"Veteran (10y+)",AE1343&gt;=3,"Established (3-10y)",AE1343&lt;3,"New Hire (&lt;3y)")</f>
        <v>Established (3-10y)</v>
      </c>
      <c r="AG1343">
        <v>0</v>
      </c>
      <c r="AH1343">
        <v>7</v>
      </c>
      <c r="AI1343">
        <v>7</v>
      </c>
    </row>
    <row r="1344" spans="1:35">
      <c r="A1344">
        <v>51</v>
      </c>
      <c r="B1344" t="str">
        <f t="shared" si="20"/>
        <v>Senior</v>
      </c>
      <c r="C1344">
        <v>0</v>
      </c>
      <c r="D1344" t="s">
        <v>36</v>
      </c>
      <c r="E1344">
        <v>770</v>
      </c>
      <c r="F1344" t="s">
        <v>61</v>
      </c>
      <c r="G1344">
        <v>5</v>
      </c>
      <c r="H1344" t="str" cm="1">
        <f t="array" ref="H1344">_xlfn.IFS(G1344&gt;15,"Long Commute",G1344&gt;5,"Moderate",G1344&lt;=5,"Near Office")</f>
        <v>Near Office</v>
      </c>
      <c r="I1344" t="s">
        <v>72</v>
      </c>
      <c r="J1344" t="s">
        <v>38</v>
      </c>
      <c r="K1344">
        <v>3</v>
      </c>
      <c r="L1344" t="s">
        <v>46</v>
      </c>
      <c r="M1344">
        <v>84</v>
      </c>
      <c r="N1344">
        <v>3</v>
      </c>
      <c r="O1344">
        <v>4</v>
      </c>
      <c r="P1344" t="s">
        <v>56</v>
      </c>
      <c r="Q1344" t="s">
        <v>75</v>
      </c>
      <c r="R1344" t="s">
        <v>52</v>
      </c>
      <c r="S1344">
        <v>14026</v>
      </c>
      <c r="T1344" t="str" cm="1">
        <f t="array" ref="T1344">_xlfn.IFS(S1344&gt;=10000,"High (&gt;10k)",S1344&gt;=5000,"Medium (5k-10k)",S1344&lt;5000,"Low (&lt;5k)")</f>
        <v>High (&gt;10k)</v>
      </c>
      <c r="U1344">
        <v>17588</v>
      </c>
      <c r="V1344">
        <v>1</v>
      </c>
      <c r="W1344" t="s">
        <v>35</v>
      </c>
      <c r="X1344">
        <v>11</v>
      </c>
      <c r="Y1344">
        <v>3</v>
      </c>
      <c r="Z1344">
        <v>2</v>
      </c>
      <c r="AA1344">
        <v>1</v>
      </c>
      <c r="AB1344">
        <v>33</v>
      </c>
      <c r="AC1344">
        <v>2</v>
      </c>
      <c r="AD1344" t="s">
        <v>74</v>
      </c>
      <c r="AE1344">
        <v>33</v>
      </c>
      <c r="AF1344" t="str" cm="1">
        <f t="array" ref="AF1344">_xlfn.IFS(AE1344&gt;=10,"Veteran (10y+)",AE1344&gt;=3,"Established (3-10y)",AE1344&lt;3,"New Hire (&lt;3y)")</f>
        <v>Veteran (10y+)</v>
      </c>
      <c r="AG1344">
        <v>9</v>
      </c>
      <c r="AH1344">
        <v>0</v>
      </c>
      <c r="AI1344">
        <v>10</v>
      </c>
    </row>
    <row r="1345" spans="1:35">
      <c r="A1345">
        <v>51</v>
      </c>
      <c r="B1345" t="str">
        <f t="shared" si="20"/>
        <v>Senior</v>
      </c>
      <c r="C1345">
        <v>0</v>
      </c>
      <c r="D1345" t="s">
        <v>36</v>
      </c>
      <c r="E1345">
        <v>1405</v>
      </c>
      <c r="F1345" t="s">
        <v>45</v>
      </c>
      <c r="G1345">
        <v>11</v>
      </c>
      <c r="H1345" t="str" cm="1">
        <f t="array" ref="H1345">_xlfn.IFS(G1345&gt;15,"Long Commute",G1345&gt;5,"Moderate",G1345&lt;=5,"Near Office")</f>
        <v>Moderate</v>
      </c>
      <c r="I1345" t="s">
        <v>76</v>
      </c>
      <c r="J1345" t="s">
        <v>60</v>
      </c>
      <c r="K1345">
        <v>4</v>
      </c>
      <c r="L1345" t="s">
        <v>39</v>
      </c>
      <c r="M1345">
        <v>82</v>
      </c>
      <c r="N1345">
        <v>2</v>
      </c>
      <c r="O1345">
        <v>4</v>
      </c>
      <c r="P1345" t="s">
        <v>53</v>
      </c>
      <c r="Q1345" t="s">
        <v>75</v>
      </c>
      <c r="R1345" t="s">
        <v>41</v>
      </c>
      <c r="S1345">
        <v>13142</v>
      </c>
      <c r="T1345" t="str" cm="1">
        <f t="array" ref="T1345">_xlfn.IFS(S1345&gt;=10000,"High (&gt;10k)",S1345&gt;=5000,"Medium (5k-10k)",S1345&lt;5000,"Low (&lt;5k)")</f>
        <v>High (&gt;10k)</v>
      </c>
      <c r="U1345">
        <v>24439</v>
      </c>
      <c r="V1345">
        <v>3</v>
      </c>
      <c r="W1345" t="s">
        <v>43</v>
      </c>
      <c r="X1345">
        <v>16</v>
      </c>
      <c r="Y1345">
        <v>3</v>
      </c>
      <c r="Z1345">
        <v>2</v>
      </c>
      <c r="AA1345">
        <v>0</v>
      </c>
      <c r="AB1345">
        <v>29</v>
      </c>
      <c r="AC1345">
        <v>1</v>
      </c>
      <c r="AD1345" t="s">
        <v>81</v>
      </c>
      <c r="AE1345">
        <v>5</v>
      </c>
      <c r="AF1345" t="str" cm="1">
        <f t="array" ref="AF1345">_xlfn.IFS(AE1345&gt;=10,"Veteran (10y+)",AE1345&gt;=3,"Established (3-10y)",AE1345&lt;3,"New Hire (&lt;3y)")</f>
        <v>Established (3-10y)</v>
      </c>
      <c r="AG1345">
        <v>2</v>
      </c>
      <c r="AH1345">
        <v>0</v>
      </c>
      <c r="AI1345">
        <v>3</v>
      </c>
    </row>
    <row r="1346" spans="1:35">
      <c r="A1346">
        <v>51</v>
      </c>
      <c r="B1346" t="str">
        <f t="shared" si="20"/>
        <v>Senior</v>
      </c>
      <c r="C1346">
        <v>0</v>
      </c>
      <c r="D1346" t="s">
        <v>44</v>
      </c>
      <c r="E1346">
        <v>541</v>
      </c>
      <c r="F1346" t="s">
        <v>37</v>
      </c>
      <c r="G1346">
        <v>2</v>
      </c>
      <c r="H1346" t="str" cm="1">
        <f t="array" ref="H1346">_xlfn.IFS(G1346&gt;15,"Long Commute",G1346&gt;5,"Moderate",G1346&lt;=5,"Near Office")</f>
        <v>Near Office</v>
      </c>
      <c r="I1346" t="s">
        <v>72</v>
      </c>
      <c r="J1346" t="s">
        <v>59</v>
      </c>
      <c r="K1346">
        <v>2</v>
      </c>
      <c r="L1346" t="s">
        <v>46</v>
      </c>
      <c r="M1346">
        <v>52</v>
      </c>
      <c r="N1346">
        <v>3</v>
      </c>
      <c r="O1346">
        <v>3</v>
      </c>
      <c r="P1346" t="s">
        <v>40</v>
      </c>
      <c r="Q1346" t="s">
        <v>75</v>
      </c>
      <c r="R1346" t="s">
        <v>48</v>
      </c>
      <c r="S1346">
        <v>10596</v>
      </c>
      <c r="T1346" t="str" cm="1">
        <f t="array" ref="T1346">_xlfn.IFS(S1346&gt;=10000,"High (&gt;10k)",S1346&gt;=5000,"Medium (5k-10k)",S1346&lt;5000,"Low (&lt;5k)")</f>
        <v>High (&gt;10k)</v>
      </c>
      <c r="U1346">
        <v>15395</v>
      </c>
      <c r="V1346">
        <v>2</v>
      </c>
      <c r="W1346" t="s">
        <v>43</v>
      </c>
      <c r="X1346">
        <v>11</v>
      </c>
      <c r="Y1346">
        <v>3</v>
      </c>
      <c r="Z1346">
        <v>2</v>
      </c>
      <c r="AA1346">
        <v>0</v>
      </c>
      <c r="AB1346">
        <v>14</v>
      </c>
      <c r="AC1346">
        <v>5</v>
      </c>
      <c r="AD1346" t="s">
        <v>74</v>
      </c>
      <c r="AE1346">
        <v>4</v>
      </c>
      <c r="AF1346" t="str" cm="1">
        <f t="array" ref="AF1346">_xlfn.IFS(AE1346&gt;=10,"Veteran (10y+)",AE1346&gt;=3,"Established (3-10y)",AE1346&lt;3,"New Hire (&lt;3y)")</f>
        <v>Established (3-10y)</v>
      </c>
      <c r="AG1346">
        <v>2</v>
      </c>
      <c r="AH1346">
        <v>3</v>
      </c>
      <c r="AI1346">
        <v>2</v>
      </c>
    </row>
    <row r="1347" spans="1:35">
      <c r="A1347">
        <v>51</v>
      </c>
      <c r="B1347" t="str">
        <f t="shared" ref="B1347:B1410" si="21">IF(A1347&gt;=46,"Senior",IF(A1347&gt;=30,"Middle Aged","Young Adults"))</f>
        <v>Senior</v>
      </c>
      <c r="C1347">
        <v>0</v>
      </c>
      <c r="D1347" t="s">
        <v>36</v>
      </c>
      <c r="E1347">
        <v>942</v>
      </c>
      <c r="F1347" t="s">
        <v>45</v>
      </c>
      <c r="G1347">
        <v>3</v>
      </c>
      <c r="H1347" t="str" cm="1">
        <f t="array" ref="H1347">_xlfn.IFS(G1347&gt;15,"Long Commute",G1347&gt;5,"Moderate",G1347&lt;=5,"Near Office")</f>
        <v>Near Office</v>
      </c>
      <c r="I1347" t="s">
        <v>72</v>
      </c>
      <c r="J1347" t="s">
        <v>60</v>
      </c>
      <c r="K1347">
        <v>1</v>
      </c>
      <c r="L1347" t="s">
        <v>39</v>
      </c>
      <c r="M1347">
        <v>53</v>
      </c>
      <c r="N1347">
        <v>3</v>
      </c>
      <c r="O1347">
        <v>3</v>
      </c>
      <c r="P1347" t="s">
        <v>56</v>
      </c>
      <c r="Q1347" t="s">
        <v>73</v>
      </c>
      <c r="R1347" t="s">
        <v>48</v>
      </c>
      <c r="S1347">
        <v>13116</v>
      </c>
      <c r="T1347" t="str" cm="1">
        <f t="array" ref="T1347">_xlfn.IFS(S1347&gt;=10000,"High (&gt;10k)",S1347&gt;=5000,"Medium (5k-10k)",S1347&lt;5000,"Low (&lt;5k)")</f>
        <v>High (&gt;10k)</v>
      </c>
      <c r="U1347">
        <v>22984</v>
      </c>
      <c r="V1347">
        <v>2</v>
      </c>
      <c r="W1347" t="s">
        <v>43</v>
      </c>
      <c r="X1347">
        <v>11</v>
      </c>
      <c r="Y1347">
        <v>3</v>
      </c>
      <c r="Z1347">
        <v>4</v>
      </c>
      <c r="AA1347">
        <v>0</v>
      </c>
      <c r="AB1347">
        <v>15</v>
      </c>
      <c r="AC1347">
        <v>2</v>
      </c>
      <c r="AD1347" t="s">
        <v>74</v>
      </c>
      <c r="AE1347">
        <v>2</v>
      </c>
      <c r="AF1347" t="str" cm="1">
        <f t="array" ref="AF1347">_xlfn.IFS(AE1347&gt;=10,"Veteran (10y+)",AE1347&gt;=3,"Established (3-10y)",AE1347&lt;3,"New Hire (&lt;3y)")</f>
        <v>New Hire (&lt;3y)</v>
      </c>
      <c r="AG1347">
        <v>2</v>
      </c>
      <c r="AH1347">
        <v>2</v>
      </c>
      <c r="AI1347">
        <v>2</v>
      </c>
    </row>
    <row r="1348" spans="1:35">
      <c r="A1348">
        <v>52</v>
      </c>
      <c r="B1348" t="str">
        <f t="shared" si="21"/>
        <v>Senior</v>
      </c>
      <c r="C1348">
        <v>0</v>
      </c>
      <c r="D1348" t="s">
        <v>36</v>
      </c>
      <c r="E1348">
        <v>699</v>
      </c>
      <c r="F1348" t="s">
        <v>45</v>
      </c>
      <c r="G1348">
        <v>1</v>
      </c>
      <c r="H1348" t="str" cm="1">
        <f t="array" ref="H1348">_xlfn.IFS(G1348&gt;15,"Long Commute",G1348&gt;5,"Moderate",G1348&lt;=5,"Near Office")</f>
        <v>Near Office</v>
      </c>
      <c r="I1348" t="s">
        <v>83</v>
      </c>
      <c r="J1348" t="s">
        <v>38</v>
      </c>
      <c r="K1348">
        <v>3</v>
      </c>
      <c r="L1348" t="s">
        <v>46</v>
      </c>
      <c r="M1348">
        <v>65</v>
      </c>
      <c r="N1348">
        <v>2</v>
      </c>
      <c r="O1348">
        <v>5</v>
      </c>
      <c r="P1348" t="s">
        <v>56</v>
      </c>
      <c r="Q1348" t="s">
        <v>73</v>
      </c>
      <c r="R1348" t="s">
        <v>48</v>
      </c>
      <c r="S1348">
        <v>19999</v>
      </c>
      <c r="T1348" t="str" cm="1">
        <f t="array" ref="T1348">_xlfn.IFS(S1348&gt;=10000,"High (&gt;10k)",S1348&gt;=5000,"Medium (5k-10k)",S1348&lt;5000,"Low (&lt;5k)")</f>
        <v>High (&gt;10k)</v>
      </c>
      <c r="U1348">
        <v>5678</v>
      </c>
      <c r="V1348">
        <v>0</v>
      </c>
      <c r="W1348" t="s">
        <v>43</v>
      </c>
      <c r="X1348">
        <v>14</v>
      </c>
      <c r="Y1348">
        <v>3</v>
      </c>
      <c r="Z1348">
        <v>1</v>
      </c>
      <c r="AA1348">
        <v>1</v>
      </c>
      <c r="AB1348">
        <v>34</v>
      </c>
      <c r="AC1348">
        <v>5</v>
      </c>
      <c r="AD1348" t="s">
        <v>74</v>
      </c>
      <c r="AE1348">
        <v>33</v>
      </c>
      <c r="AF1348" t="str" cm="1">
        <f t="array" ref="AF1348">_xlfn.IFS(AE1348&gt;=10,"Veteran (10y+)",AE1348&gt;=3,"Established (3-10y)",AE1348&lt;3,"New Hire (&lt;3y)")</f>
        <v>Veteran (10y+)</v>
      </c>
      <c r="AG1348">
        <v>18</v>
      </c>
      <c r="AH1348">
        <v>11</v>
      </c>
      <c r="AI1348">
        <v>9</v>
      </c>
    </row>
    <row r="1349" spans="1:35">
      <c r="A1349">
        <v>52</v>
      </c>
      <c r="B1349" t="str">
        <f t="shared" si="21"/>
        <v>Senior</v>
      </c>
      <c r="C1349">
        <v>0</v>
      </c>
      <c r="D1349" t="s">
        <v>36</v>
      </c>
      <c r="E1349">
        <v>1323</v>
      </c>
      <c r="F1349" t="s">
        <v>45</v>
      </c>
      <c r="G1349">
        <v>2</v>
      </c>
      <c r="H1349" t="str" cm="1">
        <f t="array" ref="H1349">_xlfn.IFS(G1349&gt;15,"Long Commute",G1349&gt;5,"Moderate",G1349&lt;=5,"Near Office")</f>
        <v>Near Office</v>
      </c>
      <c r="I1349" t="s">
        <v>72</v>
      </c>
      <c r="J1349" t="s">
        <v>38</v>
      </c>
      <c r="K1349">
        <v>3</v>
      </c>
      <c r="L1349" t="s">
        <v>39</v>
      </c>
      <c r="M1349">
        <v>89</v>
      </c>
      <c r="N1349">
        <v>2</v>
      </c>
      <c r="O1349">
        <v>1</v>
      </c>
      <c r="P1349" t="s">
        <v>50</v>
      </c>
      <c r="Q1349" t="s">
        <v>77</v>
      </c>
      <c r="R1349" t="s">
        <v>41</v>
      </c>
      <c r="S1349">
        <v>3212</v>
      </c>
      <c r="T1349" t="str" cm="1">
        <f t="array" ref="T1349">_xlfn.IFS(S1349&gt;=10000,"High (&gt;10k)",S1349&gt;=5000,"Medium (5k-10k)",S1349&lt;5000,"Low (&lt;5k)")</f>
        <v>Low (&lt;5k)</v>
      </c>
      <c r="U1349">
        <v>3300</v>
      </c>
      <c r="V1349">
        <v>7</v>
      </c>
      <c r="W1349" t="s">
        <v>43</v>
      </c>
      <c r="X1349">
        <v>15</v>
      </c>
      <c r="Y1349">
        <v>3</v>
      </c>
      <c r="Z1349">
        <v>2</v>
      </c>
      <c r="AA1349">
        <v>0</v>
      </c>
      <c r="AB1349">
        <v>6</v>
      </c>
      <c r="AC1349">
        <v>3</v>
      </c>
      <c r="AD1349" t="s">
        <v>81</v>
      </c>
      <c r="AE1349">
        <v>2</v>
      </c>
      <c r="AF1349" t="str" cm="1">
        <f t="array" ref="AF1349">_xlfn.IFS(AE1349&gt;=10,"Veteran (10y+)",AE1349&gt;=3,"Established (3-10y)",AE1349&lt;3,"New Hire (&lt;3y)")</f>
        <v>New Hire (&lt;3y)</v>
      </c>
      <c r="AG1349">
        <v>2</v>
      </c>
      <c r="AH1349">
        <v>2</v>
      </c>
      <c r="AI1349">
        <v>2</v>
      </c>
    </row>
    <row r="1350" spans="1:35">
      <c r="A1350">
        <v>52</v>
      </c>
      <c r="B1350" t="str">
        <f t="shared" si="21"/>
        <v>Senior</v>
      </c>
      <c r="C1350">
        <v>0</v>
      </c>
      <c r="D1350" t="s">
        <v>55</v>
      </c>
      <c r="E1350">
        <v>771</v>
      </c>
      <c r="F1350" t="s">
        <v>37</v>
      </c>
      <c r="G1350">
        <v>2</v>
      </c>
      <c r="H1350" t="str" cm="1">
        <f t="array" ref="H1350">_xlfn.IFS(G1350&gt;15,"Long Commute",G1350&gt;5,"Moderate",G1350&lt;=5,"Near Office")</f>
        <v>Near Office</v>
      </c>
      <c r="I1350" t="s">
        <v>83</v>
      </c>
      <c r="J1350" t="s">
        <v>38</v>
      </c>
      <c r="K1350">
        <v>1</v>
      </c>
      <c r="L1350" t="s">
        <v>46</v>
      </c>
      <c r="M1350">
        <v>79</v>
      </c>
      <c r="N1350">
        <v>2</v>
      </c>
      <c r="O1350">
        <v>5</v>
      </c>
      <c r="P1350" t="s">
        <v>56</v>
      </c>
      <c r="Q1350" t="s">
        <v>73</v>
      </c>
      <c r="R1350" t="s">
        <v>41</v>
      </c>
      <c r="S1350">
        <v>19068</v>
      </c>
      <c r="T1350" t="str" cm="1">
        <f t="array" ref="T1350">_xlfn.IFS(S1350&gt;=10000,"High (&gt;10k)",S1350&gt;=5000,"Medium (5k-10k)",S1350&lt;5000,"Low (&lt;5k)")</f>
        <v>High (&gt;10k)</v>
      </c>
      <c r="U1350">
        <v>21030</v>
      </c>
      <c r="V1350">
        <v>1</v>
      </c>
      <c r="W1350" t="s">
        <v>35</v>
      </c>
      <c r="X1350">
        <v>18</v>
      </c>
      <c r="Y1350">
        <v>3</v>
      </c>
      <c r="Z1350">
        <v>4</v>
      </c>
      <c r="AA1350">
        <v>0</v>
      </c>
      <c r="AB1350">
        <v>33</v>
      </c>
      <c r="AC1350">
        <v>2</v>
      </c>
      <c r="AD1350" t="s">
        <v>79</v>
      </c>
      <c r="AE1350">
        <v>33</v>
      </c>
      <c r="AF1350" t="str" cm="1">
        <f t="array" ref="AF1350">_xlfn.IFS(AE1350&gt;=10,"Veteran (10y+)",AE1350&gt;=3,"Established (3-10y)",AE1350&lt;3,"New Hire (&lt;3y)")</f>
        <v>Veteran (10y+)</v>
      </c>
      <c r="AG1350">
        <v>7</v>
      </c>
      <c r="AH1350">
        <v>15</v>
      </c>
      <c r="AI1350">
        <v>12</v>
      </c>
    </row>
    <row r="1351" spans="1:35">
      <c r="A1351">
        <v>52</v>
      </c>
      <c r="B1351" t="str">
        <f t="shared" si="21"/>
        <v>Senior</v>
      </c>
      <c r="C1351">
        <v>1</v>
      </c>
      <c r="D1351" t="s">
        <v>36</v>
      </c>
      <c r="E1351">
        <v>723</v>
      </c>
      <c r="F1351" t="s">
        <v>45</v>
      </c>
      <c r="G1351">
        <v>8</v>
      </c>
      <c r="H1351" t="str" cm="1">
        <f t="array" ref="H1351">_xlfn.IFS(G1351&gt;15,"Long Commute",G1351&gt;5,"Moderate",G1351&lt;=5,"Near Office")</f>
        <v>Moderate</v>
      </c>
      <c r="I1351" t="s">
        <v>83</v>
      </c>
      <c r="J1351" t="s">
        <v>51</v>
      </c>
      <c r="K1351">
        <v>3</v>
      </c>
      <c r="L1351" t="s">
        <v>46</v>
      </c>
      <c r="M1351">
        <v>85</v>
      </c>
      <c r="N1351">
        <v>2</v>
      </c>
      <c r="O1351">
        <v>2</v>
      </c>
      <c r="P1351" t="s">
        <v>47</v>
      </c>
      <c r="Q1351" t="s">
        <v>75</v>
      </c>
      <c r="R1351" t="s">
        <v>48</v>
      </c>
      <c r="S1351">
        <v>4941</v>
      </c>
      <c r="T1351" t="str" cm="1">
        <f t="array" ref="T1351">_xlfn.IFS(S1351&gt;=10000,"High (&gt;10k)",S1351&gt;=5000,"Medium (5k-10k)",S1351&lt;5000,"Low (&lt;5k)")</f>
        <v>Low (&lt;5k)</v>
      </c>
      <c r="U1351">
        <v>17747</v>
      </c>
      <c r="V1351">
        <v>2</v>
      </c>
      <c r="W1351" t="s">
        <v>43</v>
      </c>
      <c r="X1351">
        <v>15</v>
      </c>
      <c r="Y1351">
        <v>3</v>
      </c>
      <c r="Z1351">
        <v>1</v>
      </c>
      <c r="AA1351">
        <v>0</v>
      </c>
      <c r="AB1351">
        <v>11</v>
      </c>
      <c r="AC1351">
        <v>3</v>
      </c>
      <c r="AD1351" t="s">
        <v>81</v>
      </c>
      <c r="AE1351">
        <v>8</v>
      </c>
      <c r="AF1351" t="str" cm="1">
        <f t="array" ref="AF1351">_xlfn.IFS(AE1351&gt;=10,"Veteran (10y+)",AE1351&gt;=3,"Established (3-10y)",AE1351&lt;3,"New Hire (&lt;3y)")</f>
        <v>Established (3-10y)</v>
      </c>
      <c r="AG1351">
        <v>2</v>
      </c>
      <c r="AH1351">
        <v>7</v>
      </c>
      <c r="AI1351">
        <v>7</v>
      </c>
    </row>
    <row r="1352" spans="1:35">
      <c r="A1352">
        <v>52</v>
      </c>
      <c r="B1352" t="str">
        <f t="shared" si="21"/>
        <v>Senior</v>
      </c>
      <c r="C1352">
        <v>0</v>
      </c>
      <c r="D1352" t="s">
        <v>36</v>
      </c>
      <c r="E1352">
        <v>319</v>
      </c>
      <c r="F1352" t="s">
        <v>45</v>
      </c>
      <c r="G1352">
        <v>3</v>
      </c>
      <c r="H1352" t="str" cm="1">
        <f t="array" ref="H1352">_xlfn.IFS(G1352&gt;15,"Long Commute",G1352&gt;5,"Moderate",G1352&lt;=5,"Near Office")</f>
        <v>Near Office</v>
      </c>
      <c r="I1352" t="s">
        <v>72</v>
      </c>
      <c r="J1352" t="s">
        <v>51</v>
      </c>
      <c r="K1352">
        <v>4</v>
      </c>
      <c r="L1352" t="s">
        <v>46</v>
      </c>
      <c r="M1352">
        <v>39</v>
      </c>
      <c r="N1352">
        <v>2</v>
      </c>
      <c r="O1352">
        <v>3</v>
      </c>
      <c r="P1352" t="s">
        <v>53</v>
      </c>
      <c r="Q1352" t="s">
        <v>73</v>
      </c>
      <c r="R1352" t="s">
        <v>48</v>
      </c>
      <c r="S1352">
        <v>7969</v>
      </c>
      <c r="T1352" t="str" cm="1">
        <f t="array" ref="T1352">_xlfn.IFS(S1352&gt;=10000,"High (&gt;10k)",S1352&gt;=5000,"Medium (5k-10k)",S1352&lt;5000,"Low (&lt;5k)")</f>
        <v>Medium (5k-10k)</v>
      </c>
      <c r="U1352">
        <v>19609</v>
      </c>
      <c r="V1352">
        <v>2</v>
      </c>
      <c r="W1352" t="s">
        <v>35</v>
      </c>
      <c r="X1352">
        <v>14</v>
      </c>
      <c r="Y1352">
        <v>3</v>
      </c>
      <c r="Z1352">
        <v>3</v>
      </c>
      <c r="AA1352">
        <v>0</v>
      </c>
      <c r="AB1352">
        <v>28</v>
      </c>
      <c r="AC1352">
        <v>4</v>
      </c>
      <c r="AD1352" t="s">
        <v>74</v>
      </c>
      <c r="AE1352">
        <v>5</v>
      </c>
      <c r="AF1352" t="str" cm="1">
        <f t="array" ref="AF1352">_xlfn.IFS(AE1352&gt;=10,"Veteran (10y+)",AE1352&gt;=3,"Established (3-10y)",AE1352&lt;3,"New Hire (&lt;3y)")</f>
        <v>Established (3-10y)</v>
      </c>
      <c r="AG1352">
        <v>4</v>
      </c>
      <c r="AH1352">
        <v>0</v>
      </c>
      <c r="AI1352">
        <v>4</v>
      </c>
    </row>
    <row r="1353" spans="1:35">
      <c r="A1353">
        <v>52</v>
      </c>
      <c r="B1353" t="str">
        <f t="shared" si="21"/>
        <v>Senior</v>
      </c>
      <c r="C1353">
        <v>0</v>
      </c>
      <c r="D1353" t="s">
        <v>36</v>
      </c>
      <c r="E1353">
        <v>1490</v>
      </c>
      <c r="F1353" t="s">
        <v>45</v>
      </c>
      <c r="G1353">
        <v>4</v>
      </c>
      <c r="H1353" t="str" cm="1">
        <f t="array" ref="H1353">_xlfn.IFS(G1353&gt;15,"Long Commute",G1353&gt;5,"Moderate",G1353&lt;=5,"Near Office")</f>
        <v>Near Office</v>
      </c>
      <c r="I1353" t="s">
        <v>76</v>
      </c>
      <c r="J1353" t="s">
        <v>38</v>
      </c>
      <c r="K1353">
        <v>4</v>
      </c>
      <c r="L1353" t="s">
        <v>39</v>
      </c>
      <c r="M1353">
        <v>30</v>
      </c>
      <c r="N1353">
        <v>3</v>
      </c>
      <c r="O1353">
        <v>4</v>
      </c>
      <c r="P1353" t="s">
        <v>56</v>
      </c>
      <c r="Q1353" t="s">
        <v>77</v>
      </c>
      <c r="R1353" t="s">
        <v>48</v>
      </c>
      <c r="S1353">
        <v>16555</v>
      </c>
      <c r="T1353" t="str" cm="1">
        <f t="array" ref="T1353">_xlfn.IFS(S1353&gt;=10000,"High (&gt;10k)",S1353&gt;=5000,"Medium (5k-10k)",S1353&lt;5000,"Low (&lt;5k)")</f>
        <v>High (&gt;10k)</v>
      </c>
      <c r="U1353">
        <v>10310</v>
      </c>
      <c r="V1353">
        <v>2</v>
      </c>
      <c r="W1353" t="s">
        <v>43</v>
      </c>
      <c r="X1353">
        <v>13</v>
      </c>
      <c r="Y1353">
        <v>3</v>
      </c>
      <c r="Z1353">
        <v>4</v>
      </c>
      <c r="AA1353">
        <v>0</v>
      </c>
      <c r="AB1353">
        <v>31</v>
      </c>
      <c r="AC1353">
        <v>2</v>
      </c>
      <c r="AD1353" t="s">
        <v>80</v>
      </c>
      <c r="AE1353">
        <v>5</v>
      </c>
      <c r="AF1353" t="str" cm="1">
        <f t="array" ref="AF1353">_xlfn.IFS(AE1353&gt;=10,"Veteran (10y+)",AE1353&gt;=3,"Established (3-10y)",AE1353&lt;3,"New Hire (&lt;3y)")</f>
        <v>Established (3-10y)</v>
      </c>
      <c r="AG1353">
        <v>2</v>
      </c>
      <c r="AH1353">
        <v>1</v>
      </c>
      <c r="AI1353">
        <v>4</v>
      </c>
    </row>
    <row r="1354" spans="1:35">
      <c r="A1354">
        <v>52</v>
      </c>
      <c r="B1354" t="str">
        <f t="shared" si="21"/>
        <v>Senior</v>
      </c>
      <c r="C1354">
        <v>0</v>
      </c>
      <c r="D1354" t="s">
        <v>36</v>
      </c>
      <c r="E1354">
        <v>956</v>
      </c>
      <c r="F1354" t="s">
        <v>45</v>
      </c>
      <c r="G1354">
        <v>6</v>
      </c>
      <c r="H1354" t="str" cm="1">
        <f t="array" ref="H1354">_xlfn.IFS(G1354&gt;15,"Long Commute",G1354&gt;5,"Moderate",G1354&lt;=5,"Near Office")</f>
        <v>Moderate</v>
      </c>
      <c r="I1354" t="s">
        <v>76</v>
      </c>
      <c r="J1354" t="s">
        <v>60</v>
      </c>
      <c r="K1354">
        <v>4</v>
      </c>
      <c r="L1354" t="s">
        <v>46</v>
      </c>
      <c r="M1354">
        <v>78</v>
      </c>
      <c r="N1354">
        <v>3</v>
      </c>
      <c r="O1354">
        <v>2</v>
      </c>
      <c r="P1354" t="s">
        <v>47</v>
      </c>
      <c r="Q1354" t="s">
        <v>82</v>
      </c>
      <c r="R1354" t="s">
        <v>52</v>
      </c>
      <c r="S1354">
        <v>5577</v>
      </c>
      <c r="T1354" t="str" cm="1">
        <f t="array" ref="T1354">_xlfn.IFS(S1354&gt;=10000,"High (&gt;10k)",S1354&gt;=5000,"Medium (5k-10k)",S1354&lt;5000,"Low (&lt;5k)")</f>
        <v>Medium (5k-10k)</v>
      </c>
      <c r="U1354">
        <v>22087</v>
      </c>
      <c r="V1354">
        <v>3</v>
      </c>
      <c r="W1354" t="s">
        <v>35</v>
      </c>
      <c r="X1354">
        <v>12</v>
      </c>
      <c r="Y1354">
        <v>3</v>
      </c>
      <c r="Z1354">
        <v>2</v>
      </c>
      <c r="AA1354">
        <v>2</v>
      </c>
      <c r="AB1354">
        <v>18</v>
      </c>
      <c r="AC1354">
        <v>3</v>
      </c>
      <c r="AD1354" t="s">
        <v>74</v>
      </c>
      <c r="AE1354">
        <v>10</v>
      </c>
      <c r="AF1354" t="str" cm="1">
        <f t="array" ref="AF1354">_xlfn.IFS(AE1354&gt;=10,"Veteran (10y+)",AE1354&gt;=3,"Established (3-10y)",AE1354&lt;3,"New Hire (&lt;3y)")</f>
        <v>Veteran (10y+)</v>
      </c>
      <c r="AG1354">
        <v>9</v>
      </c>
      <c r="AH1354">
        <v>6</v>
      </c>
      <c r="AI1354">
        <v>9</v>
      </c>
    </row>
    <row r="1355" spans="1:35">
      <c r="A1355">
        <v>52</v>
      </c>
      <c r="B1355" t="str">
        <f t="shared" si="21"/>
        <v>Senior</v>
      </c>
      <c r="C1355">
        <v>0</v>
      </c>
      <c r="D1355" t="s">
        <v>36</v>
      </c>
      <c r="E1355">
        <v>621</v>
      </c>
      <c r="F1355" t="s">
        <v>37</v>
      </c>
      <c r="G1355">
        <v>3</v>
      </c>
      <c r="H1355" t="str" cm="1">
        <f t="array" ref="H1355">_xlfn.IFS(G1355&gt;15,"Long Commute",G1355&gt;5,"Moderate",G1355&lt;=5,"Near Office")</f>
        <v>Near Office</v>
      </c>
      <c r="I1355" t="s">
        <v>83</v>
      </c>
      <c r="J1355" t="s">
        <v>59</v>
      </c>
      <c r="K1355">
        <v>3</v>
      </c>
      <c r="L1355" t="s">
        <v>46</v>
      </c>
      <c r="M1355">
        <v>31</v>
      </c>
      <c r="N1355">
        <v>2</v>
      </c>
      <c r="O1355">
        <v>4</v>
      </c>
      <c r="P1355" t="s">
        <v>56</v>
      </c>
      <c r="Q1355" t="s">
        <v>82</v>
      </c>
      <c r="R1355" t="s">
        <v>48</v>
      </c>
      <c r="S1355">
        <v>16856</v>
      </c>
      <c r="T1355" t="str" cm="1">
        <f t="array" ref="T1355">_xlfn.IFS(S1355&gt;=10000,"High (&gt;10k)",S1355&gt;=5000,"Medium (5k-10k)",S1355&lt;5000,"Low (&lt;5k)")</f>
        <v>High (&gt;10k)</v>
      </c>
      <c r="U1355">
        <v>10084</v>
      </c>
      <c r="V1355">
        <v>1</v>
      </c>
      <c r="W1355" t="s">
        <v>43</v>
      </c>
      <c r="X1355">
        <v>11</v>
      </c>
      <c r="Y1355">
        <v>3</v>
      </c>
      <c r="Z1355">
        <v>1</v>
      </c>
      <c r="AA1355">
        <v>0</v>
      </c>
      <c r="AB1355">
        <v>34</v>
      </c>
      <c r="AC1355">
        <v>3</v>
      </c>
      <c r="AD1355" t="s">
        <v>79</v>
      </c>
      <c r="AE1355">
        <v>34</v>
      </c>
      <c r="AF1355" t="str" cm="1">
        <f t="array" ref="AF1355">_xlfn.IFS(AE1355&gt;=10,"Veteran (10y+)",AE1355&gt;=3,"Established (3-10y)",AE1355&lt;3,"New Hire (&lt;3y)")</f>
        <v>Veteran (10y+)</v>
      </c>
      <c r="AG1355">
        <v>6</v>
      </c>
      <c r="AH1355">
        <v>1</v>
      </c>
      <c r="AI1355">
        <v>16</v>
      </c>
    </row>
    <row r="1356" spans="1:35">
      <c r="A1356">
        <v>52</v>
      </c>
      <c r="B1356" t="str">
        <f t="shared" si="21"/>
        <v>Senior</v>
      </c>
      <c r="C1356">
        <v>0</v>
      </c>
      <c r="D1356" t="s">
        <v>55</v>
      </c>
      <c r="E1356">
        <v>715</v>
      </c>
      <c r="F1356" t="s">
        <v>45</v>
      </c>
      <c r="G1356">
        <v>19</v>
      </c>
      <c r="H1356" t="str" cm="1">
        <f t="array" ref="H1356">_xlfn.IFS(G1356&gt;15,"Long Commute",G1356&gt;5,"Moderate",G1356&lt;=5,"Near Office")</f>
        <v>Long Commute</v>
      </c>
      <c r="I1356" t="s">
        <v>83</v>
      </c>
      <c r="J1356" t="s">
        <v>51</v>
      </c>
      <c r="K1356">
        <v>4</v>
      </c>
      <c r="L1356" t="s">
        <v>46</v>
      </c>
      <c r="M1356">
        <v>41</v>
      </c>
      <c r="N1356">
        <v>3</v>
      </c>
      <c r="O1356">
        <v>1</v>
      </c>
      <c r="P1356" t="s">
        <v>47</v>
      </c>
      <c r="Q1356" t="s">
        <v>77</v>
      </c>
      <c r="R1356" t="s">
        <v>48</v>
      </c>
      <c r="S1356">
        <v>4258</v>
      </c>
      <c r="T1356" t="str" cm="1">
        <f t="array" ref="T1356">_xlfn.IFS(S1356&gt;=10000,"High (&gt;10k)",S1356&gt;=5000,"Medium (5k-10k)",S1356&lt;5000,"Low (&lt;5k)")</f>
        <v>Low (&lt;5k)</v>
      </c>
      <c r="U1356">
        <v>26589</v>
      </c>
      <c r="V1356">
        <v>0</v>
      </c>
      <c r="W1356" t="s">
        <v>43</v>
      </c>
      <c r="X1356">
        <v>18</v>
      </c>
      <c r="Y1356">
        <v>3</v>
      </c>
      <c r="Z1356">
        <v>1</v>
      </c>
      <c r="AA1356">
        <v>1</v>
      </c>
      <c r="AB1356">
        <v>5</v>
      </c>
      <c r="AC1356">
        <v>3</v>
      </c>
      <c r="AD1356" t="s">
        <v>74</v>
      </c>
      <c r="AE1356">
        <v>4</v>
      </c>
      <c r="AF1356" t="str" cm="1">
        <f t="array" ref="AF1356">_xlfn.IFS(AE1356&gt;=10,"Veteran (10y+)",AE1356&gt;=3,"Established (3-10y)",AE1356&lt;3,"New Hire (&lt;3y)")</f>
        <v>Established (3-10y)</v>
      </c>
      <c r="AG1356">
        <v>3</v>
      </c>
      <c r="AH1356">
        <v>1</v>
      </c>
      <c r="AI1356">
        <v>2</v>
      </c>
    </row>
    <row r="1357" spans="1:35">
      <c r="A1357">
        <v>52</v>
      </c>
      <c r="B1357" t="str">
        <f t="shared" si="21"/>
        <v>Senior</v>
      </c>
      <c r="C1357">
        <v>0</v>
      </c>
      <c r="D1357" t="s">
        <v>36</v>
      </c>
      <c r="E1357">
        <v>1325</v>
      </c>
      <c r="F1357" t="s">
        <v>45</v>
      </c>
      <c r="G1357">
        <v>11</v>
      </c>
      <c r="H1357" t="str" cm="1">
        <f t="array" ref="H1357">_xlfn.IFS(G1357&gt;15,"Long Commute",G1357&gt;5,"Moderate",G1357&lt;=5,"Near Office")</f>
        <v>Moderate</v>
      </c>
      <c r="I1357" t="s">
        <v>83</v>
      </c>
      <c r="J1357" t="s">
        <v>38</v>
      </c>
      <c r="K1357">
        <v>4</v>
      </c>
      <c r="L1357" t="s">
        <v>39</v>
      </c>
      <c r="M1357">
        <v>82</v>
      </c>
      <c r="N1357">
        <v>3</v>
      </c>
      <c r="O1357">
        <v>2</v>
      </c>
      <c r="P1357" t="s">
        <v>50</v>
      </c>
      <c r="Q1357" t="s">
        <v>73</v>
      </c>
      <c r="R1357" t="s">
        <v>48</v>
      </c>
      <c r="S1357">
        <v>3149</v>
      </c>
      <c r="T1357" t="str" cm="1">
        <f t="array" ref="T1357">_xlfn.IFS(S1357&gt;=10000,"High (&gt;10k)",S1357&gt;=5000,"Medium (5k-10k)",S1357&lt;5000,"Low (&lt;5k)")</f>
        <v>Low (&lt;5k)</v>
      </c>
      <c r="U1357">
        <v>21821</v>
      </c>
      <c r="V1357">
        <v>8</v>
      </c>
      <c r="W1357" t="s">
        <v>43</v>
      </c>
      <c r="X1357">
        <v>20</v>
      </c>
      <c r="Y1357">
        <v>4</v>
      </c>
      <c r="Z1357">
        <v>2</v>
      </c>
      <c r="AA1357">
        <v>1</v>
      </c>
      <c r="AB1357">
        <v>9</v>
      </c>
      <c r="AC1357">
        <v>3</v>
      </c>
      <c r="AD1357" t="s">
        <v>74</v>
      </c>
      <c r="AE1357">
        <v>5</v>
      </c>
      <c r="AF1357" t="str" cm="1">
        <f t="array" ref="AF1357">_xlfn.IFS(AE1357&gt;=10,"Veteran (10y+)",AE1357&gt;=3,"Established (3-10y)",AE1357&lt;3,"New Hire (&lt;3y)")</f>
        <v>Established (3-10y)</v>
      </c>
      <c r="AG1357">
        <v>2</v>
      </c>
      <c r="AH1357">
        <v>1</v>
      </c>
      <c r="AI1357">
        <v>4</v>
      </c>
    </row>
    <row r="1358" spans="1:35">
      <c r="A1358">
        <v>52</v>
      </c>
      <c r="B1358" t="str">
        <f t="shared" si="21"/>
        <v>Senior</v>
      </c>
      <c r="C1358">
        <v>0</v>
      </c>
      <c r="D1358" t="s">
        <v>44</v>
      </c>
      <c r="E1358">
        <v>890</v>
      </c>
      <c r="F1358" t="s">
        <v>45</v>
      </c>
      <c r="G1358">
        <v>25</v>
      </c>
      <c r="H1358" t="str" cm="1">
        <f t="array" ref="H1358">_xlfn.IFS(G1358&gt;15,"Long Commute",G1358&gt;5,"Moderate",G1358&lt;=5,"Near Office")</f>
        <v>Long Commute</v>
      </c>
      <c r="I1358" t="s">
        <v>83</v>
      </c>
      <c r="J1358" t="s">
        <v>51</v>
      </c>
      <c r="K1358">
        <v>3</v>
      </c>
      <c r="L1358" t="s">
        <v>39</v>
      </c>
      <c r="M1358">
        <v>81</v>
      </c>
      <c r="N1358">
        <v>2</v>
      </c>
      <c r="O1358">
        <v>4</v>
      </c>
      <c r="P1358" t="s">
        <v>53</v>
      </c>
      <c r="Q1358" t="s">
        <v>77</v>
      </c>
      <c r="R1358" t="s">
        <v>48</v>
      </c>
      <c r="S1358">
        <v>13826</v>
      </c>
      <c r="T1358" t="str" cm="1">
        <f t="array" ref="T1358">_xlfn.IFS(S1358&gt;=10000,"High (&gt;10k)",S1358&gt;=5000,"Medium (5k-10k)",S1358&lt;5000,"Low (&lt;5k)")</f>
        <v>High (&gt;10k)</v>
      </c>
      <c r="U1358">
        <v>19028</v>
      </c>
      <c r="V1358">
        <v>3</v>
      </c>
      <c r="W1358" t="s">
        <v>43</v>
      </c>
      <c r="X1358">
        <v>22</v>
      </c>
      <c r="Y1358">
        <v>4</v>
      </c>
      <c r="Z1358">
        <v>3</v>
      </c>
      <c r="AA1358">
        <v>0</v>
      </c>
      <c r="AB1358">
        <v>31</v>
      </c>
      <c r="AC1358">
        <v>3</v>
      </c>
      <c r="AD1358" t="s">
        <v>74</v>
      </c>
      <c r="AE1358">
        <v>9</v>
      </c>
      <c r="AF1358" t="str" cm="1">
        <f t="array" ref="AF1358">_xlfn.IFS(AE1358&gt;=10,"Veteran (10y+)",AE1358&gt;=3,"Established (3-10y)",AE1358&lt;3,"New Hire (&lt;3y)")</f>
        <v>Established (3-10y)</v>
      </c>
      <c r="AG1358">
        <v>8</v>
      </c>
      <c r="AH1358">
        <v>0</v>
      </c>
      <c r="AI1358">
        <v>0</v>
      </c>
    </row>
    <row r="1359" spans="1:35">
      <c r="A1359">
        <v>52</v>
      </c>
      <c r="B1359" t="str">
        <f t="shared" si="21"/>
        <v>Senior</v>
      </c>
      <c r="C1359">
        <v>0</v>
      </c>
      <c r="D1359" t="s">
        <v>36</v>
      </c>
      <c r="E1359">
        <v>1053</v>
      </c>
      <c r="F1359" t="s">
        <v>45</v>
      </c>
      <c r="G1359">
        <v>1</v>
      </c>
      <c r="H1359" t="str" cm="1">
        <f t="array" ref="H1359">_xlfn.IFS(G1359&gt;15,"Long Commute",G1359&gt;5,"Moderate",G1359&lt;=5,"Near Office")</f>
        <v>Near Office</v>
      </c>
      <c r="I1359" t="s">
        <v>76</v>
      </c>
      <c r="J1359" t="s">
        <v>38</v>
      </c>
      <c r="K1359">
        <v>4</v>
      </c>
      <c r="L1359" t="s">
        <v>46</v>
      </c>
      <c r="M1359">
        <v>70</v>
      </c>
      <c r="N1359">
        <v>3</v>
      </c>
      <c r="O1359">
        <v>4</v>
      </c>
      <c r="P1359" t="s">
        <v>56</v>
      </c>
      <c r="Q1359" t="s">
        <v>77</v>
      </c>
      <c r="R1359" t="s">
        <v>48</v>
      </c>
      <c r="S1359">
        <v>17099</v>
      </c>
      <c r="T1359" t="str" cm="1">
        <f t="array" ref="T1359">_xlfn.IFS(S1359&gt;=10000,"High (&gt;10k)",S1359&gt;=5000,"Medium (5k-10k)",S1359&lt;5000,"Low (&lt;5k)")</f>
        <v>High (&gt;10k)</v>
      </c>
      <c r="U1359">
        <v>13829</v>
      </c>
      <c r="V1359">
        <v>2</v>
      </c>
      <c r="W1359" t="s">
        <v>43</v>
      </c>
      <c r="X1359">
        <v>15</v>
      </c>
      <c r="Y1359">
        <v>3</v>
      </c>
      <c r="Z1359">
        <v>2</v>
      </c>
      <c r="AA1359">
        <v>1</v>
      </c>
      <c r="AB1359">
        <v>26</v>
      </c>
      <c r="AC1359">
        <v>2</v>
      </c>
      <c r="AD1359" t="s">
        <v>81</v>
      </c>
      <c r="AE1359">
        <v>9</v>
      </c>
      <c r="AF1359" t="str" cm="1">
        <f t="array" ref="AF1359">_xlfn.IFS(AE1359&gt;=10,"Veteran (10y+)",AE1359&gt;=3,"Established (3-10y)",AE1359&lt;3,"New Hire (&lt;3y)")</f>
        <v>Established (3-10y)</v>
      </c>
      <c r="AG1359">
        <v>8</v>
      </c>
      <c r="AH1359">
        <v>7</v>
      </c>
      <c r="AI1359">
        <v>8</v>
      </c>
    </row>
    <row r="1360" spans="1:35">
      <c r="A1360">
        <v>52</v>
      </c>
      <c r="B1360" t="str">
        <f t="shared" si="21"/>
        <v>Senior</v>
      </c>
      <c r="C1360">
        <v>1</v>
      </c>
      <c r="D1360" t="s">
        <v>36</v>
      </c>
      <c r="E1360">
        <v>266</v>
      </c>
      <c r="F1360" t="s">
        <v>37</v>
      </c>
      <c r="G1360">
        <v>2</v>
      </c>
      <c r="H1360" t="str" cm="1">
        <f t="array" ref="H1360">_xlfn.IFS(G1360&gt;15,"Long Commute",G1360&gt;5,"Moderate",G1360&lt;=5,"Near Office")</f>
        <v>Near Office</v>
      </c>
      <c r="I1360" t="s">
        <v>78</v>
      </c>
      <c r="J1360" t="s">
        <v>59</v>
      </c>
      <c r="K1360">
        <v>1</v>
      </c>
      <c r="L1360" t="s">
        <v>39</v>
      </c>
      <c r="M1360">
        <v>57</v>
      </c>
      <c r="N1360">
        <v>1</v>
      </c>
      <c r="O1360">
        <v>5</v>
      </c>
      <c r="P1360" t="s">
        <v>56</v>
      </c>
      <c r="Q1360" t="s">
        <v>77</v>
      </c>
      <c r="R1360" t="s">
        <v>48</v>
      </c>
      <c r="S1360">
        <v>19845</v>
      </c>
      <c r="T1360" t="str" cm="1">
        <f t="array" ref="T1360">_xlfn.IFS(S1360&gt;=10000,"High (&gt;10k)",S1360&gt;=5000,"Medium (5k-10k)",S1360&lt;5000,"Low (&lt;5k)")</f>
        <v>High (&gt;10k)</v>
      </c>
      <c r="U1360">
        <v>25846</v>
      </c>
      <c r="V1360">
        <v>1</v>
      </c>
      <c r="W1360" t="s">
        <v>43</v>
      </c>
      <c r="X1360">
        <v>15</v>
      </c>
      <c r="Y1360">
        <v>3</v>
      </c>
      <c r="Z1360">
        <v>4</v>
      </c>
      <c r="AA1360">
        <v>1</v>
      </c>
      <c r="AB1360">
        <v>33</v>
      </c>
      <c r="AC1360">
        <v>3</v>
      </c>
      <c r="AD1360" t="s">
        <v>74</v>
      </c>
      <c r="AE1360">
        <v>32</v>
      </c>
      <c r="AF1360" t="str" cm="1">
        <f t="array" ref="AF1360">_xlfn.IFS(AE1360&gt;=10,"Veteran (10y+)",AE1360&gt;=3,"Established (3-10y)",AE1360&lt;3,"New Hire (&lt;3y)")</f>
        <v>Veteran (10y+)</v>
      </c>
      <c r="AG1360">
        <v>14</v>
      </c>
      <c r="AH1360">
        <v>6</v>
      </c>
      <c r="AI1360">
        <v>9</v>
      </c>
    </row>
    <row r="1361" spans="1:35">
      <c r="A1361">
        <v>52</v>
      </c>
      <c r="B1361" t="str">
        <f t="shared" si="21"/>
        <v>Senior</v>
      </c>
      <c r="C1361">
        <v>0</v>
      </c>
      <c r="D1361" t="s">
        <v>36</v>
      </c>
      <c r="E1361">
        <v>994</v>
      </c>
      <c r="F1361" t="s">
        <v>45</v>
      </c>
      <c r="G1361">
        <v>7</v>
      </c>
      <c r="H1361" t="str" cm="1">
        <f t="array" ref="H1361">_xlfn.IFS(G1361&gt;15,"Long Commute",G1361&gt;5,"Moderate",G1361&lt;=5,"Near Office")</f>
        <v>Moderate</v>
      </c>
      <c r="I1361" t="s">
        <v>83</v>
      </c>
      <c r="J1361" t="s">
        <v>38</v>
      </c>
      <c r="K1361">
        <v>2</v>
      </c>
      <c r="L1361" t="s">
        <v>46</v>
      </c>
      <c r="M1361">
        <v>87</v>
      </c>
      <c r="N1361">
        <v>3</v>
      </c>
      <c r="O1361">
        <v>3</v>
      </c>
      <c r="P1361" t="s">
        <v>54</v>
      </c>
      <c r="Q1361" t="s">
        <v>75</v>
      </c>
      <c r="R1361" t="s">
        <v>41</v>
      </c>
      <c r="S1361">
        <v>10445</v>
      </c>
      <c r="T1361" t="str" cm="1">
        <f t="array" ref="T1361">_xlfn.IFS(S1361&gt;=10000,"High (&gt;10k)",S1361&gt;=5000,"Medium (5k-10k)",S1361&lt;5000,"Low (&lt;5k)")</f>
        <v>High (&gt;10k)</v>
      </c>
      <c r="U1361">
        <v>15322</v>
      </c>
      <c r="V1361">
        <v>7</v>
      </c>
      <c r="W1361" t="s">
        <v>43</v>
      </c>
      <c r="X1361">
        <v>19</v>
      </c>
      <c r="Y1361">
        <v>3</v>
      </c>
      <c r="Z1361">
        <v>4</v>
      </c>
      <c r="AA1361">
        <v>0</v>
      </c>
      <c r="AB1361">
        <v>18</v>
      </c>
      <c r="AC1361">
        <v>4</v>
      </c>
      <c r="AD1361" t="s">
        <v>74</v>
      </c>
      <c r="AE1361">
        <v>8</v>
      </c>
      <c r="AF1361" t="str" cm="1">
        <f t="array" ref="AF1361">_xlfn.IFS(AE1361&gt;=10,"Veteran (10y+)",AE1361&gt;=3,"Established (3-10y)",AE1361&lt;3,"New Hire (&lt;3y)")</f>
        <v>Established (3-10y)</v>
      </c>
      <c r="AG1361">
        <v>6</v>
      </c>
      <c r="AH1361">
        <v>4</v>
      </c>
      <c r="AI1361">
        <v>0</v>
      </c>
    </row>
    <row r="1362" spans="1:35">
      <c r="A1362">
        <v>52</v>
      </c>
      <c r="B1362" t="str">
        <f t="shared" si="21"/>
        <v>Senior</v>
      </c>
      <c r="C1362">
        <v>1</v>
      </c>
      <c r="D1362" t="s">
        <v>36</v>
      </c>
      <c r="E1362">
        <v>1030</v>
      </c>
      <c r="F1362" t="s">
        <v>37</v>
      </c>
      <c r="G1362">
        <v>5</v>
      </c>
      <c r="H1362" t="str" cm="1">
        <f t="array" ref="H1362">_xlfn.IFS(G1362&gt;15,"Long Commute",G1362&gt;5,"Moderate",G1362&lt;=5,"Near Office")</f>
        <v>Near Office</v>
      </c>
      <c r="I1362" t="s">
        <v>72</v>
      </c>
      <c r="J1362" t="s">
        <v>38</v>
      </c>
      <c r="K1362">
        <v>2</v>
      </c>
      <c r="L1362" t="s">
        <v>46</v>
      </c>
      <c r="M1362">
        <v>64</v>
      </c>
      <c r="N1362">
        <v>3</v>
      </c>
      <c r="O1362">
        <v>3</v>
      </c>
      <c r="P1362" t="s">
        <v>40</v>
      </c>
      <c r="Q1362" t="s">
        <v>75</v>
      </c>
      <c r="R1362" t="s">
        <v>41</v>
      </c>
      <c r="S1362">
        <v>8446</v>
      </c>
      <c r="T1362" t="str" cm="1">
        <f t="array" ref="T1362">_xlfn.IFS(S1362&gt;=10000,"High (&gt;10k)",S1362&gt;=5000,"Medium (5k-10k)",S1362&lt;5000,"Low (&lt;5k)")</f>
        <v>Medium (5k-10k)</v>
      </c>
      <c r="U1362">
        <v>21534</v>
      </c>
      <c r="V1362">
        <v>9</v>
      </c>
      <c r="W1362" t="s">
        <v>35</v>
      </c>
      <c r="X1362">
        <v>19</v>
      </c>
      <c r="Y1362">
        <v>3</v>
      </c>
      <c r="Z1362">
        <v>3</v>
      </c>
      <c r="AA1362">
        <v>0</v>
      </c>
      <c r="AB1362">
        <v>10</v>
      </c>
      <c r="AC1362">
        <v>2</v>
      </c>
      <c r="AD1362" t="s">
        <v>81</v>
      </c>
      <c r="AE1362">
        <v>8</v>
      </c>
      <c r="AF1362" t="str" cm="1">
        <f t="array" ref="AF1362">_xlfn.IFS(AE1362&gt;=10,"Veteran (10y+)",AE1362&gt;=3,"Established (3-10y)",AE1362&lt;3,"New Hire (&lt;3y)")</f>
        <v>Established (3-10y)</v>
      </c>
      <c r="AG1362">
        <v>7</v>
      </c>
      <c r="AH1362">
        <v>7</v>
      </c>
      <c r="AI1362">
        <v>7</v>
      </c>
    </row>
    <row r="1363" spans="1:35">
      <c r="A1363">
        <v>52</v>
      </c>
      <c r="B1363" t="str">
        <f t="shared" si="21"/>
        <v>Senior</v>
      </c>
      <c r="C1363">
        <v>0</v>
      </c>
      <c r="D1363" t="s">
        <v>44</v>
      </c>
      <c r="E1363">
        <v>322</v>
      </c>
      <c r="F1363" t="s">
        <v>45</v>
      </c>
      <c r="G1363">
        <v>28</v>
      </c>
      <c r="H1363" t="str" cm="1">
        <f t="array" ref="H1363">_xlfn.IFS(G1363&gt;15,"Long Commute",G1363&gt;5,"Moderate",G1363&lt;=5,"Near Office")</f>
        <v>Long Commute</v>
      </c>
      <c r="I1363" t="s">
        <v>76</v>
      </c>
      <c r="J1363" t="s">
        <v>51</v>
      </c>
      <c r="K1363">
        <v>4</v>
      </c>
      <c r="L1363" t="s">
        <v>39</v>
      </c>
      <c r="M1363">
        <v>59</v>
      </c>
      <c r="N1363">
        <v>4</v>
      </c>
      <c r="O1363">
        <v>4</v>
      </c>
      <c r="P1363" t="s">
        <v>53</v>
      </c>
      <c r="Q1363" t="s">
        <v>73</v>
      </c>
      <c r="R1363" t="s">
        <v>48</v>
      </c>
      <c r="S1363">
        <v>13247</v>
      </c>
      <c r="T1363" t="str" cm="1">
        <f t="array" ref="T1363">_xlfn.IFS(S1363&gt;=10000,"High (&gt;10k)",S1363&gt;=5000,"Medium (5k-10k)",S1363&lt;5000,"Low (&lt;5k)")</f>
        <v>High (&gt;10k)</v>
      </c>
      <c r="U1363">
        <v>9731</v>
      </c>
      <c r="V1363">
        <v>2</v>
      </c>
      <c r="W1363" t="s">
        <v>35</v>
      </c>
      <c r="X1363">
        <v>11</v>
      </c>
      <c r="Y1363">
        <v>3</v>
      </c>
      <c r="Z1363">
        <v>2</v>
      </c>
      <c r="AA1363">
        <v>1</v>
      </c>
      <c r="AB1363">
        <v>24</v>
      </c>
      <c r="AC1363">
        <v>3</v>
      </c>
      <c r="AD1363" t="s">
        <v>81</v>
      </c>
      <c r="AE1363">
        <v>5</v>
      </c>
      <c r="AF1363" t="str" cm="1">
        <f t="array" ref="AF1363">_xlfn.IFS(AE1363&gt;=10,"Veteran (10y+)",AE1363&gt;=3,"Established (3-10y)",AE1363&lt;3,"New Hire (&lt;3y)")</f>
        <v>Established (3-10y)</v>
      </c>
      <c r="AG1363">
        <v>3</v>
      </c>
      <c r="AH1363">
        <v>0</v>
      </c>
      <c r="AI1363">
        <v>2</v>
      </c>
    </row>
    <row r="1364" spans="1:35">
      <c r="A1364">
        <v>52</v>
      </c>
      <c r="B1364" t="str">
        <f t="shared" si="21"/>
        <v>Senior</v>
      </c>
      <c r="C1364">
        <v>0</v>
      </c>
      <c r="D1364" t="s">
        <v>36</v>
      </c>
      <c r="E1364">
        <v>258</v>
      </c>
      <c r="F1364" t="s">
        <v>45</v>
      </c>
      <c r="G1364">
        <v>8</v>
      </c>
      <c r="H1364" t="str" cm="1">
        <f t="array" ref="H1364">_xlfn.IFS(G1364&gt;15,"Long Commute",G1364&gt;5,"Moderate",G1364&lt;=5,"Near Office")</f>
        <v>Moderate</v>
      </c>
      <c r="I1364" t="s">
        <v>83</v>
      </c>
      <c r="J1364" t="s">
        <v>49</v>
      </c>
      <c r="K1364">
        <v>3</v>
      </c>
      <c r="L1364" t="s">
        <v>39</v>
      </c>
      <c r="M1364">
        <v>54</v>
      </c>
      <c r="N1364">
        <v>3</v>
      </c>
      <c r="O1364">
        <v>1</v>
      </c>
      <c r="P1364" t="s">
        <v>50</v>
      </c>
      <c r="Q1364" t="s">
        <v>82</v>
      </c>
      <c r="R1364" t="s">
        <v>48</v>
      </c>
      <c r="S1364">
        <v>2950</v>
      </c>
      <c r="T1364" t="str" cm="1">
        <f t="array" ref="T1364">_xlfn.IFS(S1364&gt;=10000,"High (&gt;10k)",S1364&gt;=5000,"Medium (5k-10k)",S1364&lt;5000,"Low (&lt;5k)")</f>
        <v>Low (&lt;5k)</v>
      </c>
      <c r="U1364">
        <v>17363</v>
      </c>
      <c r="V1364">
        <v>9</v>
      </c>
      <c r="W1364" t="s">
        <v>43</v>
      </c>
      <c r="X1364">
        <v>13</v>
      </c>
      <c r="Y1364">
        <v>3</v>
      </c>
      <c r="Z1364">
        <v>3</v>
      </c>
      <c r="AA1364">
        <v>0</v>
      </c>
      <c r="AB1364">
        <v>12</v>
      </c>
      <c r="AC1364">
        <v>2</v>
      </c>
      <c r="AD1364" t="s">
        <v>80</v>
      </c>
      <c r="AE1364">
        <v>5</v>
      </c>
      <c r="AF1364" t="str" cm="1">
        <f t="array" ref="AF1364">_xlfn.IFS(AE1364&gt;=10,"Veteran (10y+)",AE1364&gt;=3,"Established (3-10y)",AE1364&lt;3,"New Hire (&lt;3y)")</f>
        <v>Established (3-10y)</v>
      </c>
      <c r="AG1364">
        <v>4</v>
      </c>
      <c r="AH1364">
        <v>0</v>
      </c>
      <c r="AI1364">
        <v>4</v>
      </c>
    </row>
    <row r="1365" spans="1:35">
      <c r="A1365">
        <v>52</v>
      </c>
      <c r="B1365" t="str">
        <f t="shared" si="21"/>
        <v>Senior</v>
      </c>
      <c r="C1365">
        <v>0</v>
      </c>
      <c r="D1365" t="s">
        <v>55</v>
      </c>
      <c r="E1365">
        <v>585</v>
      </c>
      <c r="F1365" t="s">
        <v>37</v>
      </c>
      <c r="G1365">
        <v>29</v>
      </c>
      <c r="H1365" t="str" cm="1">
        <f t="array" ref="H1365">_xlfn.IFS(G1365&gt;15,"Long Commute",G1365&gt;5,"Moderate",G1365&lt;=5,"Near Office")</f>
        <v>Long Commute</v>
      </c>
      <c r="I1365" t="s">
        <v>83</v>
      </c>
      <c r="J1365" t="s">
        <v>38</v>
      </c>
      <c r="K1365">
        <v>1</v>
      </c>
      <c r="L1365" t="s">
        <v>46</v>
      </c>
      <c r="M1365">
        <v>40</v>
      </c>
      <c r="N1365">
        <v>3</v>
      </c>
      <c r="O1365">
        <v>1</v>
      </c>
      <c r="P1365" t="s">
        <v>57</v>
      </c>
      <c r="Q1365" t="s">
        <v>77</v>
      </c>
      <c r="R1365" t="s">
        <v>52</v>
      </c>
      <c r="S1365">
        <v>3482</v>
      </c>
      <c r="T1365" t="str" cm="1">
        <f t="array" ref="T1365">_xlfn.IFS(S1365&gt;=10000,"High (&gt;10k)",S1365&gt;=5000,"Medium (5k-10k)",S1365&lt;5000,"Low (&lt;5k)")</f>
        <v>Low (&lt;5k)</v>
      </c>
      <c r="U1365">
        <v>19788</v>
      </c>
      <c r="V1365">
        <v>2</v>
      </c>
      <c r="W1365" t="s">
        <v>43</v>
      </c>
      <c r="X1365">
        <v>15</v>
      </c>
      <c r="Y1365">
        <v>3</v>
      </c>
      <c r="Z1365">
        <v>2</v>
      </c>
      <c r="AA1365">
        <v>2</v>
      </c>
      <c r="AB1365">
        <v>16</v>
      </c>
      <c r="AC1365">
        <v>3</v>
      </c>
      <c r="AD1365" t="s">
        <v>81</v>
      </c>
      <c r="AE1365">
        <v>9</v>
      </c>
      <c r="AF1365" t="str" cm="1">
        <f t="array" ref="AF1365">_xlfn.IFS(AE1365&gt;=10,"Veteran (10y+)",AE1365&gt;=3,"Established (3-10y)",AE1365&lt;3,"New Hire (&lt;3y)")</f>
        <v>Established (3-10y)</v>
      </c>
      <c r="AG1365">
        <v>8</v>
      </c>
      <c r="AH1365">
        <v>0</v>
      </c>
      <c r="AI1365">
        <v>0</v>
      </c>
    </row>
    <row r="1366" spans="1:35">
      <c r="A1366">
        <v>53</v>
      </c>
      <c r="B1366" t="str">
        <f t="shared" si="21"/>
        <v>Senior</v>
      </c>
      <c r="C1366">
        <v>0</v>
      </c>
      <c r="D1366" t="s">
        <v>36</v>
      </c>
      <c r="E1366">
        <v>1219</v>
      </c>
      <c r="F1366" t="s">
        <v>37</v>
      </c>
      <c r="G1366">
        <v>2</v>
      </c>
      <c r="H1366" t="str" cm="1">
        <f t="array" ref="H1366">_xlfn.IFS(G1366&gt;15,"Long Commute",G1366&gt;5,"Moderate",G1366&lt;=5,"Near Office")</f>
        <v>Near Office</v>
      </c>
      <c r="I1366" t="s">
        <v>83</v>
      </c>
      <c r="J1366" t="s">
        <v>38</v>
      </c>
      <c r="K1366">
        <v>1</v>
      </c>
      <c r="L1366" t="s">
        <v>39</v>
      </c>
      <c r="M1366">
        <v>78</v>
      </c>
      <c r="N1366">
        <v>2</v>
      </c>
      <c r="O1366">
        <v>4</v>
      </c>
      <c r="P1366" t="s">
        <v>56</v>
      </c>
      <c r="Q1366" t="s">
        <v>77</v>
      </c>
      <c r="R1366" t="s">
        <v>48</v>
      </c>
      <c r="S1366">
        <v>15427</v>
      </c>
      <c r="T1366" t="str" cm="1">
        <f t="array" ref="T1366">_xlfn.IFS(S1366&gt;=10000,"High (&gt;10k)",S1366&gt;=5000,"Medium (5k-10k)",S1366&lt;5000,"Low (&lt;5k)")</f>
        <v>High (&gt;10k)</v>
      </c>
      <c r="U1366">
        <v>22021</v>
      </c>
      <c r="V1366">
        <v>2</v>
      </c>
      <c r="W1366" t="s">
        <v>43</v>
      </c>
      <c r="X1366">
        <v>16</v>
      </c>
      <c r="Y1366">
        <v>3</v>
      </c>
      <c r="Z1366">
        <v>3</v>
      </c>
      <c r="AA1366">
        <v>0</v>
      </c>
      <c r="AB1366">
        <v>31</v>
      </c>
      <c r="AC1366">
        <v>3</v>
      </c>
      <c r="AD1366" t="s">
        <v>74</v>
      </c>
      <c r="AE1366">
        <v>25</v>
      </c>
      <c r="AF1366" t="str" cm="1">
        <f t="array" ref="AF1366">_xlfn.IFS(AE1366&gt;=10,"Veteran (10y+)",AE1366&gt;=3,"Established (3-10y)",AE1366&lt;3,"New Hire (&lt;3y)")</f>
        <v>Veteran (10y+)</v>
      </c>
      <c r="AG1366">
        <v>8</v>
      </c>
      <c r="AH1366">
        <v>3</v>
      </c>
      <c r="AI1366">
        <v>7</v>
      </c>
    </row>
    <row r="1367" spans="1:35">
      <c r="A1367">
        <v>53</v>
      </c>
      <c r="B1367" t="str">
        <f t="shared" si="21"/>
        <v>Senior</v>
      </c>
      <c r="C1367">
        <v>0</v>
      </c>
      <c r="D1367" t="s">
        <v>36</v>
      </c>
      <c r="E1367">
        <v>1282</v>
      </c>
      <c r="F1367" t="s">
        <v>45</v>
      </c>
      <c r="G1367">
        <v>5</v>
      </c>
      <c r="H1367" t="str" cm="1">
        <f t="array" ref="H1367">_xlfn.IFS(G1367&gt;15,"Long Commute",G1367&gt;5,"Moderate",G1367&lt;=5,"Near Office")</f>
        <v>Near Office</v>
      </c>
      <c r="I1367" t="s">
        <v>72</v>
      </c>
      <c r="J1367" t="s">
        <v>49</v>
      </c>
      <c r="K1367">
        <v>3</v>
      </c>
      <c r="L1367" t="s">
        <v>39</v>
      </c>
      <c r="M1367">
        <v>58</v>
      </c>
      <c r="N1367">
        <v>3</v>
      </c>
      <c r="O1367">
        <v>5</v>
      </c>
      <c r="P1367" t="s">
        <v>56</v>
      </c>
      <c r="Q1367" t="s">
        <v>73</v>
      </c>
      <c r="R1367" t="s">
        <v>52</v>
      </c>
      <c r="S1367">
        <v>19094</v>
      </c>
      <c r="T1367" t="str" cm="1">
        <f t="array" ref="T1367">_xlfn.IFS(S1367&gt;=10000,"High (&gt;10k)",S1367&gt;=5000,"Medium (5k-10k)",S1367&lt;5000,"Low (&lt;5k)")</f>
        <v>High (&gt;10k)</v>
      </c>
      <c r="U1367">
        <v>10735</v>
      </c>
      <c r="V1367">
        <v>4</v>
      </c>
      <c r="W1367" t="s">
        <v>43</v>
      </c>
      <c r="X1367">
        <v>11</v>
      </c>
      <c r="Y1367">
        <v>3</v>
      </c>
      <c r="Z1367">
        <v>4</v>
      </c>
      <c r="AA1367">
        <v>1</v>
      </c>
      <c r="AB1367">
        <v>26</v>
      </c>
      <c r="AC1367">
        <v>3</v>
      </c>
      <c r="AD1367" t="s">
        <v>81</v>
      </c>
      <c r="AE1367">
        <v>14</v>
      </c>
      <c r="AF1367" t="str" cm="1">
        <f t="array" ref="AF1367">_xlfn.IFS(AE1367&gt;=10,"Veteran (10y+)",AE1367&gt;=3,"Established (3-10y)",AE1367&lt;3,"New Hire (&lt;3y)")</f>
        <v>Veteran (10y+)</v>
      </c>
      <c r="AG1367">
        <v>13</v>
      </c>
      <c r="AH1367">
        <v>4</v>
      </c>
      <c r="AI1367">
        <v>8</v>
      </c>
    </row>
    <row r="1368" spans="1:35">
      <c r="A1368">
        <v>53</v>
      </c>
      <c r="B1368" t="str">
        <f t="shared" si="21"/>
        <v>Senior</v>
      </c>
      <c r="C1368">
        <v>0</v>
      </c>
      <c r="D1368" t="s">
        <v>36</v>
      </c>
      <c r="E1368">
        <v>1436</v>
      </c>
      <c r="F1368" t="s">
        <v>37</v>
      </c>
      <c r="G1368">
        <v>6</v>
      </c>
      <c r="H1368" t="str" cm="1">
        <f t="array" ref="H1368">_xlfn.IFS(G1368&gt;15,"Long Commute",G1368&gt;5,"Moderate",G1368&lt;=5,"Near Office")</f>
        <v>Moderate</v>
      </c>
      <c r="I1368" t="s">
        <v>76</v>
      </c>
      <c r="J1368" t="s">
        <v>59</v>
      </c>
      <c r="K1368">
        <v>2</v>
      </c>
      <c r="L1368" t="s">
        <v>46</v>
      </c>
      <c r="M1368">
        <v>34</v>
      </c>
      <c r="N1368">
        <v>3</v>
      </c>
      <c r="O1368">
        <v>2</v>
      </c>
      <c r="P1368" t="s">
        <v>57</v>
      </c>
      <c r="Q1368" t="s">
        <v>73</v>
      </c>
      <c r="R1368" t="s">
        <v>48</v>
      </c>
      <c r="S1368">
        <v>2306</v>
      </c>
      <c r="T1368" t="str" cm="1">
        <f t="array" ref="T1368">_xlfn.IFS(S1368&gt;=10000,"High (&gt;10k)",S1368&gt;=5000,"Medium (5k-10k)",S1368&lt;5000,"Low (&lt;5k)")</f>
        <v>Low (&lt;5k)</v>
      </c>
      <c r="U1368">
        <v>16047</v>
      </c>
      <c r="V1368">
        <v>2</v>
      </c>
      <c r="W1368" t="s">
        <v>35</v>
      </c>
      <c r="X1368">
        <v>20</v>
      </c>
      <c r="Y1368">
        <v>4</v>
      </c>
      <c r="Z1368">
        <v>4</v>
      </c>
      <c r="AA1368">
        <v>1</v>
      </c>
      <c r="AB1368">
        <v>13</v>
      </c>
      <c r="AC1368">
        <v>3</v>
      </c>
      <c r="AD1368" t="s">
        <v>80</v>
      </c>
      <c r="AE1368">
        <v>7</v>
      </c>
      <c r="AF1368" t="str" cm="1">
        <f t="array" ref="AF1368">_xlfn.IFS(AE1368&gt;=10,"Veteran (10y+)",AE1368&gt;=3,"Established (3-10y)",AE1368&lt;3,"New Hire (&lt;3y)")</f>
        <v>Established (3-10y)</v>
      </c>
      <c r="AG1368">
        <v>7</v>
      </c>
      <c r="AH1368">
        <v>4</v>
      </c>
      <c r="AI1368">
        <v>5</v>
      </c>
    </row>
    <row r="1369" spans="1:35">
      <c r="A1369">
        <v>53</v>
      </c>
      <c r="B1369" t="str">
        <f t="shared" si="21"/>
        <v>Senior</v>
      </c>
      <c r="C1369">
        <v>0</v>
      </c>
      <c r="D1369" t="s">
        <v>36</v>
      </c>
      <c r="E1369">
        <v>1084</v>
      </c>
      <c r="F1369" t="s">
        <v>45</v>
      </c>
      <c r="G1369">
        <v>13</v>
      </c>
      <c r="H1369" t="str" cm="1">
        <f t="array" ref="H1369">_xlfn.IFS(G1369&gt;15,"Long Commute",G1369&gt;5,"Moderate",G1369&lt;=5,"Near Office")</f>
        <v>Moderate</v>
      </c>
      <c r="I1369" t="s">
        <v>76</v>
      </c>
      <c r="J1369" t="s">
        <v>51</v>
      </c>
      <c r="K1369">
        <v>4</v>
      </c>
      <c r="L1369" t="s">
        <v>39</v>
      </c>
      <c r="M1369">
        <v>57</v>
      </c>
      <c r="N1369">
        <v>4</v>
      </c>
      <c r="O1369">
        <v>2</v>
      </c>
      <c r="P1369" t="s">
        <v>53</v>
      </c>
      <c r="Q1369" t="s">
        <v>82</v>
      </c>
      <c r="R1369" t="s">
        <v>52</v>
      </c>
      <c r="S1369">
        <v>4450</v>
      </c>
      <c r="T1369" t="str" cm="1">
        <f t="array" ref="T1369">_xlfn.IFS(S1369&gt;=10000,"High (&gt;10k)",S1369&gt;=5000,"Medium (5k-10k)",S1369&lt;5000,"Low (&lt;5k)")</f>
        <v>Low (&lt;5k)</v>
      </c>
      <c r="U1369">
        <v>26250</v>
      </c>
      <c r="V1369">
        <v>1</v>
      </c>
      <c r="W1369" t="s">
        <v>43</v>
      </c>
      <c r="X1369">
        <v>11</v>
      </c>
      <c r="Y1369">
        <v>3</v>
      </c>
      <c r="Z1369">
        <v>3</v>
      </c>
      <c r="AA1369">
        <v>2</v>
      </c>
      <c r="AB1369">
        <v>5</v>
      </c>
      <c r="AC1369">
        <v>3</v>
      </c>
      <c r="AD1369" t="s">
        <v>74</v>
      </c>
      <c r="AE1369">
        <v>4</v>
      </c>
      <c r="AF1369" t="str" cm="1">
        <f t="array" ref="AF1369">_xlfn.IFS(AE1369&gt;=10,"Veteran (10y+)",AE1369&gt;=3,"Established (3-10y)",AE1369&lt;3,"New Hire (&lt;3y)")</f>
        <v>Established (3-10y)</v>
      </c>
      <c r="AG1369">
        <v>2</v>
      </c>
      <c r="AH1369">
        <v>1</v>
      </c>
      <c r="AI1369">
        <v>3</v>
      </c>
    </row>
    <row r="1370" spans="1:35">
      <c r="A1370">
        <v>53</v>
      </c>
      <c r="B1370" t="str">
        <f t="shared" si="21"/>
        <v>Senior</v>
      </c>
      <c r="C1370">
        <v>0</v>
      </c>
      <c r="D1370" t="s">
        <v>36</v>
      </c>
      <c r="E1370">
        <v>1070</v>
      </c>
      <c r="F1370" t="s">
        <v>45</v>
      </c>
      <c r="G1370">
        <v>3</v>
      </c>
      <c r="H1370" t="str" cm="1">
        <f t="array" ref="H1370">_xlfn.IFS(G1370&gt;15,"Long Commute",G1370&gt;5,"Moderate",G1370&lt;=5,"Near Office")</f>
        <v>Near Office</v>
      </c>
      <c r="I1370" t="s">
        <v>83</v>
      </c>
      <c r="J1370" t="s">
        <v>51</v>
      </c>
      <c r="K1370">
        <v>3</v>
      </c>
      <c r="L1370" t="s">
        <v>46</v>
      </c>
      <c r="M1370">
        <v>45</v>
      </c>
      <c r="N1370">
        <v>3</v>
      </c>
      <c r="O1370">
        <v>4</v>
      </c>
      <c r="P1370" t="s">
        <v>58</v>
      </c>
      <c r="Q1370" t="s">
        <v>73</v>
      </c>
      <c r="R1370" t="s">
        <v>48</v>
      </c>
      <c r="S1370">
        <v>17584</v>
      </c>
      <c r="T1370" t="str" cm="1">
        <f t="array" ref="T1370">_xlfn.IFS(S1370&gt;=10000,"High (&gt;10k)",S1370&gt;=5000,"Medium (5k-10k)",S1370&lt;5000,"Low (&lt;5k)")</f>
        <v>High (&gt;10k)</v>
      </c>
      <c r="U1370">
        <v>21016</v>
      </c>
      <c r="V1370">
        <v>3</v>
      </c>
      <c r="W1370" t="s">
        <v>35</v>
      </c>
      <c r="X1370">
        <v>16</v>
      </c>
      <c r="Y1370">
        <v>3</v>
      </c>
      <c r="Z1370">
        <v>4</v>
      </c>
      <c r="AA1370">
        <v>3</v>
      </c>
      <c r="AB1370">
        <v>21</v>
      </c>
      <c r="AC1370">
        <v>5</v>
      </c>
      <c r="AD1370" t="s">
        <v>81</v>
      </c>
      <c r="AE1370">
        <v>5</v>
      </c>
      <c r="AF1370" t="str" cm="1">
        <f t="array" ref="AF1370">_xlfn.IFS(AE1370&gt;=10,"Veteran (10y+)",AE1370&gt;=3,"Established (3-10y)",AE1370&lt;3,"New Hire (&lt;3y)")</f>
        <v>Established (3-10y)</v>
      </c>
      <c r="AG1370">
        <v>3</v>
      </c>
      <c r="AH1370">
        <v>1</v>
      </c>
      <c r="AI1370">
        <v>3</v>
      </c>
    </row>
    <row r="1371" spans="1:35">
      <c r="A1371">
        <v>53</v>
      </c>
      <c r="B1371" t="str">
        <f t="shared" si="21"/>
        <v>Senior</v>
      </c>
      <c r="C1371">
        <v>0</v>
      </c>
      <c r="D1371" t="s">
        <v>36</v>
      </c>
      <c r="E1371">
        <v>238</v>
      </c>
      <c r="F1371" t="s">
        <v>37</v>
      </c>
      <c r="G1371">
        <v>1</v>
      </c>
      <c r="H1371" t="str" cm="1">
        <f t="array" ref="H1371">_xlfn.IFS(G1371&gt;15,"Long Commute",G1371&gt;5,"Moderate",G1371&lt;=5,"Near Office")</f>
        <v>Near Office</v>
      </c>
      <c r="I1371" t="s">
        <v>78</v>
      </c>
      <c r="J1371" t="s">
        <v>51</v>
      </c>
      <c r="K1371">
        <v>4</v>
      </c>
      <c r="L1371" t="s">
        <v>39</v>
      </c>
      <c r="M1371">
        <v>34</v>
      </c>
      <c r="N1371">
        <v>3</v>
      </c>
      <c r="O1371">
        <v>2</v>
      </c>
      <c r="P1371" t="s">
        <v>40</v>
      </c>
      <c r="Q1371" t="s">
        <v>82</v>
      </c>
      <c r="R1371" t="s">
        <v>41</v>
      </c>
      <c r="S1371">
        <v>8381</v>
      </c>
      <c r="T1371" t="str" cm="1">
        <f t="array" ref="T1371">_xlfn.IFS(S1371&gt;=10000,"High (&gt;10k)",S1371&gt;=5000,"Medium (5k-10k)",S1371&lt;5000,"Low (&lt;5k)")</f>
        <v>Medium (5k-10k)</v>
      </c>
      <c r="U1371">
        <v>7507</v>
      </c>
      <c r="V1371">
        <v>7</v>
      </c>
      <c r="W1371" t="s">
        <v>43</v>
      </c>
      <c r="X1371">
        <v>20</v>
      </c>
      <c r="Y1371">
        <v>4</v>
      </c>
      <c r="Z1371">
        <v>4</v>
      </c>
      <c r="AA1371">
        <v>0</v>
      </c>
      <c r="AB1371">
        <v>18</v>
      </c>
      <c r="AC1371">
        <v>2</v>
      </c>
      <c r="AD1371" t="s">
        <v>79</v>
      </c>
      <c r="AE1371">
        <v>14</v>
      </c>
      <c r="AF1371" t="str" cm="1">
        <f t="array" ref="AF1371">_xlfn.IFS(AE1371&gt;=10,"Veteran (10y+)",AE1371&gt;=3,"Established (3-10y)",AE1371&lt;3,"New Hire (&lt;3y)")</f>
        <v>Veteran (10y+)</v>
      </c>
      <c r="AG1371">
        <v>7</v>
      </c>
      <c r="AH1371">
        <v>8</v>
      </c>
      <c r="AI1371">
        <v>10</v>
      </c>
    </row>
    <row r="1372" spans="1:35">
      <c r="A1372">
        <v>53</v>
      </c>
      <c r="B1372" t="str">
        <f t="shared" si="21"/>
        <v>Senior</v>
      </c>
      <c r="C1372">
        <v>0</v>
      </c>
      <c r="D1372" t="s">
        <v>36</v>
      </c>
      <c r="E1372">
        <v>970</v>
      </c>
      <c r="F1372" t="s">
        <v>45</v>
      </c>
      <c r="G1372">
        <v>7</v>
      </c>
      <c r="H1372" t="str" cm="1">
        <f t="array" ref="H1372">_xlfn.IFS(G1372&gt;15,"Long Commute",G1372&gt;5,"Moderate",G1372&lt;=5,"Near Office")</f>
        <v>Moderate</v>
      </c>
      <c r="I1372" t="s">
        <v>72</v>
      </c>
      <c r="J1372" t="s">
        <v>38</v>
      </c>
      <c r="K1372">
        <v>3</v>
      </c>
      <c r="L1372" t="s">
        <v>46</v>
      </c>
      <c r="M1372">
        <v>59</v>
      </c>
      <c r="N1372">
        <v>4</v>
      </c>
      <c r="O1372">
        <v>4</v>
      </c>
      <c r="P1372" t="s">
        <v>58</v>
      </c>
      <c r="Q1372" t="s">
        <v>73</v>
      </c>
      <c r="R1372" t="s">
        <v>48</v>
      </c>
      <c r="S1372">
        <v>14814</v>
      </c>
      <c r="T1372" t="str" cm="1">
        <f t="array" ref="T1372">_xlfn.IFS(S1372&gt;=10000,"High (&gt;10k)",S1372&gt;=5000,"Medium (5k-10k)",S1372&lt;5000,"Low (&lt;5k)")</f>
        <v>High (&gt;10k)</v>
      </c>
      <c r="U1372">
        <v>13514</v>
      </c>
      <c r="V1372">
        <v>3</v>
      </c>
      <c r="W1372" t="s">
        <v>43</v>
      </c>
      <c r="X1372">
        <v>19</v>
      </c>
      <c r="Y1372">
        <v>3</v>
      </c>
      <c r="Z1372">
        <v>3</v>
      </c>
      <c r="AA1372">
        <v>0</v>
      </c>
      <c r="AB1372">
        <v>32</v>
      </c>
      <c r="AC1372">
        <v>3</v>
      </c>
      <c r="AD1372" t="s">
        <v>74</v>
      </c>
      <c r="AE1372">
        <v>5</v>
      </c>
      <c r="AF1372" t="str" cm="1">
        <f t="array" ref="AF1372">_xlfn.IFS(AE1372&gt;=10,"Veteran (10y+)",AE1372&gt;=3,"Established (3-10y)",AE1372&lt;3,"New Hire (&lt;3y)")</f>
        <v>Established (3-10y)</v>
      </c>
      <c r="AG1372">
        <v>1</v>
      </c>
      <c r="AH1372">
        <v>1</v>
      </c>
      <c r="AI1372">
        <v>3</v>
      </c>
    </row>
    <row r="1373" spans="1:35">
      <c r="A1373">
        <v>53</v>
      </c>
      <c r="B1373" t="str">
        <f t="shared" si="21"/>
        <v>Senior</v>
      </c>
      <c r="C1373">
        <v>0</v>
      </c>
      <c r="D1373" t="s">
        <v>36</v>
      </c>
      <c r="E1373">
        <v>346</v>
      </c>
      <c r="F1373" t="s">
        <v>45</v>
      </c>
      <c r="G1373">
        <v>6</v>
      </c>
      <c r="H1373" t="str" cm="1">
        <f t="array" ref="H1373">_xlfn.IFS(G1373&gt;15,"Long Commute",G1373&gt;5,"Moderate",G1373&lt;=5,"Near Office")</f>
        <v>Moderate</v>
      </c>
      <c r="I1373" t="s">
        <v>72</v>
      </c>
      <c r="J1373" t="s">
        <v>38</v>
      </c>
      <c r="K1373">
        <v>4</v>
      </c>
      <c r="L1373" t="s">
        <v>46</v>
      </c>
      <c r="M1373">
        <v>86</v>
      </c>
      <c r="N1373">
        <v>3</v>
      </c>
      <c r="O1373">
        <v>2</v>
      </c>
      <c r="P1373" t="s">
        <v>50</v>
      </c>
      <c r="Q1373" t="s">
        <v>77</v>
      </c>
      <c r="R1373" t="s">
        <v>41</v>
      </c>
      <c r="S1373">
        <v>2450</v>
      </c>
      <c r="T1373" t="str" cm="1">
        <f t="array" ref="T1373">_xlfn.IFS(S1373&gt;=10000,"High (&gt;10k)",S1373&gt;=5000,"Medium (5k-10k)",S1373&lt;5000,"Low (&lt;5k)")</f>
        <v>Low (&lt;5k)</v>
      </c>
      <c r="U1373">
        <v>10919</v>
      </c>
      <c r="V1373">
        <v>2</v>
      </c>
      <c r="W1373" t="s">
        <v>43</v>
      </c>
      <c r="X1373">
        <v>17</v>
      </c>
      <c r="Y1373">
        <v>3</v>
      </c>
      <c r="Z1373">
        <v>4</v>
      </c>
      <c r="AA1373">
        <v>0</v>
      </c>
      <c r="AB1373">
        <v>19</v>
      </c>
      <c r="AC1373">
        <v>4</v>
      </c>
      <c r="AD1373" t="s">
        <v>74</v>
      </c>
      <c r="AE1373">
        <v>2</v>
      </c>
      <c r="AF1373" t="str" cm="1">
        <f t="array" ref="AF1373">_xlfn.IFS(AE1373&gt;=10,"Veteran (10y+)",AE1373&gt;=3,"Established (3-10y)",AE1373&lt;3,"New Hire (&lt;3y)")</f>
        <v>New Hire (&lt;3y)</v>
      </c>
      <c r="AG1373">
        <v>2</v>
      </c>
      <c r="AH1373">
        <v>2</v>
      </c>
      <c r="AI1373">
        <v>2</v>
      </c>
    </row>
    <row r="1374" spans="1:35">
      <c r="A1374">
        <v>53</v>
      </c>
      <c r="B1374" t="str">
        <f t="shared" si="21"/>
        <v>Senior</v>
      </c>
      <c r="C1374">
        <v>0</v>
      </c>
      <c r="D1374" t="s">
        <v>36</v>
      </c>
      <c r="E1374">
        <v>661</v>
      </c>
      <c r="F1374" t="s">
        <v>37</v>
      </c>
      <c r="G1374">
        <v>7</v>
      </c>
      <c r="H1374" t="str" cm="1">
        <f t="array" ref="H1374">_xlfn.IFS(G1374&gt;15,"Long Commute",G1374&gt;5,"Moderate",G1374&lt;=5,"Near Office")</f>
        <v>Moderate</v>
      </c>
      <c r="I1374" t="s">
        <v>76</v>
      </c>
      <c r="J1374" t="s">
        <v>59</v>
      </c>
      <c r="K1374">
        <v>1</v>
      </c>
      <c r="L1374" t="s">
        <v>39</v>
      </c>
      <c r="M1374">
        <v>78</v>
      </c>
      <c r="N1374">
        <v>2</v>
      </c>
      <c r="O1374">
        <v>3</v>
      </c>
      <c r="P1374" t="s">
        <v>40</v>
      </c>
      <c r="Q1374" t="s">
        <v>77</v>
      </c>
      <c r="R1374" t="s">
        <v>48</v>
      </c>
      <c r="S1374">
        <v>10934</v>
      </c>
      <c r="T1374" t="str" cm="1">
        <f t="array" ref="T1374">_xlfn.IFS(S1374&gt;=10000,"High (&gt;10k)",S1374&gt;=5000,"Medium (5k-10k)",S1374&lt;5000,"Low (&lt;5k)")</f>
        <v>High (&gt;10k)</v>
      </c>
      <c r="U1374">
        <v>20715</v>
      </c>
      <c r="V1374">
        <v>7</v>
      </c>
      <c r="W1374" t="s">
        <v>35</v>
      </c>
      <c r="X1374">
        <v>18</v>
      </c>
      <c r="Y1374">
        <v>3</v>
      </c>
      <c r="Z1374">
        <v>4</v>
      </c>
      <c r="AA1374">
        <v>1</v>
      </c>
      <c r="AB1374">
        <v>35</v>
      </c>
      <c r="AC1374">
        <v>3</v>
      </c>
      <c r="AD1374" t="s">
        <v>74</v>
      </c>
      <c r="AE1374">
        <v>5</v>
      </c>
      <c r="AF1374" t="str" cm="1">
        <f t="array" ref="AF1374">_xlfn.IFS(AE1374&gt;=10,"Veteran (10y+)",AE1374&gt;=3,"Established (3-10y)",AE1374&lt;3,"New Hire (&lt;3y)")</f>
        <v>Established (3-10y)</v>
      </c>
      <c r="AG1374">
        <v>2</v>
      </c>
      <c r="AH1374">
        <v>0</v>
      </c>
      <c r="AI1374">
        <v>4</v>
      </c>
    </row>
    <row r="1375" spans="1:35">
      <c r="A1375">
        <v>53</v>
      </c>
      <c r="B1375" t="str">
        <f t="shared" si="21"/>
        <v>Senior</v>
      </c>
      <c r="C1375">
        <v>0</v>
      </c>
      <c r="D1375" t="s">
        <v>36</v>
      </c>
      <c r="E1375">
        <v>868</v>
      </c>
      <c r="F1375" t="s">
        <v>37</v>
      </c>
      <c r="G1375">
        <v>8</v>
      </c>
      <c r="H1375" t="str" cm="1">
        <f t="array" ref="H1375">_xlfn.IFS(G1375&gt;15,"Long Commute",G1375&gt;5,"Moderate",G1375&lt;=5,"Near Office")</f>
        <v>Moderate</v>
      </c>
      <c r="I1375" t="s">
        <v>72</v>
      </c>
      <c r="J1375" t="s">
        <v>59</v>
      </c>
      <c r="K1375">
        <v>1</v>
      </c>
      <c r="L1375" t="s">
        <v>46</v>
      </c>
      <c r="M1375">
        <v>73</v>
      </c>
      <c r="N1375">
        <v>3</v>
      </c>
      <c r="O1375">
        <v>4</v>
      </c>
      <c r="P1375" t="s">
        <v>40</v>
      </c>
      <c r="Q1375" t="s">
        <v>77</v>
      </c>
      <c r="R1375" t="s">
        <v>48</v>
      </c>
      <c r="S1375">
        <v>11836</v>
      </c>
      <c r="T1375" t="str" cm="1">
        <f t="array" ref="T1375">_xlfn.IFS(S1375&gt;=10000,"High (&gt;10k)",S1375&gt;=5000,"Medium (5k-10k)",S1375&lt;5000,"Low (&lt;5k)")</f>
        <v>High (&gt;10k)</v>
      </c>
      <c r="U1375">
        <v>22789</v>
      </c>
      <c r="V1375">
        <v>5</v>
      </c>
      <c r="W1375" t="s">
        <v>43</v>
      </c>
      <c r="X1375">
        <v>14</v>
      </c>
      <c r="Y1375">
        <v>3</v>
      </c>
      <c r="Z1375">
        <v>3</v>
      </c>
      <c r="AA1375">
        <v>1</v>
      </c>
      <c r="AB1375">
        <v>28</v>
      </c>
      <c r="AC1375">
        <v>3</v>
      </c>
      <c r="AD1375" t="s">
        <v>74</v>
      </c>
      <c r="AE1375">
        <v>2</v>
      </c>
      <c r="AF1375" t="str" cm="1">
        <f t="array" ref="AF1375">_xlfn.IFS(AE1375&gt;=10,"Veteran (10y+)",AE1375&gt;=3,"Established (3-10y)",AE1375&lt;3,"New Hire (&lt;3y)")</f>
        <v>New Hire (&lt;3y)</v>
      </c>
      <c r="AG1375">
        <v>0</v>
      </c>
      <c r="AH1375">
        <v>2</v>
      </c>
      <c r="AI1375">
        <v>2</v>
      </c>
    </row>
    <row r="1376" spans="1:35">
      <c r="A1376">
        <v>53</v>
      </c>
      <c r="B1376" t="str">
        <f t="shared" si="21"/>
        <v>Senior</v>
      </c>
      <c r="C1376">
        <v>0</v>
      </c>
      <c r="D1376" t="s">
        <v>36</v>
      </c>
      <c r="E1376">
        <v>102</v>
      </c>
      <c r="F1376" t="s">
        <v>45</v>
      </c>
      <c r="G1376">
        <v>23</v>
      </c>
      <c r="H1376" t="str" cm="1">
        <f t="array" ref="H1376">_xlfn.IFS(G1376&gt;15,"Long Commute",G1376&gt;5,"Moderate",G1376&lt;=5,"Near Office")</f>
        <v>Long Commute</v>
      </c>
      <c r="I1376" t="s">
        <v>83</v>
      </c>
      <c r="J1376" t="s">
        <v>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58</v>
      </c>
      <c r="Q1376" t="s">
        <v>77</v>
      </c>
      <c r="R1376" t="s">
        <v>41</v>
      </c>
      <c r="S1376">
        <v>14275</v>
      </c>
      <c r="T1376" t="str" cm="1">
        <f t="array" ref="T1376">_xlfn.IFS(S1376&gt;=10000,"High (&gt;10k)",S1376&gt;=5000,"Medium (5k-10k)",S1376&lt;5000,"Low (&lt;5k)")</f>
        <v>High (&gt;10k)</v>
      </c>
      <c r="U1376">
        <v>20206</v>
      </c>
      <c r="V1376">
        <v>6</v>
      </c>
      <c r="W1376" t="s">
        <v>43</v>
      </c>
      <c r="X1376">
        <v>18</v>
      </c>
      <c r="Y1376">
        <v>3</v>
      </c>
      <c r="Z1376">
        <v>3</v>
      </c>
      <c r="AA1376">
        <v>0</v>
      </c>
      <c r="AB1376">
        <v>33</v>
      </c>
      <c r="AC1376">
        <v>0</v>
      </c>
      <c r="AD1376" t="s">
        <v>74</v>
      </c>
      <c r="AE1376">
        <v>12</v>
      </c>
      <c r="AF1376" t="str" cm="1">
        <f t="array" ref="AF1376">_xlfn.IFS(AE1376&gt;=10,"Veteran (10y+)",AE1376&gt;=3,"Established (3-10y)",AE1376&lt;3,"New Hire (&lt;3y)")</f>
        <v>Veteran (10y+)</v>
      </c>
      <c r="AG1376">
        <v>9</v>
      </c>
      <c r="AH1376">
        <v>3</v>
      </c>
      <c r="AI1376">
        <v>8</v>
      </c>
    </row>
    <row r="1377" spans="1:35">
      <c r="A1377">
        <v>53</v>
      </c>
      <c r="B1377" t="str">
        <f t="shared" si="21"/>
        <v>Senior</v>
      </c>
      <c r="C1377">
        <v>0</v>
      </c>
      <c r="D1377" t="s">
        <v>36</v>
      </c>
      <c r="E1377">
        <v>1376</v>
      </c>
      <c r="F1377" t="s">
        <v>37</v>
      </c>
      <c r="G1377">
        <v>2</v>
      </c>
      <c r="H1377" t="str" cm="1">
        <f t="array" ref="H1377">_xlfn.IFS(G1377&gt;15,"Long Commute",G1377&gt;5,"Moderate",G1377&lt;=5,"Near Office")</f>
        <v>Near Office</v>
      </c>
      <c r="I1377" t="s">
        <v>76</v>
      </c>
      <c r="J1377" t="s">
        <v>51</v>
      </c>
      <c r="K1377">
        <v>3</v>
      </c>
      <c r="L1377" t="s">
        <v>46</v>
      </c>
      <c r="M1377">
        <v>45</v>
      </c>
      <c r="N1377">
        <v>3</v>
      </c>
      <c r="O1377">
        <v>4</v>
      </c>
      <c r="P1377" t="s">
        <v>56</v>
      </c>
      <c r="Q1377" t="s">
        <v>73</v>
      </c>
      <c r="R1377" t="s">
        <v>52</v>
      </c>
      <c r="S1377">
        <v>14852</v>
      </c>
      <c r="T1377" t="str" cm="1">
        <f t="array" ref="T1377">_xlfn.IFS(S1377&gt;=10000,"High (&gt;10k)",S1377&gt;=5000,"Medium (5k-10k)",S1377&lt;5000,"Low (&lt;5k)")</f>
        <v>High (&gt;10k)</v>
      </c>
      <c r="U1377">
        <v>13938</v>
      </c>
      <c r="V1377">
        <v>6</v>
      </c>
      <c r="W1377" t="s">
        <v>43</v>
      </c>
      <c r="X1377">
        <v>13</v>
      </c>
      <c r="Y1377">
        <v>3</v>
      </c>
      <c r="Z1377">
        <v>3</v>
      </c>
      <c r="AA1377">
        <v>1</v>
      </c>
      <c r="AB1377">
        <v>22</v>
      </c>
      <c r="AC1377">
        <v>3</v>
      </c>
      <c r="AD1377" t="s">
        <v>79</v>
      </c>
      <c r="AE1377">
        <v>17</v>
      </c>
      <c r="AF1377" t="str" cm="1">
        <f t="array" ref="AF1377">_xlfn.IFS(AE1377&gt;=10,"Veteran (10y+)",AE1377&gt;=3,"Established (3-10y)",AE1377&lt;3,"New Hire (&lt;3y)")</f>
        <v>Veteran (10y+)</v>
      </c>
      <c r="AG1377">
        <v>13</v>
      </c>
      <c r="AH1377">
        <v>15</v>
      </c>
      <c r="AI1377">
        <v>2</v>
      </c>
    </row>
    <row r="1378" spans="1:35">
      <c r="A1378">
        <v>53</v>
      </c>
      <c r="B1378" t="str">
        <f t="shared" si="21"/>
        <v>Senior</v>
      </c>
      <c r="C1378">
        <v>0</v>
      </c>
      <c r="D1378" t="s">
        <v>44</v>
      </c>
      <c r="E1378">
        <v>124</v>
      </c>
      <c r="F1378" t="s">
        <v>37</v>
      </c>
      <c r="G1378">
        <v>2</v>
      </c>
      <c r="H1378" t="str" cm="1">
        <f t="array" ref="H1378">_xlfn.IFS(G1378&gt;15,"Long Commute",G1378&gt;5,"Moderate",G1378&lt;=5,"Near Office")</f>
        <v>Near Office</v>
      </c>
      <c r="I1378" t="s">
        <v>72</v>
      </c>
      <c r="J1378" t="s">
        <v>59</v>
      </c>
      <c r="K1378">
        <v>3</v>
      </c>
      <c r="L1378" t="s">
        <v>39</v>
      </c>
      <c r="M1378">
        <v>38</v>
      </c>
      <c r="N1378">
        <v>2</v>
      </c>
      <c r="O1378">
        <v>3</v>
      </c>
      <c r="P1378" t="s">
        <v>40</v>
      </c>
      <c r="Q1378" t="s">
        <v>75</v>
      </c>
      <c r="R1378" t="s">
        <v>48</v>
      </c>
      <c r="S1378">
        <v>7525</v>
      </c>
      <c r="T1378" t="str" cm="1">
        <f t="array" ref="T1378">_xlfn.IFS(S1378&gt;=10000,"High (&gt;10k)",S1378&gt;=5000,"Medium (5k-10k)",S1378&lt;5000,"Low (&lt;5k)")</f>
        <v>Medium (5k-10k)</v>
      </c>
      <c r="U1378">
        <v>23537</v>
      </c>
      <c r="V1378">
        <v>2</v>
      </c>
      <c r="W1378" t="s">
        <v>43</v>
      </c>
      <c r="X1378">
        <v>12</v>
      </c>
      <c r="Y1378">
        <v>3</v>
      </c>
      <c r="Z1378">
        <v>1</v>
      </c>
      <c r="AA1378">
        <v>1</v>
      </c>
      <c r="AB1378">
        <v>30</v>
      </c>
      <c r="AC1378">
        <v>2</v>
      </c>
      <c r="AD1378" t="s">
        <v>74</v>
      </c>
      <c r="AE1378">
        <v>15</v>
      </c>
      <c r="AF1378" t="str" cm="1">
        <f t="array" ref="AF1378">_xlfn.IFS(AE1378&gt;=10,"Veteran (10y+)",AE1378&gt;=3,"Established (3-10y)",AE1378&lt;3,"New Hire (&lt;3y)")</f>
        <v>Veteran (10y+)</v>
      </c>
      <c r="AG1378">
        <v>7</v>
      </c>
      <c r="AH1378">
        <v>6</v>
      </c>
      <c r="AI1378">
        <v>12</v>
      </c>
    </row>
    <row r="1379" spans="1:35">
      <c r="A1379">
        <v>53</v>
      </c>
      <c r="B1379" t="str">
        <f t="shared" si="21"/>
        <v>Senior</v>
      </c>
      <c r="C1379">
        <v>0</v>
      </c>
      <c r="D1379" t="s">
        <v>36</v>
      </c>
      <c r="E1379">
        <v>1223</v>
      </c>
      <c r="F1379" t="s">
        <v>45</v>
      </c>
      <c r="G1379">
        <v>7</v>
      </c>
      <c r="H1379" t="str" cm="1">
        <f t="array" ref="H1379">_xlfn.IFS(G1379&gt;15,"Long Commute",G1379&gt;5,"Moderate",G1379&lt;=5,"Near Office")</f>
        <v>Moderate</v>
      </c>
      <c r="I1379" t="s">
        <v>76</v>
      </c>
      <c r="J1379" t="s">
        <v>51</v>
      </c>
      <c r="K1379">
        <v>4</v>
      </c>
      <c r="L1379" t="s">
        <v>39</v>
      </c>
      <c r="M1379">
        <v>50</v>
      </c>
      <c r="N1379">
        <v>3</v>
      </c>
      <c r="O1379">
        <v>5</v>
      </c>
      <c r="P1379" t="s">
        <v>56</v>
      </c>
      <c r="Q1379" t="s">
        <v>73</v>
      </c>
      <c r="R1379" t="s">
        <v>52</v>
      </c>
      <c r="S1379">
        <v>18606</v>
      </c>
      <c r="T1379" t="str" cm="1">
        <f t="array" ref="T1379">_xlfn.IFS(S1379&gt;=10000,"High (&gt;10k)",S1379&gt;=5000,"Medium (5k-10k)",S1379&lt;5000,"Low (&lt;5k)")</f>
        <v>High (&gt;10k)</v>
      </c>
      <c r="U1379">
        <v>18640</v>
      </c>
      <c r="V1379">
        <v>3</v>
      </c>
      <c r="W1379" t="s">
        <v>43</v>
      </c>
      <c r="X1379">
        <v>18</v>
      </c>
      <c r="Y1379">
        <v>3</v>
      </c>
      <c r="Z1379">
        <v>2</v>
      </c>
      <c r="AA1379">
        <v>1</v>
      </c>
      <c r="AB1379">
        <v>26</v>
      </c>
      <c r="AC1379">
        <v>6</v>
      </c>
      <c r="AD1379" t="s">
        <v>74</v>
      </c>
      <c r="AE1379">
        <v>7</v>
      </c>
      <c r="AF1379" t="str" cm="1">
        <f t="array" ref="AF1379">_xlfn.IFS(AE1379&gt;=10,"Veteran (10y+)",AE1379&gt;=3,"Established (3-10y)",AE1379&lt;3,"New Hire (&lt;3y)")</f>
        <v>Established (3-10y)</v>
      </c>
      <c r="AG1379">
        <v>7</v>
      </c>
      <c r="AH1379">
        <v>4</v>
      </c>
      <c r="AI1379">
        <v>7</v>
      </c>
    </row>
    <row r="1380" spans="1:35">
      <c r="A1380">
        <v>53</v>
      </c>
      <c r="B1380" t="str">
        <f t="shared" si="21"/>
        <v>Senior</v>
      </c>
      <c r="C1380">
        <v>0</v>
      </c>
      <c r="D1380" t="s">
        <v>36</v>
      </c>
      <c r="E1380">
        <v>447</v>
      </c>
      <c r="F1380" t="s">
        <v>45</v>
      </c>
      <c r="G1380">
        <v>2</v>
      </c>
      <c r="H1380" t="str" cm="1">
        <f t="array" ref="H1380">_xlfn.IFS(G1380&gt;15,"Long Commute",G1380&gt;5,"Moderate",G1380&lt;=5,"Near Office")</f>
        <v>Near Office</v>
      </c>
      <c r="I1380" t="s">
        <v>72</v>
      </c>
      <c r="J1380" t="s">
        <v>51</v>
      </c>
      <c r="K1380">
        <v>4</v>
      </c>
      <c r="L1380" t="s">
        <v>46</v>
      </c>
      <c r="M1380">
        <v>39</v>
      </c>
      <c r="N1380">
        <v>4</v>
      </c>
      <c r="O1380">
        <v>4</v>
      </c>
      <c r="P1380" t="s">
        <v>58</v>
      </c>
      <c r="Q1380" t="s">
        <v>75</v>
      </c>
      <c r="R1380" t="s">
        <v>41</v>
      </c>
      <c r="S1380">
        <v>16598</v>
      </c>
      <c r="T1380" t="str" cm="1">
        <f t="array" ref="T1380">_xlfn.IFS(S1380&gt;=10000,"High (&gt;10k)",S1380&gt;=5000,"Medium (5k-10k)",S1380&lt;5000,"Low (&lt;5k)")</f>
        <v>High (&gt;10k)</v>
      </c>
      <c r="U1380">
        <v>19764</v>
      </c>
      <c r="V1380">
        <v>4</v>
      </c>
      <c r="W1380" t="s">
        <v>43</v>
      </c>
      <c r="X1380">
        <v>12</v>
      </c>
      <c r="Y1380">
        <v>3</v>
      </c>
      <c r="Z1380">
        <v>2</v>
      </c>
      <c r="AA1380">
        <v>0</v>
      </c>
      <c r="AB1380">
        <v>35</v>
      </c>
      <c r="AC1380">
        <v>2</v>
      </c>
      <c r="AD1380" t="s">
        <v>81</v>
      </c>
      <c r="AE1380">
        <v>9</v>
      </c>
      <c r="AF1380" t="str" cm="1">
        <f t="array" ref="AF1380">_xlfn.IFS(AE1380&gt;=10,"Veteran (10y+)",AE1380&gt;=3,"Established (3-10y)",AE1380&lt;3,"New Hire (&lt;3y)")</f>
        <v>Established (3-10y)</v>
      </c>
      <c r="AG1380">
        <v>8</v>
      </c>
      <c r="AH1380">
        <v>8</v>
      </c>
      <c r="AI1380">
        <v>8</v>
      </c>
    </row>
    <row r="1381" spans="1:35">
      <c r="A1381">
        <v>53</v>
      </c>
      <c r="B1381" t="str">
        <f t="shared" si="21"/>
        <v>Senior</v>
      </c>
      <c r="C1381">
        <v>1</v>
      </c>
      <c r="D1381" t="s">
        <v>36</v>
      </c>
      <c r="E1381">
        <v>607</v>
      </c>
      <c r="F1381" t="s">
        <v>45</v>
      </c>
      <c r="G1381">
        <v>2</v>
      </c>
      <c r="H1381" t="str" cm="1">
        <f t="array" ref="H1381">_xlfn.IFS(G1381&gt;15,"Long Commute",G1381&gt;5,"Moderate",G1381&lt;=5,"Near Office")</f>
        <v>Near Office</v>
      </c>
      <c r="I1381" t="s">
        <v>84</v>
      </c>
      <c r="J1381" t="s">
        <v>60</v>
      </c>
      <c r="K1381">
        <v>3</v>
      </c>
      <c r="L1381" t="s">
        <v>39</v>
      </c>
      <c r="M1381">
        <v>78</v>
      </c>
      <c r="N1381">
        <v>2</v>
      </c>
      <c r="O1381">
        <v>3</v>
      </c>
      <c r="P1381" t="s">
        <v>53</v>
      </c>
      <c r="Q1381" t="s">
        <v>77</v>
      </c>
      <c r="R1381" t="s">
        <v>48</v>
      </c>
      <c r="S1381">
        <v>10169</v>
      </c>
      <c r="T1381" t="str" cm="1">
        <f t="array" ref="T1381">_xlfn.IFS(S1381&gt;=10000,"High (&gt;10k)",S1381&gt;=5000,"Medium (5k-10k)",S1381&lt;5000,"Low (&lt;5k)")</f>
        <v>High (&gt;10k)</v>
      </c>
      <c r="U1381">
        <v>14618</v>
      </c>
      <c r="V1381">
        <v>0</v>
      </c>
      <c r="W1381" t="s">
        <v>43</v>
      </c>
      <c r="X1381">
        <v>16</v>
      </c>
      <c r="Y1381">
        <v>3</v>
      </c>
      <c r="Z1381">
        <v>2</v>
      </c>
      <c r="AA1381">
        <v>1</v>
      </c>
      <c r="AB1381">
        <v>34</v>
      </c>
      <c r="AC1381">
        <v>4</v>
      </c>
      <c r="AD1381" t="s">
        <v>74</v>
      </c>
      <c r="AE1381">
        <v>33</v>
      </c>
      <c r="AF1381" t="str" cm="1">
        <f t="array" ref="AF1381">_xlfn.IFS(AE1381&gt;=10,"Veteran (10y+)",AE1381&gt;=3,"Established (3-10y)",AE1381&lt;3,"New Hire (&lt;3y)")</f>
        <v>Veteran (10y+)</v>
      </c>
      <c r="AG1381">
        <v>7</v>
      </c>
      <c r="AH1381">
        <v>1</v>
      </c>
      <c r="AI1381">
        <v>9</v>
      </c>
    </row>
    <row r="1382" spans="1:35">
      <c r="A1382">
        <v>53</v>
      </c>
      <c r="B1382" t="str">
        <f t="shared" si="21"/>
        <v>Senior</v>
      </c>
      <c r="C1382">
        <v>0</v>
      </c>
      <c r="D1382" t="s">
        <v>36</v>
      </c>
      <c r="E1382">
        <v>1395</v>
      </c>
      <c r="F1382" t="s">
        <v>45</v>
      </c>
      <c r="G1382">
        <v>24</v>
      </c>
      <c r="H1382" t="str" cm="1">
        <f t="array" ref="H1382">_xlfn.IFS(G1382&gt;15,"Long Commute",G1382&gt;5,"Moderate",G1382&lt;=5,"Near Office")</f>
        <v>Long Commute</v>
      </c>
      <c r="I1382" t="s">
        <v>83</v>
      </c>
      <c r="J1382" t="s">
        <v>51</v>
      </c>
      <c r="K1382">
        <v>2</v>
      </c>
      <c r="L1382" t="s">
        <v>46</v>
      </c>
      <c r="M1382">
        <v>48</v>
      </c>
      <c r="N1382">
        <v>4</v>
      </c>
      <c r="O1382">
        <v>3</v>
      </c>
      <c r="P1382" t="s">
        <v>54</v>
      </c>
      <c r="Q1382" t="s">
        <v>77</v>
      </c>
      <c r="R1382" t="s">
        <v>48</v>
      </c>
      <c r="S1382">
        <v>7005</v>
      </c>
      <c r="T1382" t="str" cm="1">
        <f t="array" ref="T1382">_xlfn.IFS(S1382&gt;=10000,"High (&gt;10k)",S1382&gt;=5000,"Medium (5k-10k)",S1382&lt;5000,"Low (&lt;5k)")</f>
        <v>Medium (5k-10k)</v>
      </c>
      <c r="U1382">
        <v>3458</v>
      </c>
      <c r="V1382">
        <v>3</v>
      </c>
      <c r="W1382" t="s">
        <v>43</v>
      </c>
      <c r="X1382">
        <v>15</v>
      </c>
      <c r="Y1382">
        <v>3</v>
      </c>
      <c r="Z1382">
        <v>3</v>
      </c>
      <c r="AA1382">
        <v>0</v>
      </c>
      <c r="AB1382">
        <v>11</v>
      </c>
      <c r="AC1382">
        <v>2</v>
      </c>
      <c r="AD1382" t="s">
        <v>74</v>
      </c>
      <c r="AE1382">
        <v>4</v>
      </c>
      <c r="AF1382" t="str" cm="1">
        <f t="array" ref="AF1382">_xlfn.IFS(AE1382&gt;=10,"Veteran (10y+)",AE1382&gt;=3,"Established (3-10y)",AE1382&lt;3,"New Hire (&lt;3y)")</f>
        <v>Established (3-10y)</v>
      </c>
      <c r="AG1382">
        <v>3</v>
      </c>
      <c r="AH1382">
        <v>1</v>
      </c>
      <c r="AI1382">
        <v>2</v>
      </c>
    </row>
    <row r="1383" spans="1:35">
      <c r="A1383">
        <v>53</v>
      </c>
      <c r="B1383" t="str">
        <f t="shared" si="21"/>
        <v>Senior</v>
      </c>
      <c r="C1383">
        <v>0</v>
      </c>
      <c r="D1383" t="s">
        <v>55</v>
      </c>
      <c r="E1383">
        <v>661</v>
      </c>
      <c r="F1383" t="s">
        <v>45</v>
      </c>
      <c r="G1383">
        <v>1</v>
      </c>
      <c r="H1383" t="str" cm="1">
        <f t="array" ref="H1383">_xlfn.IFS(G1383&gt;15,"Long Commute",G1383&gt;5,"Moderate",G1383&lt;=5,"Near Office")</f>
        <v>Near Office</v>
      </c>
      <c r="I1383" t="s">
        <v>83</v>
      </c>
      <c r="J1383" t="s">
        <v>51</v>
      </c>
      <c r="K1383">
        <v>1</v>
      </c>
      <c r="L1383" t="s">
        <v>39</v>
      </c>
      <c r="M1383">
        <v>60</v>
      </c>
      <c r="N1383">
        <v>2</v>
      </c>
      <c r="O1383">
        <v>4</v>
      </c>
      <c r="P1383" t="s">
        <v>53</v>
      </c>
      <c r="Q1383" t="s">
        <v>73</v>
      </c>
      <c r="R1383" t="s">
        <v>48</v>
      </c>
      <c r="S1383">
        <v>12965</v>
      </c>
      <c r="T1383" t="str" cm="1">
        <f t="array" ref="T1383">_xlfn.IFS(S1383&gt;=10000,"High (&gt;10k)",S1383&gt;=5000,"Medium (5k-10k)",S1383&lt;5000,"Low (&lt;5k)")</f>
        <v>High (&gt;10k)</v>
      </c>
      <c r="U1383">
        <v>22308</v>
      </c>
      <c r="V1383">
        <v>4</v>
      </c>
      <c r="W1383" t="s">
        <v>35</v>
      </c>
      <c r="X1383">
        <v>20</v>
      </c>
      <c r="Y1383">
        <v>4</v>
      </c>
      <c r="Z1383">
        <v>4</v>
      </c>
      <c r="AA1383">
        <v>3</v>
      </c>
      <c r="AB1383">
        <v>27</v>
      </c>
      <c r="AC1383">
        <v>2</v>
      </c>
      <c r="AD1383" t="s">
        <v>81</v>
      </c>
      <c r="AE1383">
        <v>3</v>
      </c>
      <c r="AF1383" t="str" cm="1">
        <f t="array" ref="AF1383">_xlfn.IFS(AE1383&gt;=10,"Veteran (10y+)",AE1383&gt;=3,"Established (3-10y)",AE1383&lt;3,"New Hire (&lt;3y)")</f>
        <v>Established (3-10y)</v>
      </c>
      <c r="AG1383">
        <v>2</v>
      </c>
      <c r="AH1383">
        <v>0</v>
      </c>
      <c r="AI1383">
        <v>2</v>
      </c>
    </row>
    <row r="1384" spans="1:35">
      <c r="A1384">
        <v>53</v>
      </c>
      <c r="B1384" t="str">
        <f t="shared" si="21"/>
        <v>Senior</v>
      </c>
      <c r="C1384">
        <v>1</v>
      </c>
      <c r="D1384" t="s">
        <v>36</v>
      </c>
      <c r="E1384">
        <v>1168</v>
      </c>
      <c r="F1384" t="s">
        <v>37</v>
      </c>
      <c r="G1384">
        <v>24</v>
      </c>
      <c r="H1384" t="str" cm="1">
        <f t="array" ref="H1384">_xlfn.IFS(G1384&gt;15,"Long Commute",G1384&gt;5,"Moderate",G1384&lt;=5,"Near Office")</f>
        <v>Long Commute</v>
      </c>
      <c r="I1384" t="s">
        <v>83</v>
      </c>
      <c r="J1384" t="s">
        <v>38</v>
      </c>
      <c r="K1384">
        <v>1</v>
      </c>
      <c r="L1384" t="s">
        <v>46</v>
      </c>
      <c r="M1384">
        <v>66</v>
      </c>
      <c r="N1384">
        <v>3</v>
      </c>
      <c r="O1384">
        <v>3</v>
      </c>
      <c r="P1384" t="s">
        <v>40</v>
      </c>
      <c r="Q1384" t="s">
        <v>82</v>
      </c>
      <c r="R1384" t="s">
        <v>41</v>
      </c>
      <c r="S1384">
        <v>10448</v>
      </c>
      <c r="T1384" t="str" cm="1">
        <f t="array" ref="T1384">_xlfn.IFS(S1384&gt;=10000,"High (&gt;10k)",S1384&gt;=5000,"Medium (5k-10k)",S1384&lt;5000,"Low (&lt;5k)")</f>
        <v>High (&gt;10k)</v>
      </c>
      <c r="U1384">
        <v>5843</v>
      </c>
      <c r="V1384">
        <v>6</v>
      </c>
      <c r="W1384" t="s">
        <v>35</v>
      </c>
      <c r="X1384">
        <v>13</v>
      </c>
      <c r="Y1384">
        <v>3</v>
      </c>
      <c r="Z1384">
        <v>2</v>
      </c>
      <c r="AA1384">
        <v>0</v>
      </c>
      <c r="AB1384">
        <v>15</v>
      </c>
      <c r="AC1384">
        <v>2</v>
      </c>
      <c r="AD1384" t="s">
        <v>81</v>
      </c>
      <c r="AE1384">
        <v>2</v>
      </c>
      <c r="AF1384" t="str" cm="1">
        <f t="array" ref="AF1384">_xlfn.IFS(AE1384&gt;=10,"Veteran (10y+)",AE1384&gt;=3,"Established (3-10y)",AE1384&lt;3,"New Hire (&lt;3y)")</f>
        <v>New Hire (&lt;3y)</v>
      </c>
      <c r="AG1384">
        <v>2</v>
      </c>
      <c r="AH1384">
        <v>2</v>
      </c>
      <c r="AI1384">
        <v>2</v>
      </c>
    </row>
    <row r="1385" spans="1:35">
      <c r="A1385">
        <v>54</v>
      </c>
      <c r="B1385" t="str">
        <f t="shared" si="21"/>
        <v>Senior</v>
      </c>
      <c r="C1385">
        <v>0</v>
      </c>
      <c r="D1385" t="s">
        <v>36</v>
      </c>
      <c r="E1385">
        <v>1217</v>
      </c>
      <c r="F1385" t="s">
        <v>45</v>
      </c>
      <c r="G1385">
        <v>2</v>
      </c>
      <c r="H1385" t="str" cm="1">
        <f t="array" ref="H1385">_xlfn.IFS(G1385&gt;15,"Long Commute",G1385&gt;5,"Moderate",G1385&lt;=5,"Near Office")</f>
        <v>Near Office</v>
      </c>
      <c r="I1385" t="s">
        <v>83</v>
      </c>
      <c r="J1385" t="s">
        <v>60</v>
      </c>
      <c r="K1385">
        <v>1</v>
      </c>
      <c r="L1385" t="s">
        <v>39</v>
      </c>
      <c r="M1385">
        <v>60</v>
      </c>
      <c r="N1385">
        <v>3</v>
      </c>
      <c r="O1385">
        <v>3</v>
      </c>
      <c r="P1385" t="s">
        <v>58</v>
      </c>
      <c r="Q1385" t="s">
        <v>73</v>
      </c>
      <c r="R1385" t="s">
        <v>48</v>
      </c>
      <c r="S1385">
        <v>13549</v>
      </c>
      <c r="T1385" t="str" cm="1">
        <f t="array" ref="T1385">_xlfn.IFS(S1385&gt;=10000,"High (&gt;10k)",S1385&gt;=5000,"Medium (5k-10k)",S1385&lt;5000,"Low (&lt;5k)")</f>
        <v>High (&gt;10k)</v>
      </c>
      <c r="U1385">
        <v>24001</v>
      </c>
      <c r="V1385">
        <v>9</v>
      </c>
      <c r="W1385" t="s">
        <v>43</v>
      </c>
      <c r="X1385">
        <v>12</v>
      </c>
      <c r="Y1385">
        <v>3</v>
      </c>
      <c r="Z1385">
        <v>1</v>
      </c>
      <c r="AA1385">
        <v>1</v>
      </c>
      <c r="AB1385">
        <v>16</v>
      </c>
      <c r="AC1385">
        <v>5</v>
      </c>
      <c r="AD1385" t="s">
        <v>80</v>
      </c>
      <c r="AE1385">
        <v>4</v>
      </c>
      <c r="AF1385" t="str" cm="1">
        <f t="array" ref="AF1385">_xlfn.IFS(AE1385&gt;=10,"Veteran (10y+)",AE1385&gt;=3,"Established (3-10y)",AE1385&lt;3,"New Hire (&lt;3y)")</f>
        <v>Established (3-10y)</v>
      </c>
      <c r="AG1385">
        <v>3</v>
      </c>
      <c r="AH1385">
        <v>0</v>
      </c>
      <c r="AI1385">
        <v>3</v>
      </c>
    </row>
    <row r="1386" spans="1:35">
      <c r="A1386">
        <v>54</v>
      </c>
      <c r="B1386" t="str">
        <f t="shared" si="21"/>
        <v>Senior</v>
      </c>
      <c r="C1386">
        <v>0</v>
      </c>
      <c r="D1386" t="s">
        <v>55</v>
      </c>
      <c r="E1386">
        <v>142</v>
      </c>
      <c r="F1386" t="s">
        <v>61</v>
      </c>
      <c r="G1386">
        <v>26</v>
      </c>
      <c r="H1386" t="str" cm="1">
        <f t="array" ref="H1386">_xlfn.IFS(G1386&gt;15,"Long Commute",G1386&gt;5,"Moderate",G1386&lt;=5,"Near Office")</f>
        <v>Long Commute</v>
      </c>
      <c r="I1386" t="s">
        <v>72</v>
      </c>
      <c r="J1386" t="s">
        <v>61</v>
      </c>
      <c r="K1386">
        <v>4</v>
      </c>
      <c r="L1386" t="s">
        <v>39</v>
      </c>
      <c r="M1386">
        <v>30</v>
      </c>
      <c r="N1386">
        <v>4</v>
      </c>
      <c r="O1386">
        <v>4</v>
      </c>
      <c r="P1386" t="s">
        <v>56</v>
      </c>
      <c r="Q1386" t="s">
        <v>77</v>
      </c>
      <c r="R1386" t="s">
        <v>41</v>
      </c>
      <c r="S1386">
        <v>17328</v>
      </c>
      <c r="T1386" t="str" cm="1">
        <f t="array" ref="T1386">_xlfn.IFS(S1386&gt;=10000,"High (&gt;10k)",S1386&gt;=5000,"Medium (5k-10k)",S1386&lt;5000,"Low (&lt;5k)")</f>
        <v>High (&gt;10k)</v>
      </c>
      <c r="U1386">
        <v>13871</v>
      </c>
      <c r="V1386">
        <v>2</v>
      </c>
      <c r="W1386" t="s">
        <v>35</v>
      </c>
      <c r="X1386">
        <v>12</v>
      </c>
      <c r="Y1386">
        <v>3</v>
      </c>
      <c r="Z1386">
        <v>3</v>
      </c>
      <c r="AA1386">
        <v>0</v>
      </c>
      <c r="AB1386">
        <v>23</v>
      </c>
      <c r="AC1386">
        <v>3</v>
      </c>
      <c r="AD1386" t="s">
        <v>74</v>
      </c>
      <c r="AE1386">
        <v>5</v>
      </c>
      <c r="AF1386" t="str" cm="1">
        <f t="array" ref="AF1386">_xlfn.IFS(AE1386&gt;=10,"Veteran (10y+)",AE1386&gt;=3,"Established (3-10y)",AE1386&lt;3,"New Hire (&lt;3y)")</f>
        <v>Established (3-10y)</v>
      </c>
      <c r="AG1386">
        <v>3</v>
      </c>
      <c r="AH1386">
        <v>4</v>
      </c>
      <c r="AI1386">
        <v>4</v>
      </c>
    </row>
    <row r="1387" spans="1:35">
      <c r="A1387">
        <v>54</v>
      </c>
      <c r="B1387" t="str">
        <f t="shared" si="21"/>
        <v>Senior</v>
      </c>
      <c r="C1387">
        <v>0</v>
      </c>
      <c r="D1387" t="s">
        <v>36</v>
      </c>
      <c r="E1387">
        <v>1147</v>
      </c>
      <c r="F1387" t="s">
        <v>37</v>
      </c>
      <c r="G1387">
        <v>3</v>
      </c>
      <c r="H1387" t="str" cm="1">
        <f t="array" ref="H1387">_xlfn.IFS(G1387&gt;15,"Long Commute",G1387&gt;5,"Moderate",G1387&lt;=5,"Near Office")</f>
        <v>Near Office</v>
      </c>
      <c r="I1387" t="s">
        <v>72</v>
      </c>
      <c r="J1387" t="s">
        <v>59</v>
      </c>
      <c r="K1387">
        <v>4</v>
      </c>
      <c r="L1387" t="s">
        <v>39</v>
      </c>
      <c r="M1387">
        <v>52</v>
      </c>
      <c r="N1387">
        <v>3</v>
      </c>
      <c r="O1387">
        <v>2</v>
      </c>
      <c r="P1387" t="s">
        <v>40</v>
      </c>
      <c r="Q1387" t="s">
        <v>82</v>
      </c>
      <c r="R1387" t="s">
        <v>48</v>
      </c>
      <c r="S1387">
        <v>5940</v>
      </c>
      <c r="T1387" t="str" cm="1">
        <f t="array" ref="T1387">_xlfn.IFS(S1387&gt;=10000,"High (&gt;10k)",S1387&gt;=5000,"Medium (5k-10k)",S1387&lt;5000,"Low (&lt;5k)")</f>
        <v>Medium (5k-10k)</v>
      </c>
      <c r="U1387">
        <v>17011</v>
      </c>
      <c r="V1387">
        <v>2</v>
      </c>
      <c r="W1387" t="s">
        <v>43</v>
      </c>
      <c r="X1387">
        <v>14</v>
      </c>
      <c r="Y1387">
        <v>3</v>
      </c>
      <c r="Z1387">
        <v>4</v>
      </c>
      <c r="AA1387">
        <v>1</v>
      </c>
      <c r="AB1387">
        <v>16</v>
      </c>
      <c r="AC1387">
        <v>4</v>
      </c>
      <c r="AD1387" t="s">
        <v>74</v>
      </c>
      <c r="AE1387">
        <v>6</v>
      </c>
      <c r="AF1387" t="str" cm="1">
        <f t="array" ref="AF1387">_xlfn.IFS(AE1387&gt;=10,"Veteran (10y+)",AE1387&gt;=3,"Established (3-10y)",AE1387&lt;3,"New Hire (&lt;3y)")</f>
        <v>Established (3-10y)</v>
      </c>
      <c r="AG1387">
        <v>2</v>
      </c>
      <c r="AH1387">
        <v>0</v>
      </c>
      <c r="AI1387">
        <v>5</v>
      </c>
    </row>
    <row r="1388" spans="1:35">
      <c r="A1388">
        <v>54</v>
      </c>
      <c r="B1388" t="str">
        <f t="shared" si="21"/>
        <v>Senior</v>
      </c>
      <c r="C1388">
        <v>0</v>
      </c>
      <c r="D1388" t="s">
        <v>44</v>
      </c>
      <c r="E1388">
        <v>928</v>
      </c>
      <c r="F1388" t="s">
        <v>45</v>
      </c>
      <c r="G1388">
        <v>20</v>
      </c>
      <c r="H1388" t="str" cm="1">
        <f t="array" ref="H1388">_xlfn.IFS(G1388&gt;15,"Long Commute",G1388&gt;5,"Moderate",G1388&lt;=5,"Near Office")</f>
        <v>Long Commute</v>
      </c>
      <c r="I1388" t="s">
        <v>83</v>
      </c>
      <c r="J1388" t="s">
        <v>38</v>
      </c>
      <c r="K1388">
        <v>4</v>
      </c>
      <c r="L1388" t="s">
        <v>39</v>
      </c>
      <c r="M1388">
        <v>31</v>
      </c>
      <c r="N1388">
        <v>3</v>
      </c>
      <c r="O1388">
        <v>2</v>
      </c>
      <c r="P1388" t="s">
        <v>47</v>
      </c>
      <c r="Q1388" t="s">
        <v>73</v>
      </c>
      <c r="R1388" t="s">
        <v>41</v>
      </c>
      <c r="S1388">
        <v>4869</v>
      </c>
      <c r="T1388" t="str" cm="1">
        <f t="array" ref="T1388">_xlfn.IFS(S1388&gt;=10000,"High (&gt;10k)",S1388&gt;=5000,"Medium (5k-10k)",S1388&lt;5000,"Low (&lt;5k)")</f>
        <v>Low (&lt;5k)</v>
      </c>
      <c r="U1388">
        <v>16885</v>
      </c>
      <c r="V1388">
        <v>3</v>
      </c>
      <c r="W1388" t="s">
        <v>43</v>
      </c>
      <c r="X1388">
        <v>12</v>
      </c>
      <c r="Y1388">
        <v>3</v>
      </c>
      <c r="Z1388">
        <v>4</v>
      </c>
      <c r="AA1388">
        <v>0</v>
      </c>
      <c r="AB1388">
        <v>20</v>
      </c>
      <c r="AC1388">
        <v>4</v>
      </c>
      <c r="AD1388" t="s">
        <v>81</v>
      </c>
      <c r="AE1388">
        <v>4</v>
      </c>
      <c r="AF1388" t="str" cm="1">
        <f t="array" ref="AF1388">_xlfn.IFS(AE1388&gt;=10,"Veteran (10y+)",AE1388&gt;=3,"Established (3-10y)",AE1388&lt;3,"New Hire (&lt;3y)")</f>
        <v>Established (3-10y)</v>
      </c>
      <c r="AG1388">
        <v>3</v>
      </c>
      <c r="AH1388">
        <v>0</v>
      </c>
      <c r="AI1388">
        <v>3</v>
      </c>
    </row>
    <row r="1389" spans="1:35">
      <c r="A1389">
        <v>54</v>
      </c>
      <c r="B1389" t="str">
        <f t="shared" si="21"/>
        <v>Senior</v>
      </c>
      <c r="C1389">
        <v>0</v>
      </c>
      <c r="D1389" t="s">
        <v>36</v>
      </c>
      <c r="E1389">
        <v>821</v>
      </c>
      <c r="F1389" t="s">
        <v>45</v>
      </c>
      <c r="G1389">
        <v>5</v>
      </c>
      <c r="H1389" t="str" cm="1">
        <f t="array" ref="H1389">_xlfn.IFS(G1389&gt;15,"Long Commute",G1389&gt;5,"Moderate",G1389&lt;=5,"Near Office")</f>
        <v>Near Office</v>
      </c>
      <c r="I1389" t="s">
        <v>76</v>
      </c>
      <c r="J1389" t="s">
        <v>51</v>
      </c>
      <c r="K1389">
        <v>1</v>
      </c>
      <c r="L1389" t="s">
        <v>46</v>
      </c>
      <c r="M1389">
        <v>86</v>
      </c>
      <c r="N1389">
        <v>3</v>
      </c>
      <c r="O1389">
        <v>5</v>
      </c>
      <c r="P1389" t="s">
        <v>58</v>
      </c>
      <c r="Q1389" t="s">
        <v>82</v>
      </c>
      <c r="R1389" t="s">
        <v>48</v>
      </c>
      <c r="S1389">
        <v>19406</v>
      </c>
      <c r="T1389" t="str" cm="1">
        <f t="array" ref="T1389">_xlfn.IFS(S1389&gt;=10000,"High (&gt;10k)",S1389&gt;=5000,"Medium (5k-10k)",S1389&lt;5000,"Low (&lt;5k)")</f>
        <v>High (&gt;10k)</v>
      </c>
      <c r="U1389">
        <v>8509</v>
      </c>
      <c r="V1389">
        <v>4</v>
      </c>
      <c r="W1389" t="s">
        <v>43</v>
      </c>
      <c r="X1389">
        <v>11</v>
      </c>
      <c r="Y1389">
        <v>3</v>
      </c>
      <c r="Z1389">
        <v>3</v>
      </c>
      <c r="AA1389">
        <v>1</v>
      </c>
      <c r="AB1389">
        <v>24</v>
      </c>
      <c r="AC1389">
        <v>4</v>
      </c>
      <c r="AD1389" t="s">
        <v>81</v>
      </c>
      <c r="AE1389">
        <v>4</v>
      </c>
      <c r="AF1389" t="str" cm="1">
        <f t="array" ref="AF1389">_xlfn.IFS(AE1389&gt;=10,"Veteran (10y+)",AE1389&gt;=3,"Established (3-10y)",AE1389&lt;3,"New Hire (&lt;3y)")</f>
        <v>Established (3-10y)</v>
      </c>
      <c r="AG1389">
        <v>2</v>
      </c>
      <c r="AH1389">
        <v>1</v>
      </c>
      <c r="AI1389">
        <v>2</v>
      </c>
    </row>
    <row r="1390" spans="1:35">
      <c r="A1390">
        <v>54</v>
      </c>
      <c r="B1390" t="str">
        <f t="shared" si="21"/>
        <v>Senior</v>
      </c>
      <c r="C1390">
        <v>0</v>
      </c>
      <c r="D1390" t="s">
        <v>36</v>
      </c>
      <c r="E1390">
        <v>548</v>
      </c>
      <c r="F1390" t="s">
        <v>45</v>
      </c>
      <c r="G1390">
        <v>8</v>
      </c>
      <c r="H1390" t="str" cm="1">
        <f t="array" ref="H1390">_xlfn.IFS(G1390&gt;15,"Long Commute",G1390&gt;5,"Moderate",G1390&lt;=5,"Near Office")</f>
        <v>Moderate</v>
      </c>
      <c r="I1390" t="s">
        <v>83</v>
      </c>
      <c r="J1390" t="s">
        <v>38</v>
      </c>
      <c r="K1390">
        <v>3</v>
      </c>
      <c r="L1390" t="s">
        <v>39</v>
      </c>
      <c r="M1390">
        <v>42</v>
      </c>
      <c r="N1390">
        <v>3</v>
      </c>
      <c r="O1390">
        <v>2</v>
      </c>
      <c r="P1390" t="s">
        <v>50</v>
      </c>
      <c r="Q1390" t="s">
        <v>73</v>
      </c>
      <c r="R1390" t="s">
        <v>41</v>
      </c>
      <c r="S1390">
        <v>3780</v>
      </c>
      <c r="T1390" t="str" cm="1">
        <f t="array" ref="T1390">_xlfn.IFS(S1390&gt;=10000,"High (&gt;10k)",S1390&gt;=5000,"Medium (5k-10k)",S1390&lt;5000,"Low (&lt;5k)")</f>
        <v>Low (&lt;5k)</v>
      </c>
      <c r="U1390">
        <v>23428</v>
      </c>
      <c r="V1390">
        <v>7</v>
      </c>
      <c r="W1390" t="s">
        <v>43</v>
      </c>
      <c r="X1390">
        <v>11</v>
      </c>
      <c r="Y1390">
        <v>3</v>
      </c>
      <c r="Z1390">
        <v>3</v>
      </c>
      <c r="AA1390">
        <v>0</v>
      </c>
      <c r="AB1390">
        <v>19</v>
      </c>
      <c r="AC1390">
        <v>3</v>
      </c>
      <c r="AD1390" t="s">
        <v>74</v>
      </c>
      <c r="AE1390">
        <v>1</v>
      </c>
      <c r="AF1390" t="str" cm="1">
        <f t="array" ref="AF1390">_xlfn.IFS(AE1390&gt;=10,"Veteran (10y+)",AE1390&gt;=3,"Established (3-10y)",AE1390&lt;3,"New Hire (&lt;3y)")</f>
        <v>New Hire (&lt;3y)</v>
      </c>
      <c r="AG1390">
        <v>0</v>
      </c>
      <c r="AH1390">
        <v>0</v>
      </c>
      <c r="AI1390">
        <v>0</v>
      </c>
    </row>
    <row r="1391" spans="1:35">
      <c r="A1391">
        <v>54</v>
      </c>
      <c r="B1391" t="str">
        <f t="shared" si="21"/>
        <v>Senior</v>
      </c>
      <c r="C1391">
        <v>0</v>
      </c>
      <c r="D1391" t="s">
        <v>36</v>
      </c>
      <c r="E1391">
        <v>397</v>
      </c>
      <c r="F1391" t="s">
        <v>61</v>
      </c>
      <c r="G1391">
        <v>19</v>
      </c>
      <c r="H1391" t="str" cm="1">
        <f t="array" ref="H1391">_xlfn.IFS(G1391&gt;15,"Long Commute",G1391&gt;5,"Moderate",G1391&lt;=5,"Near Office")</f>
        <v>Long Commute</v>
      </c>
      <c r="I1391" t="s">
        <v>83</v>
      </c>
      <c r="J1391" t="s">
        <v>51</v>
      </c>
      <c r="K1391">
        <v>3</v>
      </c>
      <c r="L1391" t="s">
        <v>46</v>
      </c>
      <c r="M1391">
        <v>88</v>
      </c>
      <c r="N1391">
        <v>3</v>
      </c>
      <c r="O1391">
        <v>3</v>
      </c>
      <c r="P1391" t="s">
        <v>61</v>
      </c>
      <c r="Q1391" t="s">
        <v>75</v>
      </c>
      <c r="R1391" t="s">
        <v>48</v>
      </c>
      <c r="S1391">
        <v>10725</v>
      </c>
      <c r="T1391" t="str" cm="1">
        <f t="array" ref="T1391">_xlfn.IFS(S1391&gt;=10000,"High (&gt;10k)",S1391&gt;=5000,"Medium (5k-10k)",S1391&lt;5000,"Low (&lt;5k)")</f>
        <v>High (&gt;10k)</v>
      </c>
      <c r="U1391">
        <v>6729</v>
      </c>
      <c r="V1391">
        <v>2</v>
      </c>
      <c r="W1391" t="s">
        <v>43</v>
      </c>
      <c r="X1391">
        <v>15</v>
      </c>
      <c r="Y1391">
        <v>3</v>
      </c>
      <c r="Z1391">
        <v>3</v>
      </c>
      <c r="AA1391">
        <v>1</v>
      </c>
      <c r="AB1391">
        <v>16</v>
      </c>
      <c r="AC1391">
        <v>1</v>
      </c>
      <c r="AD1391" t="s">
        <v>79</v>
      </c>
      <c r="AE1391">
        <v>9</v>
      </c>
      <c r="AF1391" t="str" cm="1">
        <f t="array" ref="AF1391">_xlfn.IFS(AE1391&gt;=10,"Veteran (10y+)",AE1391&gt;=3,"Established (3-10y)",AE1391&lt;3,"New Hire (&lt;3y)")</f>
        <v>Established (3-10y)</v>
      </c>
      <c r="AG1391">
        <v>7</v>
      </c>
      <c r="AH1391">
        <v>7</v>
      </c>
      <c r="AI1391">
        <v>1</v>
      </c>
    </row>
    <row r="1392" spans="1:35">
      <c r="A1392">
        <v>54</v>
      </c>
      <c r="B1392" t="str">
        <f t="shared" si="21"/>
        <v>Senior</v>
      </c>
      <c r="C1392">
        <v>0</v>
      </c>
      <c r="D1392" t="s">
        <v>36</v>
      </c>
      <c r="E1392">
        <v>376</v>
      </c>
      <c r="F1392" t="s">
        <v>45</v>
      </c>
      <c r="G1392">
        <v>19</v>
      </c>
      <c r="H1392" t="str" cm="1">
        <f t="array" ref="H1392">_xlfn.IFS(G1392&gt;15,"Long Commute",G1392&gt;5,"Moderate",G1392&lt;=5,"Near Office")</f>
        <v>Long Commute</v>
      </c>
      <c r="I1392" t="s">
        <v>83</v>
      </c>
      <c r="J1392" t="s">
        <v>51</v>
      </c>
      <c r="K1392">
        <v>4</v>
      </c>
      <c r="L1392" t="s">
        <v>39</v>
      </c>
      <c r="M1392">
        <v>95</v>
      </c>
      <c r="N1392">
        <v>3</v>
      </c>
      <c r="O1392">
        <v>2</v>
      </c>
      <c r="P1392" t="s">
        <v>53</v>
      </c>
      <c r="Q1392" t="s">
        <v>82</v>
      </c>
      <c r="R1392" t="s">
        <v>52</v>
      </c>
      <c r="S1392">
        <v>5485</v>
      </c>
      <c r="T1392" t="str" cm="1">
        <f t="array" ref="T1392">_xlfn.IFS(S1392&gt;=10000,"High (&gt;10k)",S1392&gt;=5000,"Medium (5k-10k)",S1392&lt;5000,"Low (&lt;5k)")</f>
        <v>Medium (5k-10k)</v>
      </c>
      <c r="U1392">
        <v>22670</v>
      </c>
      <c r="V1392">
        <v>9</v>
      </c>
      <c r="W1392" t="s">
        <v>35</v>
      </c>
      <c r="X1392">
        <v>11</v>
      </c>
      <c r="Y1392">
        <v>3</v>
      </c>
      <c r="Z1392">
        <v>2</v>
      </c>
      <c r="AA1392">
        <v>2</v>
      </c>
      <c r="AB1392">
        <v>9</v>
      </c>
      <c r="AC1392">
        <v>4</v>
      </c>
      <c r="AD1392" t="s">
        <v>74</v>
      </c>
      <c r="AE1392">
        <v>5</v>
      </c>
      <c r="AF1392" t="str" cm="1">
        <f t="array" ref="AF1392">_xlfn.IFS(AE1392&gt;=10,"Veteran (10y+)",AE1392&gt;=3,"Established (3-10y)",AE1392&lt;3,"New Hire (&lt;3y)")</f>
        <v>Established (3-10y)</v>
      </c>
      <c r="AG1392">
        <v>3</v>
      </c>
      <c r="AH1392">
        <v>1</v>
      </c>
      <c r="AI1392">
        <v>4</v>
      </c>
    </row>
    <row r="1393" spans="1:35">
      <c r="A1393">
        <v>54</v>
      </c>
      <c r="B1393" t="str">
        <f t="shared" si="21"/>
        <v>Senior</v>
      </c>
      <c r="C1393">
        <v>0</v>
      </c>
      <c r="D1393" t="s">
        <v>36</v>
      </c>
      <c r="E1393">
        <v>1441</v>
      </c>
      <c r="F1393" t="s">
        <v>45</v>
      </c>
      <c r="G1393">
        <v>17</v>
      </c>
      <c r="H1393" t="str" cm="1">
        <f t="array" ref="H1393">_xlfn.IFS(G1393&gt;15,"Long Commute",G1393&gt;5,"Moderate",G1393&lt;=5,"Near Office")</f>
        <v>Long Commute</v>
      </c>
      <c r="I1393" t="s">
        <v>72</v>
      </c>
      <c r="J1393" t="s">
        <v>60</v>
      </c>
      <c r="K1393">
        <v>3</v>
      </c>
      <c r="L1393" t="s">
        <v>39</v>
      </c>
      <c r="M1393">
        <v>56</v>
      </c>
      <c r="N1393">
        <v>3</v>
      </c>
      <c r="O1393">
        <v>3</v>
      </c>
      <c r="P1393" t="s">
        <v>53</v>
      </c>
      <c r="Q1393" t="s">
        <v>73</v>
      </c>
      <c r="R1393" t="s">
        <v>48</v>
      </c>
      <c r="S1393">
        <v>10739</v>
      </c>
      <c r="T1393" t="str" cm="1">
        <f t="array" ref="T1393">_xlfn.IFS(S1393&gt;=10000,"High (&gt;10k)",S1393&gt;=5000,"Medium (5k-10k)",S1393&lt;5000,"Low (&lt;5k)")</f>
        <v>High (&gt;10k)</v>
      </c>
      <c r="U1393">
        <v>13943</v>
      </c>
      <c r="V1393">
        <v>8</v>
      </c>
      <c r="W1393" t="s">
        <v>43</v>
      </c>
      <c r="X1393">
        <v>11</v>
      </c>
      <c r="Y1393">
        <v>3</v>
      </c>
      <c r="Z1393">
        <v>3</v>
      </c>
      <c r="AA1393">
        <v>1</v>
      </c>
      <c r="AB1393">
        <v>22</v>
      </c>
      <c r="AC1393">
        <v>2</v>
      </c>
      <c r="AD1393" t="s">
        <v>74</v>
      </c>
      <c r="AE1393">
        <v>10</v>
      </c>
      <c r="AF1393" t="str" cm="1">
        <f t="array" ref="AF1393">_xlfn.IFS(AE1393&gt;=10,"Veteran (10y+)",AE1393&gt;=3,"Established (3-10y)",AE1393&lt;3,"New Hire (&lt;3y)")</f>
        <v>Veteran (10y+)</v>
      </c>
      <c r="AG1393">
        <v>7</v>
      </c>
      <c r="AH1393">
        <v>0</v>
      </c>
      <c r="AI1393">
        <v>8</v>
      </c>
    </row>
    <row r="1394" spans="1:35">
      <c r="A1394">
        <v>54</v>
      </c>
      <c r="B1394" t="str">
        <f t="shared" si="21"/>
        <v>Senior</v>
      </c>
      <c r="C1394">
        <v>0</v>
      </c>
      <c r="D1394" t="s">
        <v>36</v>
      </c>
      <c r="E1394">
        <v>1082</v>
      </c>
      <c r="F1394" t="s">
        <v>37</v>
      </c>
      <c r="G1394">
        <v>2</v>
      </c>
      <c r="H1394" t="str" cm="1">
        <f t="array" ref="H1394">_xlfn.IFS(G1394&gt;15,"Long Commute",G1394&gt;5,"Moderate",G1394&lt;=5,"Near Office")</f>
        <v>Near Office</v>
      </c>
      <c r="I1394" t="s">
        <v>83</v>
      </c>
      <c r="J1394" t="s">
        <v>38</v>
      </c>
      <c r="K1394">
        <v>3</v>
      </c>
      <c r="L1394" t="s">
        <v>39</v>
      </c>
      <c r="M1394">
        <v>41</v>
      </c>
      <c r="N1394">
        <v>2</v>
      </c>
      <c r="O1394">
        <v>3</v>
      </c>
      <c r="P1394" t="s">
        <v>40</v>
      </c>
      <c r="Q1394" t="s">
        <v>73</v>
      </c>
      <c r="R1394" t="s">
        <v>48</v>
      </c>
      <c r="S1394">
        <v>10686</v>
      </c>
      <c r="T1394" t="str" cm="1">
        <f t="array" ref="T1394">_xlfn.IFS(S1394&gt;=10000,"High (&gt;10k)",S1394&gt;=5000,"Medium (5k-10k)",S1394&lt;5000,"Low (&lt;5k)")</f>
        <v>High (&gt;10k)</v>
      </c>
      <c r="U1394">
        <v>8392</v>
      </c>
      <c r="V1394">
        <v>6</v>
      </c>
      <c r="W1394" t="s">
        <v>43</v>
      </c>
      <c r="X1394">
        <v>11</v>
      </c>
      <c r="Y1394">
        <v>3</v>
      </c>
      <c r="Z1394">
        <v>2</v>
      </c>
      <c r="AA1394">
        <v>1</v>
      </c>
      <c r="AB1394">
        <v>13</v>
      </c>
      <c r="AC1394">
        <v>4</v>
      </c>
      <c r="AD1394" t="s">
        <v>74</v>
      </c>
      <c r="AE1394">
        <v>9</v>
      </c>
      <c r="AF1394" t="str" cm="1">
        <f t="array" ref="AF1394">_xlfn.IFS(AE1394&gt;=10,"Veteran (10y+)",AE1394&gt;=3,"Established (3-10y)",AE1394&lt;3,"New Hire (&lt;3y)")</f>
        <v>Established (3-10y)</v>
      </c>
      <c r="AG1394">
        <v>4</v>
      </c>
      <c r="AH1394">
        <v>7</v>
      </c>
      <c r="AI1394">
        <v>0</v>
      </c>
    </row>
    <row r="1395" spans="1:35">
      <c r="A1395">
        <v>54</v>
      </c>
      <c r="B1395" t="str">
        <f t="shared" si="21"/>
        <v>Senior</v>
      </c>
      <c r="C1395">
        <v>0</v>
      </c>
      <c r="D1395" t="s">
        <v>44</v>
      </c>
      <c r="E1395">
        <v>966</v>
      </c>
      <c r="F1395" t="s">
        <v>45</v>
      </c>
      <c r="G1395">
        <v>1</v>
      </c>
      <c r="H1395" t="str" cm="1">
        <f t="array" ref="H1395">_xlfn.IFS(G1395&gt;15,"Long Commute",G1395&gt;5,"Moderate",G1395&lt;=5,"Near Office")</f>
        <v>Near Office</v>
      </c>
      <c r="I1395" t="s">
        <v>83</v>
      </c>
      <c r="J1395" t="s">
        <v>38</v>
      </c>
      <c r="K1395">
        <v>4</v>
      </c>
      <c r="L1395" t="s">
        <v>39</v>
      </c>
      <c r="M1395">
        <v>53</v>
      </c>
      <c r="N1395">
        <v>3</v>
      </c>
      <c r="O1395">
        <v>3</v>
      </c>
      <c r="P1395" t="s">
        <v>53</v>
      </c>
      <c r="Q1395" t="s">
        <v>73</v>
      </c>
      <c r="R1395" t="s">
        <v>52</v>
      </c>
      <c r="S1395">
        <v>10502</v>
      </c>
      <c r="T1395" t="str" cm="1">
        <f t="array" ref="T1395">_xlfn.IFS(S1395&gt;=10000,"High (&gt;10k)",S1395&gt;=5000,"Medium (5k-10k)",S1395&lt;5000,"Low (&lt;5k)")</f>
        <v>High (&gt;10k)</v>
      </c>
      <c r="U1395">
        <v>9659</v>
      </c>
      <c r="V1395">
        <v>7</v>
      </c>
      <c r="W1395" t="s">
        <v>43</v>
      </c>
      <c r="X1395">
        <v>17</v>
      </c>
      <c r="Y1395">
        <v>3</v>
      </c>
      <c r="Z1395">
        <v>1</v>
      </c>
      <c r="AA1395">
        <v>1</v>
      </c>
      <c r="AB1395">
        <v>33</v>
      </c>
      <c r="AC1395">
        <v>2</v>
      </c>
      <c r="AD1395" t="s">
        <v>80</v>
      </c>
      <c r="AE1395">
        <v>5</v>
      </c>
      <c r="AF1395" t="str" cm="1">
        <f t="array" ref="AF1395">_xlfn.IFS(AE1395&gt;=10,"Veteran (10y+)",AE1395&gt;=3,"Established (3-10y)",AE1395&lt;3,"New Hire (&lt;3y)")</f>
        <v>Established (3-10y)</v>
      </c>
      <c r="AG1395">
        <v>4</v>
      </c>
      <c r="AH1395">
        <v>1</v>
      </c>
      <c r="AI1395">
        <v>4</v>
      </c>
    </row>
    <row r="1396" spans="1:35">
      <c r="A1396">
        <v>54</v>
      </c>
      <c r="B1396" t="str">
        <f t="shared" si="21"/>
        <v>Senior</v>
      </c>
      <c r="C1396">
        <v>0</v>
      </c>
      <c r="D1396" t="s">
        <v>36</v>
      </c>
      <c r="E1396">
        <v>685</v>
      </c>
      <c r="F1396" t="s">
        <v>45</v>
      </c>
      <c r="G1396">
        <v>3</v>
      </c>
      <c r="H1396" t="str" cm="1">
        <f t="array" ref="H1396">_xlfn.IFS(G1396&gt;15,"Long Commute",G1396&gt;5,"Moderate",G1396&lt;=5,"Near Office")</f>
        <v>Near Office</v>
      </c>
      <c r="I1396" t="s">
        <v>72</v>
      </c>
      <c r="J1396" t="s">
        <v>38</v>
      </c>
      <c r="K1396">
        <v>4</v>
      </c>
      <c r="L1396" t="s">
        <v>46</v>
      </c>
      <c r="M1396">
        <v>85</v>
      </c>
      <c r="N1396">
        <v>3</v>
      </c>
      <c r="O1396">
        <v>4</v>
      </c>
      <c r="P1396" t="s">
        <v>58</v>
      </c>
      <c r="Q1396" t="s">
        <v>77</v>
      </c>
      <c r="R1396" t="s">
        <v>48</v>
      </c>
      <c r="S1396">
        <v>17779</v>
      </c>
      <c r="T1396" t="str" cm="1">
        <f t="array" ref="T1396">_xlfn.IFS(S1396&gt;=10000,"High (&gt;10k)",S1396&gt;=5000,"Medium (5k-10k)",S1396&lt;5000,"Low (&lt;5k)")</f>
        <v>High (&gt;10k)</v>
      </c>
      <c r="U1396">
        <v>23474</v>
      </c>
      <c r="V1396">
        <v>3</v>
      </c>
      <c r="W1396" t="s">
        <v>43</v>
      </c>
      <c r="X1396">
        <v>14</v>
      </c>
      <c r="Y1396">
        <v>3</v>
      </c>
      <c r="Z1396">
        <v>1</v>
      </c>
      <c r="AA1396">
        <v>0</v>
      </c>
      <c r="AB1396">
        <v>36</v>
      </c>
      <c r="AC1396">
        <v>2</v>
      </c>
      <c r="AD1396" t="s">
        <v>74</v>
      </c>
      <c r="AE1396">
        <v>10</v>
      </c>
      <c r="AF1396" t="str" cm="1">
        <f t="array" ref="AF1396">_xlfn.IFS(AE1396&gt;=10,"Veteran (10y+)",AE1396&gt;=3,"Established (3-10y)",AE1396&lt;3,"New Hire (&lt;3y)")</f>
        <v>Veteran (10y+)</v>
      </c>
      <c r="AG1396">
        <v>9</v>
      </c>
      <c r="AH1396">
        <v>0</v>
      </c>
      <c r="AI1396">
        <v>9</v>
      </c>
    </row>
    <row r="1397" spans="1:35">
      <c r="A1397">
        <v>54</v>
      </c>
      <c r="B1397" t="str">
        <f t="shared" si="21"/>
        <v>Senior</v>
      </c>
      <c r="C1397">
        <v>0</v>
      </c>
      <c r="D1397" t="s">
        <v>36</v>
      </c>
      <c r="E1397">
        <v>971</v>
      </c>
      <c r="F1397" t="s">
        <v>45</v>
      </c>
      <c r="G1397">
        <v>1</v>
      </c>
      <c r="H1397" t="str" cm="1">
        <f t="array" ref="H1397">_xlfn.IFS(G1397&gt;15,"Long Commute",G1397&gt;5,"Moderate",G1397&lt;=5,"Near Office")</f>
        <v>Near Office</v>
      </c>
      <c r="I1397" t="s">
        <v>72</v>
      </c>
      <c r="J1397" t="s">
        <v>51</v>
      </c>
      <c r="K1397">
        <v>4</v>
      </c>
      <c r="L1397" t="s">
        <v>39</v>
      </c>
      <c r="M1397">
        <v>54</v>
      </c>
      <c r="N1397">
        <v>3</v>
      </c>
      <c r="O1397">
        <v>4</v>
      </c>
      <c r="P1397" t="s">
        <v>58</v>
      </c>
      <c r="Q1397" t="s">
        <v>77</v>
      </c>
      <c r="R1397" t="s">
        <v>41</v>
      </c>
      <c r="S1397">
        <v>17328</v>
      </c>
      <c r="T1397" t="str" cm="1">
        <f t="array" ref="T1397">_xlfn.IFS(S1397&gt;=10000,"High (&gt;10k)",S1397&gt;=5000,"Medium (5k-10k)",S1397&lt;5000,"Low (&lt;5k)")</f>
        <v>High (&gt;10k)</v>
      </c>
      <c r="U1397">
        <v>5652</v>
      </c>
      <c r="V1397">
        <v>6</v>
      </c>
      <c r="W1397" t="s">
        <v>43</v>
      </c>
      <c r="X1397">
        <v>19</v>
      </c>
      <c r="Y1397">
        <v>3</v>
      </c>
      <c r="Z1397">
        <v>4</v>
      </c>
      <c r="AA1397">
        <v>0</v>
      </c>
      <c r="AB1397">
        <v>29</v>
      </c>
      <c r="AC1397">
        <v>3</v>
      </c>
      <c r="AD1397" t="s">
        <v>81</v>
      </c>
      <c r="AE1397">
        <v>20</v>
      </c>
      <c r="AF1397" t="str" cm="1">
        <f t="array" ref="AF1397">_xlfn.IFS(AE1397&gt;=10,"Veteran (10y+)",AE1397&gt;=3,"Established (3-10y)",AE1397&lt;3,"New Hire (&lt;3y)")</f>
        <v>Veteran (10y+)</v>
      </c>
      <c r="AG1397">
        <v>7</v>
      </c>
      <c r="AH1397">
        <v>12</v>
      </c>
      <c r="AI1397">
        <v>7</v>
      </c>
    </row>
    <row r="1398" spans="1:35">
      <c r="A1398">
        <v>54</v>
      </c>
      <c r="B1398" t="str">
        <f t="shared" si="21"/>
        <v>Senior</v>
      </c>
      <c r="C1398">
        <v>0</v>
      </c>
      <c r="D1398" t="s">
        <v>44</v>
      </c>
      <c r="E1398">
        <v>1050</v>
      </c>
      <c r="F1398" t="s">
        <v>45</v>
      </c>
      <c r="G1398">
        <v>11</v>
      </c>
      <c r="H1398" t="str" cm="1">
        <f t="array" ref="H1398">_xlfn.IFS(G1398&gt;15,"Long Commute",G1398&gt;5,"Moderate",G1398&lt;=5,"Near Office")</f>
        <v>Moderate</v>
      </c>
      <c r="I1398" t="s">
        <v>83</v>
      </c>
      <c r="J1398" t="s">
        <v>51</v>
      </c>
      <c r="K1398">
        <v>2</v>
      </c>
      <c r="L1398" t="s">
        <v>39</v>
      </c>
      <c r="M1398">
        <v>87</v>
      </c>
      <c r="N1398">
        <v>3</v>
      </c>
      <c r="O1398">
        <v>4</v>
      </c>
      <c r="P1398" t="s">
        <v>56</v>
      </c>
      <c r="Q1398" t="s">
        <v>77</v>
      </c>
      <c r="R1398" t="s">
        <v>52</v>
      </c>
      <c r="S1398">
        <v>16032</v>
      </c>
      <c r="T1398" t="str" cm="1">
        <f t="array" ref="T1398">_xlfn.IFS(S1398&gt;=10000,"High (&gt;10k)",S1398&gt;=5000,"Medium (5k-10k)",S1398&lt;5000,"Low (&lt;5k)")</f>
        <v>High (&gt;10k)</v>
      </c>
      <c r="U1398">
        <v>24456</v>
      </c>
      <c r="V1398">
        <v>3</v>
      </c>
      <c r="W1398" t="s">
        <v>43</v>
      </c>
      <c r="X1398">
        <v>20</v>
      </c>
      <c r="Y1398">
        <v>4</v>
      </c>
      <c r="Z1398">
        <v>1</v>
      </c>
      <c r="AA1398">
        <v>1</v>
      </c>
      <c r="AB1398">
        <v>26</v>
      </c>
      <c r="AC1398">
        <v>2</v>
      </c>
      <c r="AD1398" t="s">
        <v>74</v>
      </c>
      <c r="AE1398">
        <v>14</v>
      </c>
      <c r="AF1398" t="str" cm="1">
        <f t="array" ref="AF1398">_xlfn.IFS(AE1398&gt;=10,"Veteran (10y+)",AE1398&gt;=3,"Established (3-10y)",AE1398&lt;3,"New Hire (&lt;3y)")</f>
        <v>Veteran (10y+)</v>
      </c>
      <c r="AG1398">
        <v>9</v>
      </c>
      <c r="AH1398">
        <v>1</v>
      </c>
      <c r="AI1398">
        <v>12</v>
      </c>
    </row>
    <row r="1399" spans="1:35">
      <c r="A1399">
        <v>54</v>
      </c>
      <c r="B1399" t="str">
        <f t="shared" si="21"/>
        <v>Senior</v>
      </c>
      <c r="C1399">
        <v>0</v>
      </c>
      <c r="D1399" t="s">
        <v>36</v>
      </c>
      <c r="E1399">
        <v>584</v>
      </c>
      <c r="F1399" t="s">
        <v>45</v>
      </c>
      <c r="G1399">
        <v>22</v>
      </c>
      <c r="H1399" t="str" cm="1">
        <f t="array" ref="H1399">_xlfn.IFS(G1399&gt;15,"Long Commute",G1399&gt;5,"Moderate",G1399&lt;=5,"Near Office")</f>
        <v>Long Commute</v>
      </c>
      <c r="I1399" t="s">
        <v>84</v>
      </c>
      <c r="J1399" t="s">
        <v>51</v>
      </c>
      <c r="K1399">
        <v>2</v>
      </c>
      <c r="L1399" t="s">
        <v>39</v>
      </c>
      <c r="M1399">
        <v>91</v>
      </c>
      <c r="N1399">
        <v>3</v>
      </c>
      <c r="O1399">
        <v>4</v>
      </c>
      <c r="P1399" t="s">
        <v>56</v>
      </c>
      <c r="Q1399" t="s">
        <v>73</v>
      </c>
      <c r="R1399" t="s">
        <v>48</v>
      </c>
      <c r="S1399">
        <v>17426</v>
      </c>
      <c r="T1399" t="str" cm="1">
        <f t="array" ref="T1399">_xlfn.IFS(S1399&gt;=10000,"High (&gt;10k)",S1399&gt;=5000,"Medium (5k-10k)",S1399&lt;5000,"Low (&lt;5k)")</f>
        <v>High (&gt;10k)</v>
      </c>
      <c r="U1399">
        <v>18685</v>
      </c>
      <c r="V1399">
        <v>3</v>
      </c>
      <c r="W1399" t="s">
        <v>43</v>
      </c>
      <c r="X1399">
        <v>25</v>
      </c>
      <c r="Y1399">
        <v>4</v>
      </c>
      <c r="Z1399">
        <v>3</v>
      </c>
      <c r="AA1399">
        <v>1</v>
      </c>
      <c r="AB1399">
        <v>36</v>
      </c>
      <c r="AC1399">
        <v>6</v>
      </c>
      <c r="AD1399" t="s">
        <v>74</v>
      </c>
      <c r="AE1399">
        <v>10</v>
      </c>
      <c r="AF1399" t="str" cm="1">
        <f t="array" ref="AF1399">_xlfn.IFS(AE1399&gt;=10,"Veteran (10y+)",AE1399&gt;=3,"Established (3-10y)",AE1399&lt;3,"New Hire (&lt;3y)")</f>
        <v>Veteran (10y+)</v>
      </c>
      <c r="AG1399">
        <v>8</v>
      </c>
      <c r="AH1399">
        <v>4</v>
      </c>
      <c r="AI1399">
        <v>7</v>
      </c>
    </row>
    <row r="1400" spans="1:35">
      <c r="A1400">
        <v>54</v>
      </c>
      <c r="B1400" t="str">
        <f t="shared" si="21"/>
        <v>Senior</v>
      </c>
      <c r="C1400">
        <v>0</v>
      </c>
      <c r="D1400" t="s">
        <v>36</v>
      </c>
      <c r="E1400">
        <v>431</v>
      </c>
      <c r="F1400" t="s">
        <v>45</v>
      </c>
      <c r="G1400">
        <v>7</v>
      </c>
      <c r="H1400" t="str" cm="1">
        <f t="array" ref="H1400">_xlfn.IFS(G1400&gt;15,"Long Commute",G1400&gt;5,"Moderate",G1400&lt;=5,"Near Office")</f>
        <v>Moderate</v>
      </c>
      <c r="I1400" t="s">
        <v>83</v>
      </c>
      <c r="J1400" t="s">
        <v>51</v>
      </c>
      <c r="K1400">
        <v>4</v>
      </c>
      <c r="L1400" t="s">
        <v>39</v>
      </c>
      <c r="M1400">
        <v>68</v>
      </c>
      <c r="N1400">
        <v>3</v>
      </c>
      <c r="O1400">
        <v>2</v>
      </c>
      <c r="P1400" t="s">
        <v>47</v>
      </c>
      <c r="Q1400" t="s">
        <v>77</v>
      </c>
      <c r="R1400" t="s">
        <v>48</v>
      </c>
      <c r="S1400">
        <v>6854</v>
      </c>
      <c r="T1400" t="str" cm="1">
        <f t="array" ref="T1400">_xlfn.IFS(S1400&gt;=10000,"High (&gt;10k)",S1400&gt;=5000,"Medium (5k-10k)",S1400&lt;5000,"Low (&lt;5k)")</f>
        <v>Medium (5k-10k)</v>
      </c>
      <c r="U1400">
        <v>15696</v>
      </c>
      <c r="V1400">
        <v>4</v>
      </c>
      <c r="W1400" t="s">
        <v>43</v>
      </c>
      <c r="X1400">
        <v>15</v>
      </c>
      <c r="Y1400">
        <v>3</v>
      </c>
      <c r="Z1400">
        <v>2</v>
      </c>
      <c r="AA1400">
        <v>1</v>
      </c>
      <c r="AB1400">
        <v>14</v>
      </c>
      <c r="AC1400">
        <v>2</v>
      </c>
      <c r="AD1400" t="s">
        <v>81</v>
      </c>
      <c r="AE1400">
        <v>7</v>
      </c>
      <c r="AF1400" t="str" cm="1">
        <f t="array" ref="AF1400">_xlfn.IFS(AE1400&gt;=10,"Veteran (10y+)",AE1400&gt;=3,"Established (3-10y)",AE1400&lt;3,"New Hire (&lt;3y)")</f>
        <v>Established (3-10y)</v>
      </c>
      <c r="AG1400">
        <v>1</v>
      </c>
      <c r="AH1400">
        <v>1</v>
      </c>
      <c r="AI1400">
        <v>7</v>
      </c>
    </row>
    <row r="1401" spans="1:35">
      <c r="A1401">
        <v>54</v>
      </c>
      <c r="B1401" t="str">
        <f t="shared" si="21"/>
        <v>Senior</v>
      </c>
      <c r="C1401">
        <v>0</v>
      </c>
      <c r="D1401" t="s">
        <v>36</v>
      </c>
      <c r="E1401">
        <v>155</v>
      </c>
      <c r="F1401" t="s">
        <v>45</v>
      </c>
      <c r="G1401">
        <v>9</v>
      </c>
      <c r="H1401" t="str" cm="1">
        <f t="array" ref="H1401">_xlfn.IFS(G1401&gt;15,"Long Commute",G1401&gt;5,"Moderate",G1401&lt;=5,"Near Office")</f>
        <v>Moderate</v>
      </c>
      <c r="I1401" t="s">
        <v>76</v>
      </c>
      <c r="J1401" t="s">
        <v>38</v>
      </c>
      <c r="K1401">
        <v>1</v>
      </c>
      <c r="L1401" t="s">
        <v>39</v>
      </c>
      <c r="M1401">
        <v>67</v>
      </c>
      <c r="N1401">
        <v>3</v>
      </c>
      <c r="O1401">
        <v>2</v>
      </c>
      <c r="P1401" t="s">
        <v>47</v>
      </c>
      <c r="Q1401" t="s">
        <v>73</v>
      </c>
      <c r="R1401" t="s">
        <v>48</v>
      </c>
      <c r="S1401">
        <v>2897</v>
      </c>
      <c r="T1401" t="str" cm="1">
        <f t="array" ref="T1401">_xlfn.IFS(S1401&gt;=10000,"High (&gt;10k)",S1401&gt;=5000,"Medium (5k-10k)",S1401&lt;5000,"Low (&lt;5k)")</f>
        <v>Low (&lt;5k)</v>
      </c>
      <c r="U1401">
        <v>22474</v>
      </c>
      <c r="V1401">
        <v>3</v>
      </c>
      <c r="W1401" t="s">
        <v>43</v>
      </c>
      <c r="X1401">
        <v>11</v>
      </c>
      <c r="Y1401">
        <v>3</v>
      </c>
      <c r="Z1401">
        <v>3</v>
      </c>
      <c r="AA1401">
        <v>2</v>
      </c>
      <c r="AB1401">
        <v>9</v>
      </c>
      <c r="AC1401">
        <v>6</v>
      </c>
      <c r="AD1401" t="s">
        <v>81</v>
      </c>
      <c r="AE1401">
        <v>4</v>
      </c>
      <c r="AF1401" t="str" cm="1">
        <f t="array" ref="AF1401">_xlfn.IFS(AE1401&gt;=10,"Veteran (10y+)",AE1401&gt;=3,"Established (3-10y)",AE1401&lt;3,"New Hire (&lt;3y)")</f>
        <v>Established (3-10y)</v>
      </c>
      <c r="AG1401">
        <v>3</v>
      </c>
      <c r="AH1401">
        <v>2</v>
      </c>
      <c r="AI1401">
        <v>3</v>
      </c>
    </row>
    <row r="1402" spans="1:35">
      <c r="A1402">
        <v>54</v>
      </c>
      <c r="B1402" t="str">
        <f t="shared" si="21"/>
        <v>Senior</v>
      </c>
      <c r="C1402">
        <v>0</v>
      </c>
      <c r="D1402" t="s">
        <v>36</v>
      </c>
      <c r="E1402">
        <v>157</v>
      </c>
      <c r="F1402" t="s">
        <v>45</v>
      </c>
      <c r="G1402">
        <v>10</v>
      </c>
      <c r="H1402" t="str" cm="1">
        <f t="array" ref="H1402">_xlfn.IFS(G1402&gt;15,"Long Commute",G1402&gt;5,"Moderate",G1402&lt;=5,"Near Office")</f>
        <v>Moderate</v>
      </c>
      <c r="I1402" t="s">
        <v>72</v>
      </c>
      <c r="J1402" t="s">
        <v>51</v>
      </c>
      <c r="K1402">
        <v>3</v>
      </c>
      <c r="L1402" t="s">
        <v>39</v>
      </c>
      <c r="M1402">
        <v>77</v>
      </c>
      <c r="N1402">
        <v>3</v>
      </c>
      <c r="O1402">
        <v>2</v>
      </c>
      <c r="P1402" t="s">
        <v>53</v>
      </c>
      <c r="Q1402" t="s">
        <v>82</v>
      </c>
      <c r="R1402" t="s">
        <v>41</v>
      </c>
      <c r="S1402">
        <v>4440</v>
      </c>
      <c r="T1402" t="str" cm="1">
        <f t="array" ref="T1402">_xlfn.IFS(S1402&gt;=10000,"High (&gt;10k)",S1402&gt;=5000,"Medium (5k-10k)",S1402&lt;5000,"Low (&lt;5k)")</f>
        <v>Low (&lt;5k)</v>
      </c>
      <c r="U1402">
        <v>25198</v>
      </c>
      <c r="V1402">
        <v>6</v>
      </c>
      <c r="W1402" t="s">
        <v>35</v>
      </c>
      <c r="X1402">
        <v>19</v>
      </c>
      <c r="Y1402">
        <v>3</v>
      </c>
      <c r="Z1402">
        <v>4</v>
      </c>
      <c r="AA1402">
        <v>0</v>
      </c>
      <c r="AB1402">
        <v>9</v>
      </c>
      <c r="AC1402">
        <v>3</v>
      </c>
      <c r="AD1402" t="s">
        <v>74</v>
      </c>
      <c r="AE1402">
        <v>5</v>
      </c>
      <c r="AF1402" t="str" cm="1">
        <f t="array" ref="AF1402">_xlfn.IFS(AE1402&gt;=10,"Veteran (10y+)",AE1402&gt;=3,"Established (3-10y)",AE1402&lt;3,"New Hire (&lt;3y)")</f>
        <v>Established (3-10y)</v>
      </c>
      <c r="AG1402">
        <v>2</v>
      </c>
      <c r="AH1402">
        <v>1</v>
      </c>
      <c r="AI1402">
        <v>4</v>
      </c>
    </row>
    <row r="1403" spans="1:35">
      <c r="A1403">
        <v>55</v>
      </c>
      <c r="B1403" t="str">
        <f t="shared" si="21"/>
        <v>Senior</v>
      </c>
      <c r="C1403">
        <v>0</v>
      </c>
      <c r="D1403" t="s">
        <v>36</v>
      </c>
      <c r="E1403">
        <v>836</v>
      </c>
      <c r="F1403" t="s">
        <v>45</v>
      </c>
      <c r="G1403">
        <v>8</v>
      </c>
      <c r="H1403" t="str" cm="1">
        <f t="array" ref="H1403">_xlfn.IFS(G1403&gt;15,"Long Commute",G1403&gt;5,"Moderate",G1403&lt;=5,"Near Office")</f>
        <v>Moderate</v>
      </c>
      <c r="I1403" t="s">
        <v>72</v>
      </c>
      <c r="J1403" t="s">
        <v>51</v>
      </c>
      <c r="K1403">
        <v>4</v>
      </c>
      <c r="L1403" t="s">
        <v>39</v>
      </c>
      <c r="M1403">
        <v>33</v>
      </c>
      <c r="N1403">
        <v>3</v>
      </c>
      <c r="O1403">
        <v>4</v>
      </c>
      <c r="P1403" t="s">
        <v>56</v>
      </c>
      <c r="Q1403" t="s">
        <v>73</v>
      </c>
      <c r="R1403" t="s">
        <v>52</v>
      </c>
      <c r="S1403">
        <v>14756</v>
      </c>
      <c r="T1403" t="str" cm="1">
        <f t="array" ref="T1403">_xlfn.IFS(S1403&gt;=10000,"High (&gt;10k)",S1403&gt;=5000,"Medium (5k-10k)",S1403&lt;5000,"Low (&lt;5k)")</f>
        <v>High (&gt;10k)</v>
      </c>
      <c r="U1403">
        <v>19730</v>
      </c>
      <c r="V1403">
        <v>2</v>
      </c>
      <c r="W1403" t="s">
        <v>35</v>
      </c>
      <c r="X1403">
        <v>14</v>
      </c>
      <c r="Y1403">
        <v>3</v>
      </c>
      <c r="Z1403">
        <v>3</v>
      </c>
      <c r="AA1403">
        <v>3</v>
      </c>
      <c r="AB1403">
        <v>21</v>
      </c>
      <c r="AC1403">
        <v>2</v>
      </c>
      <c r="AD1403" t="s">
        <v>74</v>
      </c>
      <c r="AE1403">
        <v>5</v>
      </c>
      <c r="AF1403" t="str" cm="1">
        <f t="array" ref="AF1403">_xlfn.IFS(AE1403&gt;=10,"Veteran (10y+)",AE1403&gt;=3,"Established (3-10y)",AE1403&lt;3,"New Hire (&lt;3y)")</f>
        <v>Established (3-10y)</v>
      </c>
      <c r="AG1403">
        <v>0</v>
      </c>
      <c r="AH1403">
        <v>0</v>
      </c>
      <c r="AI1403">
        <v>2</v>
      </c>
    </row>
    <row r="1404" spans="1:35">
      <c r="A1404">
        <v>55</v>
      </c>
      <c r="B1404" t="str">
        <f t="shared" si="21"/>
        <v>Senior</v>
      </c>
      <c r="C1404">
        <v>0</v>
      </c>
      <c r="D1404" t="s">
        <v>36</v>
      </c>
      <c r="E1404">
        <v>111</v>
      </c>
      <c r="F1404" t="s">
        <v>37</v>
      </c>
      <c r="G1404">
        <v>1</v>
      </c>
      <c r="H1404" t="str" cm="1">
        <f t="array" ref="H1404">_xlfn.IFS(G1404&gt;15,"Long Commute",G1404&gt;5,"Moderate",G1404&lt;=5,"Near Office")</f>
        <v>Near Office</v>
      </c>
      <c r="I1404" t="s">
        <v>76</v>
      </c>
      <c r="J1404" t="s">
        <v>38</v>
      </c>
      <c r="K1404">
        <v>1</v>
      </c>
      <c r="L1404" t="s">
        <v>46</v>
      </c>
      <c r="M1404">
        <v>70</v>
      </c>
      <c r="N1404">
        <v>3</v>
      </c>
      <c r="O1404">
        <v>3</v>
      </c>
      <c r="P1404" t="s">
        <v>40</v>
      </c>
      <c r="Q1404" t="s">
        <v>77</v>
      </c>
      <c r="R1404" t="s">
        <v>48</v>
      </c>
      <c r="S1404">
        <v>10239</v>
      </c>
      <c r="T1404" t="str" cm="1">
        <f t="array" ref="T1404">_xlfn.IFS(S1404&gt;=10000,"High (&gt;10k)",S1404&gt;=5000,"Medium (5k-10k)",S1404&lt;5000,"Low (&lt;5k)")</f>
        <v>High (&gt;10k)</v>
      </c>
      <c r="U1404">
        <v>18092</v>
      </c>
      <c r="V1404">
        <v>3</v>
      </c>
      <c r="W1404" t="s">
        <v>43</v>
      </c>
      <c r="X1404">
        <v>14</v>
      </c>
      <c r="Y1404">
        <v>3</v>
      </c>
      <c r="Z1404">
        <v>4</v>
      </c>
      <c r="AA1404">
        <v>1</v>
      </c>
      <c r="AB1404">
        <v>24</v>
      </c>
      <c r="AC1404">
        <v>4</v>
      </c>
      <c r="AD1404" t="s">
        <v>74</v>
      </c>
      <c r="AE1404">
        <v>1</v>
      </c>
      <c r="AF1404" t="str" cm="1">
        <f t="array" ref="AF1404">_xlfn.IFS(AE1404&gt;=10,"Veteran (10y+)",AE1404&gt;=3,"Established (3-10y)",AE1404&lt;3,"New Hire (&lt;3y)")</f>
        <v>New Hire (&lt;3y)</v>
      </c>
      <c r="AG1404">
        <v>0</v>
      </c>
      <c r="AH1404">
        <v>1</v>
      </c>
      <c r="AI1404">
        <v>0</v>
      </c>
    </row>
    <row r="1405" spans="1:35">
      <c r="A1405">
        <v>55</v>
      </c>
      <c r="B1405" t="str">
        <f t="shared" si="21"/>
        <v>Senior</v>
      </c>
      <c r="C1405">
        <v>0</v>
      </c>
      <c r="D1405" t="s">
        <v>36</v>
      </c>
      <c r="E1405">
        <v>692</v>
      </c>
      <c r="F1405" t="s">
        <v>45</v>
      </c>
      <c r="G1405">
        <v>14</v>
      </c>
      <c r="H1405" t="str" cm="1">
        <f t="array" ref="H1405">_xlfn.IFS(G1405&gt;15,"Long Commute",G1405&gt;5,"Moderate",G1405&lt;=5,"Near Office")</f>
        <v>Moderate</v>
      </c>
      <c r="I1405" t="s">
        <v>83</v>
      </c>
      <c r="J1405" t="s">
        <v>51</v>
      </c>
      <c r="K1405">
        <v>3</v>
      </c>
      <c r="L1405" t="s">
        <v>46</v>
      </c>
      <c r="M1405">
        <v>61</v>
      </c>
      <c r="N1405">
        <v>4</v>
      </c>
      <c r="O1405">
        <v>5</v>
      </c>
      <c r="P1405" t="s">
        <v>58</v>
      </c>
      <c r="Q1405" t="s">
        <v>75</v>
      </c>
      <c r="R1405" t="s">
        <v>41</v>
      </c>
      <c r="S1405">
        <v>18722</v>
      </c>
      <c r="T1405" t="str" cm="1">
        <f t="array" ref="T1405">_xlfn.IFS(S1405&gt;=10000,"High (&gt;10k)",S1405&gt;=5000,"Medium (5k-10k)",S1405&lt;5000,"Low (&lt;5k)")</f>
        <v>High (&gt;10k)</v>
      </c>
      <c r="U1405">
        <v>13339</v>
      </c>
      <c r="V1405">
        <v>8</v>
      </c>
      <c r="W1405" t="s">
        <v>43</v>
      </c>
      <c r="X1405">
        <v>11</v>
      </c>
      <c r="Y1405">
        <v>3</v>
      </c>
      <c r="Z1405">
        <v>4</v>
      </c>
      <c r="AA1405">
        <v>0</v>
      </c>
      <c r="AB1405">
        <v>36</v>
      </c>
      <c r="AC1405">
        <v>3</v>
      </c>
      <c r="AD1405" t="s">
        <v>74</v>
      </c>
      <c r="AE1405">
        <v>24</v>
      </c>
      <c r="AF1405" t="str" cm="1">
        <f t="array" ref="AF1405">_xlfn.IFS(AE1405&gt;=10,"Veteran (10y+)",AE1405&gt;=3,"Established (3-10y)",AE1405&lt;3,"New Hire (&lt;3y)")</f>
        <v>Veteran (10y+)</v>
      </c>
      <c r="AG1405">
        <v>15</v>
      </c>
      <c r="AH1405">
        <v>2</v>
      </c>
      <c r="AI1405">
        <v>15</v>
      </c>
    </row>
    <row r="1406" spans="1:35">
      <c r="A1406">
        <v>55</v>
      </c>
      <c r="B1406" t="str">
        <f t="shared" si="21"/>
        <v>Senior</v>
      </c>
      <c r="C1406">
        <v>0</v>
      </c>
      <c r="D1406" t="s">
        <v>36</v>
      </c>
      <c r="E1406">
        <v>452</v>
      </c>
      <c r="F1406" t="s">
        <v>45</v>
      </c>
      <c r="G1406">
        <v>1</v>
      </c>
      <c r="H1406" t="str" cm="1">
        <f t="array" ref="H1406">_xlfn.IFS(G1406&gt;15,"Long Commute",G1406&gt;5,"Moderate",G1406&lt;=5,"Near Office")</f>
        <v>Near Office</v>
      </c>
      <c r="I1406" t="s">
        <v>72</v>
      </c>
      <c r="J1406" t="s">
        <v>51</v>
      </c>
      <c r="K1406">
        <v>4</v>
      </c>
      <c r="L1406" t="s">
        <v>46</v>
      </c>
      <c r="M1406">
        <v>81</v>
      </c>
      <c r="N1406">
        <v>3</v>
      </c>
      <c r="O1406">
        <v>5</v>
      </c>
      <c r="P1406" t="s">
        <v>56</v>
      </c>
      <c r="Q1406" t="s">
        <v>82</v>
      </c>
      <c r="R1406" t="s">
        <v>41</v>
      </c>
      <c r="S1406">
        <v>19045</v>
      </c>
      <c r="T1406" t="str" cm="1">
        <f t="array" ref="T1406">_xlfn.IFS(S1406&gt;=10000,"High (&gt;10k)",S1406&gt;=5000,"Medium (5k-10k)",S1406&lt;5000,"Low (&lt;5k)")</f>
        <v>High (&gt;10k)</v>
      </c>
      <c r="U1406">
        <v>18938</v>
      </c>
      <c r="V1406">
        <v>0</v>
      </c>
      <c r="W1406" t="s">
        <v>35</v>
      </c>
      <c r="X1406">
        <v>14</v>
      </c>
      <c r="Y1406">
        <v>3</v>
      </c>
      <c r="Z1406">
        <v>3</v>
      </c>
      <c r="AA1406">
        <v>0</v>
      </c>
      <c r="AB1406">
        <v>37</v>
      </c>
      <c r="AC1406">
        <v>2</v>
      </c>
      <c r="AD1406" t="s">
        <v>74</v>
      </c>
      <c r="AE1406">
        <v>36</v>
      </c>
      <c r="AF1406" t="str" cm="1">
        <f t="array" ref="AF1406">_xlfn.IFS(AE1406&gt;=10,"Veteran (10y+)",AE1406&gt;=3,"Established (3-10y)",AE1406&lt;3,"New Hire (&lt;3y)")</f>
        <v>Veteran (10y+)</v>
      </c>
      <c r="AG1406">
        <v>10</v>
      </c>
      <c r="AH1406">
        <v>4</v>
      </c>
      <c r="AI1406">
        <v>13</v>
      </c>
    </row>
    <row r="1407" spans="1:35">
      <c r="A1407">
        <v>55</v>
      </c>
      <c r="B1407" t="str">
        <f t="shared" si="21"/>
        <v>Senior</v>
      </c>
      <c r="C1407">
        <v>0</v>
      </c>
      <c r="D1407" t="s">
        <v>36</v>
      </c>
      <c r="E1407">
        <v>147</v>
      </c>
      <c r="F1407" t="s">
        <v>45</v>
      </c>
      <c r="G1407">
        <v>20</v>
      </c>
      <c r="H1407" t="str" cm="1">
        <f t="array" ref="H1407">_xlfn.IFS(G1407&gt;15,"Long Commute",G1407&gt;5,"Moderate",G1407&lt;=5,"Near Office")</f>
        <v>Long Commute</v>
      </c>
      <c r="I1407" t="s">
        <v>76</v>
      </c>
      <c r="J1407" t="s">
        <v>60</v>
      </c>
      <c r="K1407">
        <v>2</v>
      </c>
      <c r="L1407" t="s">
        <v>46</v>
      </c>
      <c r="M1407">
        <v>37</v>
      </c>
      <c r="N1407">
        <v>3</v>
      </c>
      <c r="O1407">
        <v>2</v>
      </c>
      <c r="P1407" t="s">
        <v>50</v>
      </c>
      <c r="Q1407" t="s">
        <v>77</v>
      </c>
      <c r="R1407" t="s">
        <v>48</v>
      </c>
      <c r="S1407">
        <v>5415</v>
      </c>
      <c r="T1407" t="str" cm="1">
        <f t="array" ref="T1407">_xlfn.IFS(S1407&gt;=10000,"High (&gt;10k)",S1407&gt;=5000,"Medium (5k-10k)",S1407&lt;5000,"Low (&lt;5k)")</f>
        <v>Medium (5k-10k)</v>
      </c>
      <c r="U1407">
        <v>15972</v>
      </c>
      <c r="V1407">
        <v>3</v>
      </c>
      <c r="W1407" t="s">
        <v>35</v>
      </c>
      <c r="X1407">
        <v>19</v>
      </c>
      <c r="Y1407">
        <v>3</v>
      </c>
      <c r="Z1407">
        <v>4</v>
      </c>
      <c r="AA1407">
        <v>1</v>
      </c>
      <c r="AB1407">
        <v>12</v>
      </c>
      <c r="AC1407">
        <v>4</v>
      </c>
      <c r="AD1407" t="s">
        <v>74</v>
      </c>
      <c r="AE1407">
        <v>10</v>
      </c>
      <c r="AF1407" t="str" cm="1">
        <f t="array" ref="AF1407">_xlfn.IFS(AE1407&gt;=10,"Veteran (10y+)",AE1407&gt;=3,"Established (3-10y)",AE1407&lt;3,"New Hire (&lt;3y)")</f>
        <v>Veteran (10y+)</v>
      </c>
      <c r="AG1407">
        <v>7</v>
      </c>
      <c r="AH1407">
        <v>0</v>
      </c>
      <c r="AI1407">
        <v>8</v>
      </c>
    </row>
    <row r="1408" spans="1:35">
      <c r="A1408">
        <v>55</v>
      </c>
      <c r="B1408" t="str">
        <f t="shared" si="21"/>
        <v>Senior</v>
      </c>
      <c r="C1408">
        <v>0</v>
      </c>
      <c r="D1408" t="s">
        <v>36</v>
      </c>
      <c r="E1408">
        <v>1311</v>
      </c>
      <c r="F1408" t="s">
        <v>45</v>
      </c>
      <c r="G1408">
        <v>2</v>
      </c>
      <c r="H1408" t="str" cm="1">
        <f t="array" ref="H1408">_xlfn.IFS(G1408&gt;15,"Long Commute",G1408&gt;5,"Moderate",G1408&lt;=5,"Near Office")</f>
        <v>Near Office</v>
      </c>
      <c r="I1408" t="s">
        <v>72</v>
      </c>
      <c r="J1408" t="s">
        <v>38</v>
      </c>
      <c r="K1408">
        <v>3</v>
      </c>
      <c r="L1408" t="s">
        <v>39</v>
      </c>
      <c r="M1408">
        <v>97</v>
      </c>
      <c r="N1408">
        <v>3</v>
      </c>
      <c r="O1408">
        <v>4</v>
      </c>
      <c r="P1408" t="s">
        <v>56</v>
      </c>
      <c r="Q1408" t="s">
        <v>77</v>
      </c>
      <c r="R1408" t="s">
        <v>41</v>
      </c>
      <c r="S1408">
        <v>16659</v>
      </c>
      <c r="T1408" t="str" cm="1">
        <f t="array" ref="T1408">_xlfn.IFS(S1408&gt;=10000,"High (&gt;10k)",S1408&gt;=5000,"Medium (5k-10k)",S1408&lt;5000,"Low (&lt;5k)")</f>
        <v>High (&gt;10k)</v>
      </c>
      <c r="U1408">
        <v>23258</v>
      </c>
      <c r="V1408">
        <v>2</v>
      </c>
      <c r="W1408" t="s">
        <v>35</v>
      </c>
      <c r="X1408">
        <v>13</v>
      </c>
      <c r="Y1408">
        <v>3</v>
      </c>
      <c r="Z1408">
        <v>3</v>
      </c>
      <c r="AA1408">
        <v>0</v>
      </c>
      <c r="AB1408">
        <v>30</v>
      </c>
      <c r="AC1408">
        <v>2</v>
      </c>
      <c r="AD1408" t="s">
        <v>74</v>
      </c>
      <c r="AE1408">
        <v>5</v>
      </c>
      <c r="AF1408" t="str" cm="1">
        <f t="array" ref="AF1408">_xlfn.IFS(AE1408&gt;=10,"Veteran (10y+)",AE1408&gt;=3,"Established (3-10y)",AE1408&lt;3,"New Hire (&lt;3y)")</f>
        <v>Established (3-10y)</v>
      </c>
      <c r="AG1408">
        <v>4</v>
      </c>
      <c r="AH1408">
        <v>1</v>
      </c>
      <c r="AI1408">
        <v>2</v>
      </c>
    </row>
    <row r="1409" spans="1:35">
      <c r="A1409">
        <v>55</v>
      </c>
      <c r="B1409" t="str">
        <f t="shared" si="21"/>
        <v>Senior</v>
      </c>
      <c r="C1409">
        <v>0</v>
      </c>
      <c r="D1409" t="s">
        <v>36</v>
      </c>
      <c r="E1409">
        <v>1117</v>
      </c>
      <c r="F1409" t="s">
        <v>37</v>
      </c>
      <c r="G1409">
        <v>18</v>
      </c>
      <c r="H1409" t="str" cm="1">
        <f t="array" ref="H1409">_xlfn.IFS(G1409&gt;15,"Long Commute",G1409&gt;5,"Moderate",G1409&lt;=5,"Near Office")</f>
        <v>Long Commute</v>
      </c>
      <c r="I1409" t="s">
        <v>84</v>
      </c>
      <c r="J1409" t="s">
        <v>38</v>
      </c>
      <c r="K1409">
        <v>1</v>
      </c>
      <c r="L1409" t="s">
        <v>39</v>
      </c>
      <c r="M1409">
        <v>83</v>
      </c>
      <c r="N1409">
        <v>3</v>
      </c>
      <c r="O1409">
        <v>4</v>
      </c>
      <c r="P1409" t="s">
        <v>56</v>
      </c>
      <c r="Q1409" t="s">
        <v>75</v>
      </c>
      <c r="R1409" t="s">
        <v>41</v>
      </c>
      <c r="S1409">
        <v>16835</v>
      </c>
      <c r="T1409" t="str" cm="1">
        <f t="array" ref="T1409">_xlfn.IFS(S1409&gt;=10000,"High (&gt;10k)",S1409&gt;=5000,"Medium (5k-10k)",S1409&lt;5000,"Low (&lt;5k)")</f>
        <v>High (&gt;10k)</v>
      </c>
      <c r="U1409">
        <v>9873</v>
      </c>
      <c r="V1409">
        <v>3</v>
      </c>
      <c r="W1409" t="s">
        <v>43</v>
      </c>
      <c r="X1409">
        <v>23</v>
      </c>
      <c r="Y1409">
        <v>4</v>
      </c>
      <c r="Z1409">
        <v>4</v>
      </c>
      <c r="AA1409">
        <v>0</v>
      </c>
      <c r="AB1409">
        <v>37</v>
      </c>
      <c r="AC1409">
        <v>2</v>
      </c>
      <c r="AD1409" t="s">
        <v>74</v>
      </c>
      <c r="AE1409">
        <v>10</v>
      </c>
      <c r="AF1409" t="str" cm="1">
        <f t="array" ref="AF1409">_xlfn.IFS(AE1409&gt;=10,"Veteran (10y+)",AE1409&gt;=3,"Established (3-10y)",AE1409&lt;3,"New Hire (&lt;3y)")</f>
        <v>Veteran (10y+)</v>
      </c>
      <c r="AG1409">
        <v>9</v>
      </c>
      <c r="AH1409">
        <v>7</v>
      </c>
      <c r="AI1409">
        <v>7</v>
      </c>
    </row>
    <row r="1410" spans="1:35">
      <c r="A1410">
        <v>55</v>
      </c>
      <c r="B1410" t="str">
        <f t="shared" si="21"/>
        <v>Senior</v>
      </c>
      <c r="C1410">
        <v>1</v>
      </c>
      <c r="D1410" t="s">
        <v>36</v>
      </c>
      <c r="E1410">
        <v>725</v>
      </c>
      <c r="F1410" t="s">
        <v>45</v>
      </c>
      <c r="G1410">
        <v>2</v>
      </c>
      <c r="H1410" t="str" cm="1">
        <f t="array" ref="H1410">_xlfn.IFS(G1410&gt;15,"Long Commute",G1410&gt;5,"Moderate",G1410&lt;=5,"Near Office")</f>
        <v>Near Office</v>
      </c>
      <c r="I1410" t="s">
        <v>72</v>
      </c>
      <c r="J1410" t="s">
        <v>51</v>
      </c>
      <c r="K1410">
        <v>4</v>
      </c>
      <c r="L1410" t="s">
        <v>46</v>
      </c>
      <c r="M1410">
        <v>78</v>
      </c>
      <c r="N1410">
        <v>3</v>
      </c>
      <c r="O1410">
        <v>5</v>
      </c>
      <c r="P1410" t="s">
        <v>56</v>
      </c>
      <c r="Q1410" t="s">
        <v>82</v>
      </c>
      <c r="R1410" t="s">
        <v>48</v>
      </c>
      <c r="S1410">
        <v>19859</v>
      </c>
      <c r="T1410" t="str" cm="1">
        <f t="array" ref="T1410">_xlfn.IFS(S1410&gt;=10000,"High (&gt;10k)",S1410&gt;=5000,"Medium (5k-10k)",S1410&lt;5000,"Low (&lt;5k)")</f>
        <v>High (&gt;10k)</v>
      </c>
      <c r="U1410">
        <v>21199</v>
      </c>
      <c r="V1410">
        <v>5</v>
      </c>
      <c r="W1410" t="s">
        <v>35</v>
      </c>
      <c r="X1410">
        <v>13</v>
      </c>
      <c r="Y1410">
        <v>3</v>
      </c>
      <c r="Z1410">
        <v>4</v>
      </c>
      <c r="AA1410">
        <v>1</v>
      </c>
      <c r="AB1410">
        <v>24</v>
      </c>
      <c r="AC1410">
        <v>2</v>
      </c>
      <c r="AD1410" t="s">
        <v>74</v>
      </c>
      <c r="AE1410">
        <v>5</v>
      </c>
      <c r="AF1410" t="str" cm="1">
        <f t="array" ref="AF1410">_xlfn.IFS(AE1410&gt;=10,"Veteran (10y+)",AE1410&gt;=3,"Established (3-10y)",AE1410&lt;3,"New Hire (&lt;3y)")</f>
        <v>Established (3-10y)</v>
      </c>
      <c r="AG1410">
        <v>2</v>
      </c>
      <c r="AH1410">
        <v>1</v>
      </c>
      <c r="AI1410">
        <v>4</v>
      </c>
    </row>
    <row r="1411" spans="1:35">
      <c r="A1411">
        <v>55</v>
      </c>
      <c r="B1411" t="str">
        <f t="shared" ref="B1411:B1471" si="22">IF(A1411&gt;=46,"Senior",IF(A1411&gt;=30,"Middle Aged","Young Adults"))</f>
        <v>Senior</v>
      </c>
      <c r="C1411">
        <v>1</v>
      </c>
      <c r="D1411" t="s">
        <v>36</v>
      </c>
      <c r="E1411">
        <v>436</v>
      </c>
      <c r="F1411" t="s">
        <v>37</v>
      </c>
      <c r="G1411">
        <v>2</v>
      </c>
      <c r="H1411" t="str" cm="1">
        <f t="array" ref="H1411">_xlfn.IFS(G1411&gt;15,"Long Commute",G1411&gt;5,"Moderate",G1411&lt;=5,"Near Office")</f>
        <v>Near Office</v>
      </c>
      <c r="I1411" t="s">
        <v>78</v>
      </c>
      <c r="J1411" t="s">
        <v>51</v>
      </c>
      <c r="K1411">
        <v>3</v>
      </c>
      <c r="L1411" t="s">
        <v>46</v>
      </c>
      <c r="M1411">
        <v>37</v>
      </c>
      <c r="N1411">
        <v>3</v>
      </c>
      <c r="O1411">
        <v>2</v>
      </c>
      <c r="P1411" t="s">
        <v>40</v>
      </c>
      <c r="Q1411" t="s">
        <v>77</v>
      </c>
      <c r="R1411" t="s">
        <v>41</v>
      </c>
      <c r="S1411">
        <v>5160</v>
      </c>
      <c r="T1411" t="str" cm="1">
        <f t="array" ref="T1411">_xlfn.IFS(S1411&gt;=10000,"High (&gt;10k)",S1411&gt;=5000,"Medium (5k-10k)",S1411&lt;5000,"Low (&lt;5k)")</f>
        <v>Medium (5k-10k)</v>
      </c>
      <c r="U1411">
        <v>21519</v>
      </c>
      <c r="V1411">
        <v>4</v>
      </c>
      <c r="W1411" t="s">
        <v>43</v>
      </c>
      <c r="X1411">
        <v>16</v>
      </c>
      <c r="Y1411">
        <v>3</v>
      </c>
      <c r="Z1411">
        <v>3</v>
      </c>
      <c r="AA1411">
        <v>0</v>
      </c>
      <c r="AB1411">
        <v>12</v>
      </c>
      <c r="AC1411">
        <v>3</v>
      </c>
      <c r="AD1411" t="s">
        <v>81</v>
      </c>
      <c r="AE1411">
        <v>9</v>
      </c>
      <c r="AF1411" t="str" cm="1">
        <f t="array" ref="AF1411">_xlfn.IFS(AE1411&gt;=10,"Veteran (10y+)",AE1411&gt;=3,"Established (3-10y)",AE1411&lt;3,"New Hire (&lt;3y)")</f>
        <v>Established (3-10y)</v>
      </c>
      <c r="AG1411">
        <v>7</v>
      </c>
      <c r="AH1411">
        <v>7</v>
      </c>
      <c r="AI1411">
        <v>3</v>
      </c>
    </row>
    <row r="1412" spans="1:35">
      <c r="A1412">
        <v>55</v>
      </c>
      <c r="B1412" t="str">
        <f t="shared" si="22"/>
        <v>Senior</v>
      </c>
      <c r="C1412">
        <v>0</v>
      </c>
      <c r="D1412" t="s">
        <v>44</v>
      </c>
      <c r="E1412">
        <v>135</v>
      </c>
      <c r="F1412" t="s">
        <v>45</v>
      </c>
      <c r="G1412">
        <v>18</v>
      </c>
      <c r="H1412" t="str" cm="1">
        <f t="array" ref="H1412">_xlfn.IFS(G1412&gt;15,"Long Commute",G1412&gt;5,"Moderate",G1412&lt;=5,"Near Office")</f>
        <v>Long Commute</v>
      </c>
      <c r="I1412" t="s">
        <v>83</v>
      </c>
      <c r="J1412" t="s">
        <v>51</v>
      </c>
      <c r="K1412">
        <v>3</v>
      </c>
      <c r="L1412" t="s">
        <v>46</v>
      </c>
      <c r="M1412">
        <v>62</v>
      </c>
      <c r="N1412">
        <v>3</v>
      </c>
      <c r="O1412">
        <v>2</v>
      </c>
      <c r="P1412" t="s">
        <v>54</v>
      </c>
      <c r="Q1412" t="s">
        <v>75</v>
      </c>
      <c r="R1412" t="s">
        <v>48</v>
      </c>
      <c r="S1412">
        <v>6385</v>
      </c>
      <c r="T1412" t="str" cm="1">
        <f t="array" ref="T1412">_xlfn.IFS(S1412&gt;=10000,"High (&gt;10k)",S1412&gt;=5000,"Medium (5k-10k)",S1412&lt;5000,"Low (&lt;5k)")</f>
        <v>Medium (5k-10k)</v>
      </c>
      <c r="U1412">
        <v>12992</v>
      </c>
      <c r="V1412">
        <v>3</v>
      </c>
      <c r="W1412" t="s">
        <v>35</v>
      </c>
      <c r="X1412">
        <v>14</v>
      </c>
      <c r="Y1412">
        <v>3</v>
      </c>
      <c r="Z1412">
        <v>4</v>
      </c>
      <c r="AA1412">
        <v>2</v>
      </c>
      <c r="AB1412">
        <v>17</v>
      </c>
      <c r="AC1412">
        <v>3</v>
      </c>
      <c r="AD1412" t="s">
        <v>74</v>
      </c>
      <c r="AE1412">
        <v>8</v>
      </c>
      <c r="AF1412" t="str" cm="1">
        <f t="array" ref="AF1412">_xlfn.IFS(AE1412&gt;=10,"Veteran (10y+)",AE1412&gt;=3,"Established (3-10y)",AE1412&lt;3,"New Hire (&lt;3y)")</f>
        <v>Established (3-10y)</v>
      </c>
      <c r="AG1412">
        <v>7</v>
      </c>
      <c r="AH1412">
        <v>6</v>
      </c>
      <c r="AI1412">
        <v>7</v>
      </c>
    </row>
    <row r="1413" spans="1:35">
      <c r="A1413">
        <v>55</v>
      </c>
      <c r="B1413" t="str">
        <f t="shared" si="22"/>
        <v>Senior</v>
      </c>
      <c r="C1413">
        <v>0</v>
      </c>
      <c r="D1413" t="s">
        <v>55</v>
      </c>
      <c r="E1413">
        <v>444</v>
      </c>
      <c r="F1413" t="s">
        <v>45</v>
      </c>
      <c r="G1413">
        <v>2</v>
      </c>
      <c r="H1413" t="str" cm="1">
        <f t="array" ref="H1413">_xlfn.IFS(G1413&gt;15,"Long Commute",G1413&gt;5,"Moderate",G1413&lt;=5,"Near Office")</f>
        <v>Near Office</v>
      </c>
      <c r="I1413" t="s">
        <v>78</v>
      </c>
      <c r="J1413" t="s">
        <v>51</v>
      </c>
      <c r="K1413">
        <v>3</v>
      </c>
      <c r="L1413" t="s">
        <v>46</v>
      </c>
      <c r="M1413">
        <v>40</v>
      </c>
      <c r="N1413">
        <v>2</v>
      </c>
      <c r="O1413">
        <v>4</v>
      </c>
      <c r="P1413" t="s">
        <v>56</v>
      </c>
      <c r="Q1413" t="s">
        <v>82</v>
      </c>
      <c r="R1413" t="s">
        <v>41</v>
      </c>
      <c r="S1413">
        <v>16756</v>
      </c>
      <c r="T1413" t="str" cm="1">
        <f t="array" ref="T1413">_xlfn.IFS(S1413&gt;=10000,"High (&gt;10k)",S1413&gt;=5000,"Medium (5k-10k)",S1413&lt;5000,"Low (&lt;5k)")</f>
        <v>High (&gt;10k)</v>
      </c>
      <c r="U1413">
        <v>17323</v>
      </c>
      <c r="V1413">
        <v>7</v>
      </c>
      <c r="W1413" t="s">
        <v>43</v>
      </c>
      <c r="X1413">
        <v>15</v>
      </c>
      <c r="Y1413">
        <v>3</v>
      </c>
      <c r="Z1413">
        <v>2</v>
      </c>
      <c r="AA1413">
        <v>0</v>
      </c>
      <c r="AB1413">
        <v>31</v>
      </c>
      <c r="AC1413">
        <v>3</v>
      </c>
      <c r="AD1413" t="s">
        <v>79</v>
      </c>
      <c r="AE1413">
        <v>9</v>
      </c>
      <c r="AF1413" t="str" cm="1">
        <f t="array" ref="AF1413">_xlfn.IFS(AE1413&gt;=10,"Veteran (10y+)",AE1413&gt;=3,"Established (3-10y)",AE1413&lt;3,"New Hire (&lt;3y)")</f>
        <v>Established (3-10y)</v>
      </c>
      <c r="AG1413">
        <v>7</v>
      </c>
      <c r="AH1413">
        <v>6</v>
      </c>
      <c r="AI1413">
        <v>2</v>
      </c>
    </row>
    <row r="1414" spans="1:35">
      <c r="A1414">
        <v>55</v>
      </c>
      <c r="B1414" t="str">
        <f t="shared" si="22"/>
        <v>Senior</v>
      </c>
      <c r="C1414">
        <v>0</v>
      </c>
      <c r="D1414" t="s">
        <v>44</v>
      </c>
      <c r="E1414">
        <v>1091</v>
      </c>
      <c r="F1414" t="s">
        <v>45</v>
      </c>
      <c r="G1414">
        <v>2</v>
      </c>
      <c r="H1414" t="str" cm="1">
        <f t="array" ref="H1414">_xlfn.IFS(G1414&gt;15,"Long Commute",G1414&gt;5,"Moderate",G1414&lt;=5,"Near Office")</f>
        <v>Near Office</v>
      </c>
      <c r="I1414" t="s">
        <v>78</v>
      </c>
      <c r="J1414" t="s">
        <v>38</v>
      </c>
      <c r="K1414">
        <v>4</v>
      </c>
      <c r="L1414" t="s">
        <v>46</v>
      </c>
      <c r="M1414">
        <v>65</v>
      </c>
      <c r="N1414">
        <v>3</v>
      </c>
      <c r="O1414">
        <v>3</v>
      </c>
      <c r="P1414" t="s">
        <v>53</v>
      </c>
      <c r="Q1414" t="s">
        <v>75</v>
      </c>
      <c r="R1414" t="s">
        <v>48</v>
      </c>
      <c r="S1414">
        <v>10976</v>
      </c>
      <c r="T1414" t="str" cm="1">
        <f t="array" ref="T1414">_xlfn.IFS(S1414&gt;=10000,"High (&gt;10k)",S1414&gt;=5000,"Medium (5k-10k)",S1414&lt;5000,"Low (&lt;5k)")</f>
        <v>High (&gt;10k)</v>
      </c>
      <c r="U1414">
        <v>15813</v>
      </c>
      <c r="V1414">
        <v>3</v>
      </c>
      <c r="W1414" t="s">
        <v>43</v>
      </c>
      <c r="X1414">
        <v>18</v>
      </c>
      <c r="Y1414">
        <v>3</v>
      </c>
      <c r="Z1414">
        <v>2</v>
      </c>
      <c r="AA1414">
        <v>1</v>
      </c>
      <c r="AB1414">
        <v>23</v>
      </c>
      <c r="AC1414">
        <v>4</v>
      </c>
      <c r="AD1414" t="s">
        <v>74</v>
      </c>
      <c r="AE1414">
        <v>3</v>
      </c>
      <c r="AF1414" t="str" cm="1">
        <f t="array" ref="AF1414">_xlfn.IFS(AE1414&gt;=10,"Veteran (10y+)",AE1414&gt;=3,"Established (3-10y)",AE1414&lt;3,"New Hire (&lt;3y)")</f>
        <v>Established (3-10y)</v>
      </c>
      <c r="AG1414">
        <v>2</v>
      </c>
      <c r="AH1414">
        <v>1</v>
      </c>
      <c r="AI1414">
        <v>2</v>
      </c>
    </row>
    <row r="1415" spans="1:35">
      <c r="A1415">
        <v>55</v>
      </c>
      <c r="B1415" t="str">
        <f t="shared" si="22"/>
        <v>Senior</v>
      </c>
      <c r="C1415">
        <v>0</v>
      </c>
      <c r="D1415" t="s">
        <v>55</v>
      </c>
      <c r="E1415">
        <v>177</v>
      </c>
      <c r="F1415" t="s">
        <v>45</v>
      </c>
      <c r="G1415">
        <v>8</v>
      </c>
      <c r="H1415" t="str" cm="1">
        <f t="array" ref="H1415">_xlfn.IFS(G1415&gt;15,"Long Commute",G1415&gt;5,"Moderate",G1415&lt;=5,"Near Office")</f>
        <v>Moderate</v>
      </c>
      <c r="I1415" t="s">
        <v>78</v>
      </c>
      <c r="J1415" t="s">
        <v>51</v>
      </c>
      <c r="K1415">
        <v>4</v>
      </c>
      <c r="L1415" t="s">
        <v>46</v>
      </c>
      <c r="M1415">
        <v>37</v>
      </c>
      <c r="N1415">
        <v>2</v>
      </c>
      <c r="O1415">
        <v>4</v>
      </c>
      <c r="P1415" t="s">
        <v>54</v>
      </c>
      <c r="Q1415" t="s">
        <v>75</v>
      </c>
      <c r="R1415" t="s">
        <v>52</v>
      </c>
      <c r="S1415">
        <v>13577</v>
      </c>
      <c r="T1415" t="str" cm="1">
        <f t="array" ref="T1415">_xlfn.IFS(S1415&gt;=10000,"High (&gt;10k)",S1415&gt;=5000,"Medium (5k-10k)",S1415&lt;5000,"Low (&lt;5k)")</f>
        <v>High (&gt;10k)</v>
      </c>
      <c r="U1415">
        <v>25592</v>
      </c>
      <c r="V1415">
        <v>1</v>
      </c>
      <c r="W1415" t="s">
        <v>35</v>
      </c>
      <c r="X1415">
        <v>15</v>
      </c>
      <c r="Y1415">
        <v>3</v>
      </c>
      <c r="Z1415">
        <v>4</v>
      </c>
      <c r="AA1415">
        <v>1</v>
      </c>
      <c r="AB1415">
        <v>34</v>
      </c>
      <c r="AC1415">
        <v>3</v>
      </c>
      <c r="AD1415" t="s">
        <v>74</v>
      </c>
      <c r="AE1415">
        <v>33</v>
      </c>
      <c r="AF1415" t="str" cm="1">
        <f t="array" ref="AF1415">_xlfn.IFS(AE1415&gt;=10,"Veteran (10y+)",AE1415&gt;=3,"Established (3-10y)",AE1415&lt;3,"New Hire (&lt;3y)")</f>
        <v>Veteran (10y+)</v>
      </c>
      <c r="AG1415">
        <v>9</v>
      </c>
      <c r="AH1415">
        <v>15</v>
      </c>
      <c r="AI1415">
        <v>0</v>
      </c>
    </row>
    <row r="1416" spans="1:35">
      <c r="A1416">
        <v>55</v>
      </c>
      <c r="B1416" t="str">
        <f t="shared" si="22"/>
        <v>Senior</v>
      </c>
      <c r="C1416">
        <v>0</v>
      </c>
      <c r="D1416" t="s">
        <v>36</v>
      </c>
      <c r="E1416">
        <v>282</v>
      </c>
      <c r="F1416" t="s">
        <v>45</v>
      </c>
      <c r="G1416">
        <v>2</v>
      </c>
      <c r="H1416" t="str" cm="1">
        <f t="array" ref="H1416">_xlfn.IFS(G1416&gt;15,"Long Commute",G1416&gt;5,"Moderate",G1416&lt;=5,"Near Office")</f>
        <v>Near Office</v>
      </c>
      <c r="I1416" t="s">
        <v>76</v>
      </c>
      <c r="J1416" t="s">
        <v>51</v>
      </c>
      <c r="K1416">
        <v>4</v>
      </c>
      <c r="L1416" t="s">
        <v>39</v>
      </c>
      <c r="M1416">
        <v>58</v>
      </c>
      <c r="N1416">
        <v>1</v>
      </c>
      <c r="O1416">
        <v>5</v>
      </c>
      <c r="P1416" t="s">
        <v>56</v>
      </c>
      <c r="Q1416" t="s">
        <v>73</v>
      </c>
      <c r="R1416" t="s">
        <v>48</v>
      </c>
      <c r="S1416">
        <v>19187</v>
      </c>
      <c r="T1416" t="str" cm="1">
        <f t="array" ref="T1416">_xlfn.IFS(S1416&gt;=10000,"High (&gt;10k)",S1416&gt;=5000,"Medium (5k-10k)",S1416&lt;5000,"Low (&lt;5k)")</f>
        <v>High (&gt;10k)</v>
      </c>
      <c r="U1416">
        <v>6992</v>
      </c>
      <c r="V1416">
        <v>4</v>
      </c>
      <c r="W1416" t="s">
        <v>43</v>
      </c>
      <c r="X1416">
        <v>14</v>
      </c>
      <c r="Y1416">
        <v>3</v>
      </c>
      <c r="Z1416">
        <v>4</v>
      </c>
      <c r="AA1416">
        <v>1</v>
      </c>
      <c r="AB1416">
        <v>23</v>
      </c>
      <c r="AC1416">
        <v>5</v>
      </c>
      <c r="AD1416" t="s">
        <v>74</v>
      </c>
      <c r="AE1416">
        <v>19</v>
      </c>
      <c r="AF1416" t="str" cm="1">
        <f t="array" ref="AF1416">_xlfn.IFS(AE1416&gt;=10,"Veteran (10y+)",AE1416&gt;=3,"Established (3-10y)",AE1416&lt;3,"New Hire (&lt;3y)")</f>
        <v>Veteran (10y+)</v>
      </c>
      <c r="AG1416">
        <v>9</v>
      </c>
      <c r="AH1416">
        <v>9</v>
      </c>
      <c r="AI1416">
        <v>11</v>
      </c>
    </row>
    <row r="1417" spans="1:35">
      <c r="A1417">
        <v>55</v>
      </c>
      <c r="B1417" t="str">
        <f t="shared" si="22"/>
        <v>Senior</v>
      </c>
      <c r="C1417">
        <v>1</v>
      </c>
      <c r="D1417" t="s">
        <v>36</v>
      </c>
      <c r="E1417">
        <v>267</v>
      </c>
      <c r="F1417" t="s">
        <v>37</v>
      </c>
      <c r="G1417">
        <v>13</v>
      </c>
      <c r="H1417" t="str" cm="1">
        <f t="array" ref="H1417">_xlfn.IFS(G1417&gt;15,"Long Commute",G1417&gt;5,"Moderate",G1417&lt;=5,"Near Office")</f>
        <v>Moderate</v>
      </c>
      <c r="I1417" t="s">
        <v>83</v>
      </c>
      <c r="J1417" t="s">
        <v>59</v>
      </c>
      <c r="K1417">
        <v>1</v>
      </c>
      <c r="L1417" t="s">
        <v>46</v>
      </c>
      <c r="M1417">
        <v>85</v>
      </c>
      <c r="N1417">
        <v>4</v>
      </c>
      <c r="O1417">
        <v>4</v>
      </c>
      <c r="P1417" t="s">
        <v>40</v>
      </c>
      <c r="Q1417" t="s">
        <v>73</v>
      </c>
      <c r="R1417" t="s">
        <v>41</v>
      </c>
      <c r="S1417">
        <v>13695</v>
      </c>
      <c r="T1417" t="str" cm="1">
        <f t="array" ref="T1417">_xlfn.IFS(S1417&gt;=10000,"High (&gt;10k)",S1417&gt;=5000,"Medium (5k-10k)",S1417&lt;5000,"Low (&lt;5k)")</f>
        <v>High (&gt;10k)</v>
      </c>
      <c r="U1417">
        <v>9277</v>
      </c>
      <c r="V1417">
        <v>6</v>
      </c>
      <c r="W1417" t="s">
        <v>35</v>
      </c>
      <c r="X1417">
        <v>17</v>
      </c>
      <c r="Y1417">
        <v>3</v>
      </c>
      <c r="Z1417">
        <v>3</v>
      </c>
      <c r="AA1417">
        <v>0</v>
      </c>
      <c r="AB1417">
        <v>24</v>
      </c>
      <c r="AC1417">
        <v>2</v>
      </c>
      <c r="AD1417" t="s">
        <v>81</v>
      </c>
      <c r="AE1417">
        <v>19</v>
      </c>
      <c r="AF1417" t="str" cm="1">
        <f t="array" ref="AF1417">_xlfn.IFS(AE1417&gt;=10,"Veteran (10y+)",AE1417&gt;=3,"Established (3-10y)",AE1417&lt;3,"New Hire (&lt;3y)")</f>
        <v>Veteran (10y+)</v>
      </c>
      <c r="AG1417">
        <v>7</v>
      </c>
      <c r="AH1417">
        <v>3</v>
      </c>
      <c r="AI1417">
        <v>8</v>
      </c>
    </row>
    <row r="1418" spans="1:35">
      <c r="A1418">
        <v>55</v>
      </c>
      <c r="B1418" t="str">
        <f t="shared" si="22"/>
        <v>Senior</v>
      </c>
      <c r="C1418">
        <v>0</v>
      </c>
      <c r="D1418" t="s">
        <v>36</v>
      </c>
      <c r="E1418">
        <v>1136</v>
      </c>
      <c r="F1418" t="s">
        <v>45</v>
      </c>
      <c r="G1418">
        <v>1</v>
      </c>
      <c r="H1418" t="str" cm="1">
        <f t="array" ref="H1418">_xlfn.IFS(G1418&gt;15,"Long Commute",G1418&gt;5,"Moderate",G1418&lt;=5,"Near Office")</f>
        <v>Near Office</v>
      </c>
      <c r="I1418" t="s">
        <v>83</v>
      </c>
      <c r="J1418" t="s">
        <v>51</v>
      </c>
      <c r="K1418">
        <v>2</v>
      </c>
      <c r="L1418" t="s">
        <v>46</v>
      </c>
      <c r="M1418">
        <v>81</v>
      </c>
      <c r="N1418">
        <v>4</v>
      </c>
      <c r="O1418">
        <v>4</v>
      </c>
      <c r="P1418" t="s">
        <v>58</v>
      </c>
      <c r="Q1418" t="s">
        <v>77</v>
      </c>
      <c r="R1418" t="s">
        <v>52</v>
      </c>
      <c r="S1418">
        <v>14732</v>
      </c>
      <c r="T1418" t="str" cm="1">
        <f t="array" ref="T1418">_xlfn.IFS(S1418&gt;=10000,"High (&gt;10k)",S1418&gt;=5000,"Medium (5k-10k)",S1418&lt;5000,"Low (&lt;5k)")</f>
        <v>High (&gt;10k)</v>
      </c>
      <c r="U1418">
        <v>12414</v>
      </c>
      <c r="V1418">
        <v>2</v>
      </c>
      <c r="W1418" t="s">
        <v>43</v>
      </c>
      <c r="X1418">
        <v>13</v>
      </c>
      <c r="Y1418">
        <v>3</v>
      </c>
      <c r="Z1418">
        <v>4</v>
      </c>
      <c r="AA1418">
        <v>2</v>
      </c>
      <c r="AB1418">
        <v>31</v>
      </c>
      <c r="AC1418">
        <v>4</v>
      </c>
      <c r="AD1418" t="s">
        <v>79</v>
      </c>
      <c r="AE1418">
        <v>7</v>
      </c>
      <c r="AF1418" t="str" cm="1">
        <f t="array" ref="AF1418">_xlfn.IFS(AE1418&gt;=10,"Veteran (10y+)",AE1418&gt;=3,"Established (3-10y)",AE1418&lt;3,"New Hire (&lt;3y)")</f>
        <v>Established (3-10y)</v>
      </c>
      <c r="AG1418">
        <v>7</v>
      </c>
      <c r="AH1418">
        <v>0</v>
      </c>
      <c r="AI1418">
        <v>0</v>
      </c>
    </row>
    <row r="1419" spans="1:35">
      <c r="A1419">
        <v>55</v>
      </c>
      <c r="B1419" t="str">
        <f t="shared" si="22"/>
        <v>Senior</v>
      </c>
      <c r="C1419">
        <v>0</v>
      </c>
      <c r="D1419" t="s">
        <v>36</v>
      </c>
      <c r="E1419">
        <v>1229</v>
      </c>
      <c r="F1419" t="s">
        <v>45</v>
      </c>
      <c r="G1419">
        <v>4</v>
      </c>
      <c r="H1419" t="str" cm="1">
        <f t="array" ref="H1419">_xlfn.IFS(G1419&gt;15,"Long Commute",G1419&gt;5,"Moderate",G1419&lt;=5,"Near Office")</f>
        <v>Near Office</v>
      </c>
      <c r="I1419" t="s">
        <v>83</v>
      </c>
      <c r="J1419" t="s">
        <v>38</v>
      </c>
      <c r="K1419">
        <v>4</v>
      </c>
      <c r="L1419" t="s">
        <v>46</v>
      </c>
      <c r="M1419">
        <v>30</v>
      </c>
      <c r="N1419">
        <v>3</v>
      </c>
      <c r="O1419">
        <v>2</v>
      </c>
      <c r="P1419" t="s">
        <v>54</v>
      </c>
      <c r="Q1419" t="s">
        <v>73</v>
      </c>
      <c r="R1419" t="s">
        <v>48</v>
      </c>
      <c r="S1419">
        <v>4035</v>
      </c>
      <c r="T1419" t="str" cm="1">
        <f t="array" ref="T1419">_xlfn.IFS(S1419&gt;=10000,"High (&gt;10k)",S1419&gt;=5000,"Medium (5k-10k)",S1419&lt;5000,"Low (&lt;5k)")</f>
        <v>Low (&lt;5k)</v>
      </c>
      <c r="U1419">
        <v>16143</v>
      </c>
      <c r="V1419">
        <v>0</v>
      </c>
      <c r="W1419" t="s">
        <v>35</v>
      </c>
      <c r="X1419">
        <v>16</v>
      </c>
      <c r="Y1419">
        <v>3</v>
      </c>
      <c r="Z1419">
        <v>2</v>
      </c>
      <c r="AA1419">
        <v>0</v>
      </c>
      <c r="AB1419">
        <v>4</v>
      </c>
      <c r="AC1419">
        <v>2</v>
      </c>
      <c r="AD1419" t="s">
        <v>74</v>
      </c>
      <c r="AE1419">
        <v>3</v>
      </c>
      <c r="AF1419" t="str" cm="1">
        <f t="array" ref="AF1419">_xlfn.IFS(AE1419&gt;=10,"Veteran (10y+)",AE1419&gt;=3,"Established (3-10y)",AE1419&lt;3,"New Hire (&lt;3y)")</f>
        <v>Established (3-10y)</v>
      </c>
      <c r="AG1419">
        <v>2</v>
      </c>
      <c r="AH1419">
        <v>1</v>
      </c>
      <c r="AI1419">
        <v>2</v>
      </c>
    </row>
    <row r="1420" spans="1:35">
      <c r="A1420">
        <v>55</v>
      </c>
      <c r="B1420" t="str">
        <f t="shared" si="22"/>
        <v>Senior</v>
      </c>
      <c r="C1420">
        <v>0</v>
      </c>
      <c r="D1420" t="s">
        <v>36</v>
      </c>
      <c r="E1420">
        <v>685</v>
      </c>
      <c r="F1420" t="s">
        <v>37</v>
      </c>
      <c r="G1420">
        <v>26</v>
      </c>
      <c r="H1420" t="str" cm="1">
        <f t="array" ref="H1420">_xlfn.IFS(G1420&gt;15,"Long Commute",G1420&gt;5,"Moderate",G1420&lt;=5,"Near Office")</f>
        <v>Long Commute</v>
      </c>
      <c r="I1420" t="s">
        <v>84</v>
      </c>
      <c r="J1420" t="s">
        <v>59</v>
      </c>
      <c r="K1420">
        <v>3</v>
      </c>
      <c r="L1420" t="s">
        <v>46</v>
      </c>
      <c r="M1420">
        <v>60</v>
      </c>
      <c r="N1420">
        <v>2</v>
      </c>
      <c r="O1420">
        <v>5</v>
      </c>
      <c r="P1420" t="s">
        <v>56</v>
      </c>
      <c r="Q1420" t="s">
        <v>77</v>
      </c>
      <c r="R1420" t="s">
        <v>48</v>
      </c>
      <c r="S1420">
        <v>19586</v>
      </c>
      <c r="T1420" t="str" cm="1">
        <f t="array" ref="T1420">_xlfn.IFS(S1420&gt;=10000,"High (&gt;10k)",S1420&gt;=5000,"Medium (5k-10k)",S1420&lt;5000,"Low (&lt;5k)")</f>
        <v>High (&gt;10k)</v>
      </c>
      <c r="U1420">
        <v>23037</v>
      </c>
      <c r="V1420">
        <v>1</v>
      </c>
      <c r="W1420" t="s">
        <v>43</v>
      </c>
      <c r="X1420">
        <v>21</v>
      </c>
      <c r="Y1420">
        <v>4</v>
      </c>
      <c r="Z1420">
        <v>3</v>
      </c>
      <c r="AA1420">
        <v>1</v>
      </c>
      <c r="AB1420">
        <v>36</v>
      </c>
      <c r="AC1420">
        <v>3</v>
      </c>
      <c r="AD1420" t="s">
        <v>74</v>
      </c>
      <c r="AE1420">
        <v>36</v>
      </c>
      <c r="AF1420" t="str" cm="1">
        <f t="array" ref="AF1420">_xlfn.IFS(AE1420&gt;=10,"Veteran (10y+)",AE1420&gt;=3,"Established (3-10y)",AE1420&lt;3,"New Hire (&lt;3y)")</f>
        <v>Veteran (10y+)</v>
      </c>
      <c r="AG1420">
        <v>6</v>
      </c>
      <c r="AH1420">
        <v>2</v>
      </c>
      <c r="AI1420">
        <v>13</v>
      </c>
    </row>
    <row r="1421" spans="1:35">
      <c r="A1421">
        <v>55</v>
      </c>
      <c r="B1421" t="str">
        <f t="shared" si="22"/>
        <v>Senior</v>
      </c>
      <c r="C1421">
        <v>0</v>
      </c>
      <c r="D1421" t="s">
        <v>36</v>
      </c>
      <c r="E1421">
        <v>1441</v>
      </c>
      <c r="F1421" t="s">
        <v>45</v>
      </c>
      <c r="G1421">
        <v>22</v>
      </c>
      <c r="H1421" t="str" cm="1">
        <f t="array" ref="H1421">_xlfn.IFS(G1421&gt;15,"Long Commute",G1421&gt;5,"Moderate",G1421&lt;=5,"Near Office")</f>
        <v>Long Commute</v>
      </c>
      <c r="I1421" t="s">
        <v>72</v>
      </c>
      <c r="J1421" t="s">
        <v>60</v>
      </c>
      <c r="K1421">
        <v>1</v>
      </c>
      <c r="L1421" t="s">
        <v>46</v>
      </c>
      <c r="M1421">
        <v>94</v>
      </c>
      <c r="N1421">
        <v>2</v>
      </c>
      <c r="O1421">
        <v>1</v>
      </c>
      <c r="P1421" t="s">
        <v>47</v>
      </c>
      <c r="Q1421" t="s">
        <v>75</v>
      </c>
      <c r="R1421" t="s">
        <v>52</v>
      </c>
      <c r="S1421">
        <v>3537</v>
      </c>
      <c r="T1421" t="str" cm="1">
        <f t="array" ref="T1421">_xlfn.IFS(S1421&gt;=10000,"High (&gt;10k)",S1421&gt;=5000,"Medium (5k-10k)",S1421&lt;5000,"Low (&lt;5k)")</f>
        <v>Low (&lt;5k)</v>
      </c>
      <c r="U1421">
        <v>23737</v>
      </c>
      <c r="V1421">
        <v>5</v>
      </c>
      <c r="W1421" t="s">
        <v>43</v>
      </c>
      <c r="X1421">
        <v>12</v>
      </c>
      <c r="Y1421">
        <v>3</v>
      </c>
      <c r="Z1421">
        <v>4</v>
      </c>
      <c r="AA1421">
        <v>1</v>
      </c>
      <c r="AB1421">
        <v>8</v>
      </c>
      <c r="AC1421">
        <v>1</v>
      </c>
      <c r="AD1421" t="s">
        <v>74</v>
      </c>
      <c r="AE1421">
        <v>4</v>
      </c>
      <c r="AF1421" t="str" cm="1">
        <f t="array" ref="AF1421">_xlfn.IFS(AE1421&gt;=10,"Veteran (10y+)",AE1421&gt;=3,"Established (3-10y)",AE1421&lt;3,"New Hire (&lt;3y)")</f>
        <v>Established (3-10y)</v>
      </c>
      <c r="AG1421">
        <v>2</v>
      </c>
      <c r="AH1421">
        <v>1</v>
      </c>
      <c r="AI1421">
        <v>2</v>
      </c>
    </row>
    <row r="1422" spans="1:35">
      <c r="A1422">
        <v>55</v>
      </c>
      <c r="B1422" t="str">
        <f t="shared" si="22"/>
        <v>Senior</v>
      </c>
      <c r="C1422">
        <v>0</v>
      </c>
      <c r="D1422" t="s">
        <v>36</v>
      </c>
      <c r="E1422">
        <v>478</v>
      </c>
      <c r="F1422" t="s">
        <v>45</v>
      </c>
      <c r="G1422">
        <v>2</v>
      </c>
      <c r="H1422" t="str" cm="1">
        <f t="array" ref="H1422">_xlfn.IFS(G1422&gt;15,"Long Commute",G1422&gt;5,"Moderate",G1422&lt;=5,"Near Office")</f>
        <v>Near Office</v>
      </c>
      <c r="I1422" t="s">
        <v>72</v>
      </c>
      <c r="J1422" t="s">
        <v>51</v>
      </c>
      <c r="K1422">
        <v>3</v>
      </c>
      <c r="L1422" t="s">
        <v>46</v>
      </c>
      <c r="M1422">
        <v>60</v>
      </c>
      <c r="N1422">
        <v>2</v>
      </c>
      <c r="O1422">
        <v>5</v>
      </c>
      <c r="P1422" t="s">
        <v>58</v>
      </c>
      <c r="Q1422" t="s">
        <v>82</v>
      </c>
      <c r="R1422" t="s">
        <v>48</v>
      </c>
      <c r="S1422">
        <v>19038</v>
      </c>
      <c r="T1422" t="str" cm="1">
        <f t="array" ref="T1422">_xlfn.IFS(S1422&gt;=10000,"High (&gt;10k)",S1422&gt;=5000,"Medium (5k-10k)",S1422&lt;5000,"Low (&lt;5k)")</f>
        <v>High (&gt;10k)</v>
      </c>
      <c r="U1422">
        <v>19805</v>
      </c>
      <c r="V1422">
        <v>8</v>
      </c>
      <c r="W1422" t="s">
        <v>43</v>
      </c>
      <c r="X1422">
        <v>12</v>
      </c>
      <c r="Y1422">
        <v>3</v>
      </c>
      <c r="Z1422">
        <v>2</v>
      </c>
      <c r="AA1422">
        <v>3</v>
      </c>
      <c r="AB1422">
        <v>34</v>
      </c>
      <c r="AC1422">
        <v>2</v>
      </c>
      <c r="AD1422" t="s">
        <v>74</v>
      </c>
      <c r="AE1422">
        <v>1</v>
      </c>
      <c r="AF1422" t="str" cm="1">
        <f t="array" ref="AF1422">_xlfn.IFS(AE1422&gt;=10,"Veteran (10y+)",AE1422&gt;=3,"Established (3-10y)",AE1422&lt;3,"New Hire (&lt;3y)")</f>
        <v>New Hire (&lt;3y)</v>
      </c>
      <c r="AG1422">
        <v>0</v>
      </c>
      <c r="AH1422">
        <v>0</v>
      </c>
      <c r="AI1422">
        <v>0</v>
      </c>
    </row>
    <row r="1423" spans="1:35">
      <c r="A1423">
        <v>55</v>
      </c>
      <c r="B1423" t="str">
        <f t="shared" si="22"/>
        <v>Senior</v>
      </c>
      <c r="C1423">
        <v>0</v>
      </c>
      <c r="D1423" t="s">
        <v>36</v>
      </c>
      <c r="E1423">
        <v>836</v>
      </c>
      <c r="F1423" t="s">
        <v>45</v>
      </c>
      <c r="G1423">
        <v>2</v>
      </c>
      <c r="H1423" t="str" cm="1">
        <f t="array" ref="H1423">_xlfn.IFS(G1423&gt;15,"Long Commute",G1423&gt;5,"Moderate",G1423&lt;=5,"Near Office")</f>
        <v>Near Office</v>
      </c>
      <c r="I1423" t="s">
        <v>83</v>
      </c>
      <c r="J1423" t="s">
        <v>60</v>
      </c>
      <c r="K1423">
        <v>2</v>
      </c>
      <c r="L1423" t="s">
        <v>46</v>
      </c>
      <c r="M1423">
        <v>98</v>
      </c>
      <c r="N1423">
        <v>2</v>
      </c>
      <c r="O1423">
        <v>1</v>
      </c>
      <c r="P1423" t="s">
        <v>47</v>
      </c>
      <c r="Q1423" t="s">
        <v>77</v>
      </c>
      <c r="R1423" t="s">
        <v>48</v>
      </c>
      <c r="S1423">
        <v>2662</v>
      </c>
      <c r="T1423" t="str" cm="1">
        <f t="array" ref="T1423">_xlfn.IFS(S1423&gt;=10000,"High (&gt;10k)",S1423&gt;=5000,"Medium (5k-10k)",S1423&lt;5000,"Low (&lt;5k)")</f>
        <v>Low (&lt;5k)</v>
      </c>
      <c r="U1423">
        <v>7975</v>
      </c>
      <c r="V1423">
        <v>8</v>
      </c>
      <c r="W1423" t="s">
        <v>43</v>
      </c>
      <c r="X1423">
        <v>20</v>
      </c>
      <c r="Y1423">
        <v>4</v>
      </c>
      <c r="Z1423">
        <v>2</v>
      </c>
      <c r="AA1423">
        <v>1</v>
      </c>
      <c r="AB1423">
        <v>19</v>
      </c>
      <c r="AC1423">
        <v>2</v>
      </c>
      <c r="AD1423" t="s">
        <v>79</v>
      </c>
      <c r="AE1423">
        <v>5</v>
      </c>
      <c r="AF1423" t="str" cm="1">
        <f t="array" ref="AF1423">_xlfn.IFS(AE1423&gt;=10,"Veteran (10y+)",AE1423&gt;=3,"Established (3-10y)",AE1423&lt;3,"New Hire (&lt;3y)")</f>
        <v>Established (3-10y)</v>
      </c>
      <c r="AG1423">
        <v>2</v>
      </c>
      <c r="AH1423">
        <v>0</v>
      </c>
      <c r="AI1423">
        <v>4</v>
      </c>
    </row>
    <row r="1424" spans="1:35">
      <c r="A1424">
        <v>55</v>
      </c>
      <c r="B1424" t="str">
        <f t="shared" si="22"/>
        <v>Senior</v>
      </c>
      <c r="C1424">
        <v>0</v>
      </c>
      <c r="D1424" t="s">
        <v>36</v>
      </c>
      <c r="E1424">
        <v>189</v>
      </c>
      <c r="F1424" t="s">
        <v>61</v>
      </c>
      <c r="G1424">
        <v>26</v>
      </c>
      <c r="H1424" t="str" cm="1">
        <f t="array" ref="H1424">_xlfn.IFS(G1424&gt;15,"Long Commute",G1424&gt;5,"Moderate",G1424&lt;=5,"Near Office")</f>
        <v>Long Commute</v>
      </c>
      <c r="I1424" t="s">
        <v>83</v>
      </c>
      <c r="J1424" t="s">
        <v>61</v>
      </c>
      <c r="K1424">
        <v>3</v>
      </c>
      <c r="L1424" t="s">
        <v>46</v>
      </c>
      <c r="M1424">
        <v>71</v>
      </c>
      <c r="N1424">
        <v>4</v>
      </c>
      <c r="O1424">
        <v>5</v>
      </c>
      <c r="P1424" t="s">
        <v>56</v>
      </c>
      <c r="Q1424" t="s">
        <v>75</v>
      </c>
      <c r="R1424" t="s">
        <v>48</v>
      </c>
      <c r="S1424">
        <v>19636</v>
      </c>
      <c r="T1424" t="str" cm="1">
        <f t="array" ref="T1424">_xlfn.IFS(S1424&gt;=10000,"High (&gt;10k)",S1424&gt;=5000,"Medium (5k-10k)",S1424&lt;5000,"Low (&lt;5k)")</f>
        <v>High (&gt;10k)</v>
      </c>
      <c r="U1424">
        <v>25811</v>
      </c>
      <c r="V1424">
        <v>4</v>
      </c>
      <c r="W1424" t="s">
        <v>35</v>
      </c>
      <c r="X1424">
        <v>18</v>
      </c>
      <c r="Y1424">
        <v>3</v>
      </c>
      <c r="Z1424">
        <v>1</v>
      </c>
      <c r="AA1424">
        <v>1</v>
      </c>
      <c r="AB1424">
        <v>35</v>
      </c>
      <c r="AC1424">
        <v>0</v>
      </c>
      <c r="AD1424" t="s">
        <v>74</v>
      </c>
      <c r="AE1424">
        <v>10</v>
      </c>
      <c r="AF1424" t="str" cm="1">
        <f t="array" ref="AF1424">_xlfn.IFS(AE1424&gt;=10,"Veteran (10y+)",AE1424&gt;=3,"Established (3-10y)",AE1424&lt;3,"New Hire (&lt;3y)")</f>
        <v>Veteran (10y+)</v>
      </c>
      <c r="AG1424">
        <v>9</v>
      </c>
      <c r="AH1424">
        <v>1</v>
      </c>
      <c r="AI1424">
        <v>4</v>
      </c>
    </row>
    <row r="1425" spans="1:35">
      <c r="A1425">
        <v>56</v>
      </c>
      <c r="B1425" t="str">
        <f t="shared" si="22"/>
        <v>Senior</v>
      </c>
      <c r="C1425">
        <v>0</v>
      </c>
      <c r="D1425" t="s">
        <v>36</v>
      </c>
      <c r="E1425">
        <v>1400</v>
      </c>
      <c r="F1425" t="s">
        <v>45</v>
      </c>
      <c r="G1425">
        <v>7</v>
      </c>
      <c r="H1425" t="str" cm="1">
        <f t="array" ref="H1425">_xlfn.IFS(G1425&gt;15,"Long Commute",G1425&gt;5,"Moderate",G1425&lt;=5,"Near Office")</f>
        <v>Moderate</v>
      </c>
      <c r="I1425" t="s">
        <v>72</v>
      </c>
      <c r="J1425" t="s">
        <v>38</v>
      </c>
      <c r="K1425">
        <v>4</v>
      </c>
      <c r="L1425" t="s">
        <v>46</v>
      </c>
      <c r="M1425">
        <v>49</v>
      </c>
      <c r="N1425">
        <v>1</v>
      </c>
      <c r="O1425">
        <v>3</v>
      </c>
      <c r="P1425" t="s">
        <v>53</v>
      </c>
      <c r="Q1425" t="s">
        <v>77</v>
      </c>
      <c r="R1425" t="s">
        <v>41</v>
      </c>
      <c r="S1425">
        <v>7260</v>
      </c>
      <c r="T1425" t="str" cm="1">
        <f t="array" ref="T1425">_xlfn.IFS(S1425&gt;=10000,"High (&gt;10k)",S1425&gt;=5000,"Medium (5k-10k)",S1425&lt;5000,"Low (&lt;5k)")</f>
        <v>Medium (5k-10k)</v>
      </c>
      <c r="U1425">
        <v>21698</v>
      </c>
      <c r="V1425">
        <v>4</v>
      </c>
      <c r="W1425" t="s">
        <v>43</v>
      </c>
      <c r="X1425">
        <v>11</v>
      </c>
      <c r="Y1425">
        <v>3</v>
      </c>
      <c r="Z1425">
        <v>1</v>
      </c>
      <c r="AA1425">
        <v>0</v>
      </c>
      <c r="AB1425">
        <v>37</v>
      </c>
      <c r="AC1425">
        <v>3</v>
      </c>
      <c r="AD1425" t="s">
        <v>81</v>
      </c>
      <c r="AE1425">
        <v>6</v>
      </c>
      <c r="AF1425" t="str" cm="1">
        <f t="array" ref="AF1425">_xlfn.IFS(AE1425&gt;=10,"Veteran (10y+)",AE1425&gt;=3,"Established (3-10y)",AE1425&lt;3,"New Hire (&lt;3y)")</f>
        <v>Established (3-10y)</v>
      </c>
      <c r="AG1425">
        <v>4</v>
      </c>
      <c r="AH1425">
        <v>0</v>
      </c>
      <c r="AI1425">
        <v>2</v>
      </c>
    </row>
    <row r="1426" spans="1:35">
      <c r="A1426">
        <v>56</v>
      </c>
      <c r="B1426" t="str">
        <f t="shared" si="22"/>
        <v>Senior</v>
      </c>
      <c r="C1426">
        <v>1</v>
      </c>
      <c r="D1426" t="s">
        <v>36</v>
      </c>
      <c r="E1426">
        <v>441</v>
      </c>
      <c r="F1426" t="s">
        <v>45</v>
      </c>
      <c r="G1426">
        <v>14</v>
      </c>
      <c r="H1426" t="str" cm="1">
        <f t="array" ref="H1426">_xlfn.IFS(G1426&gt;15,"Long Commute",G1426&gt;5,"Moderate",G1426&lt;=5,"Near Office")</f>
        <v>Moderate</v>
      </c>
      <c r="I1426" t="s">
        <v>83</v>
      </c>
      <c r="J1426" t="s">
        <v>38</v>
      </c>
      <c r="K1426">
        <v>2</v>
      </c>
      <c r="L1426" t="s">
        <v>39</v>
      </c>
      <c r="M1426">
        <v>72</v>
      </c>
      <c r="N1426">
        <v>3</v>
      </c>
      <c r="O1426">
        <v>1</v>
      </c>
      <c r="P1426" t="s">
        <v>47</v>
      </c>
      <c r="Q1426" t="s">
        <v>75</v>
      </c>
      <c r="R1426" t="s">
        <v>48</v>
      </c>
      <c r="S1426">
        <v>4963</v>
      </c>
      <c r="T1426" t="str" cm="1">
        <f t="array" ref="T1426">_xlfn.IFS(S1426&gt;=10000,"High (&gt;10k)",S1426&gt;=5000,"Medium (5k-10k)",S1426&lt;5000,"Low (&lt;5k)")</f>
        <v>Low (&lt;5k)</v>
      </c>
      <c r="U1426">
        <v>4510</v>
      </c>
      <c r="V1426">
        <v>9</v>
      </c>
      <c r="W1426" t="s">
        <v>35</v>
      </c>
      <c r="X1426">
        <v>18</v>
      </c>
      <c r="Y1426">
        <v>3</v>
      </c>
      <c r="Z1426">
        <v>1</v>
      </c>
      <c r="AA1426">
        <v>3</v>
      </c>
      <c r="AB1426">
        <v>7</v>
      </c>
      <c r="AC1426">
        <v>2</v>
      </c>
      <c r="AD1426" t="s">
        <v>74</v>
      </c>
      <c r="AE1426">
        <v>5</v>
      </c>
      <c r="AF1426" t="str" cm="1">
        <f t="array" ref="AF1426">_xlfn.IFS(AE1426&gt;=10,"Veteran (10y+)",AE1426&gt;=3,"Established (3-10y)",AE1426&lt;3,"New Hire (&lt;3y)")</f>
        <v>Established (3-10y)</v>
      </c>
      <c r="AG1426">
        <v>4</v>
      </c>
      <c r="AH1426">
        <v>4</v>
      </c>
      <c r="AI1426">
        <v>3</v>
      </c>
    </row>
    <row r="1427" spans="1:35">
      <c r="A1427">
        <v>56</v>
      </c>
      <c r="B1427" t="str">
        <f t="shared" si="22"/>
        <v>Senior</v>
      </c>
      <c r="C1427">
        <v>0</v>
      </c>
      <c r="D1427" t="s">
        <v>36</v>
      </c>
      <c r="E1427">
        <v>713</v>
      </c>
      <c r="F1427" t="s">
        <v>45</v>
      </c>
      <c r="G1427">
        <v>8</v>
      </c>
      <c r="H1427" t="str" cm="1">
        <f t="array" ref="H1427">_xlfn.IFS(G1427&gt;15,"Long Commute",G1427&gt;5,"Moderate",G1427&lt;=5,"Near Office")</f>
        <v>Moderate</v>
      </c>
      <c r="I1427" t="s">
        <v>72</v>
      </c>
      <c r="J1427" t="s">
        <v>38</v>
      </c>
      <c r="K1427">
        <v>3</v>
      </c>
      <c r="L1427" t="s">
        <v>39</v>
      </c>
      <c r="M1427">
        <v>67</v>
      </c>
      <c r="N1427">
        <v>3</v>
      </c>
      <c r="O1427">
        <v>1</v>
      </c>
      <c r="P1427" t="s">
        <v>47</v>
      </c>
      <c r="Q1427" t="s">
        <v>82</v>
      </c>
      <c r="R1427" t="s">
        <v>52</v>
      </c>
      <c r="S1427">
        <v>4257</v>
      </c>
      <c r="T1427" t="str" cm="1">
        <f t="array" ref="T1427">_xlfn.IFS(S1427&gt;=10000,"High (&gt;10k)",S1427&gt;=5000,"Medium (5k-10k)",S1427&lt;5000,"Low (&lt;5k)")</f>
        <v>Low (&lt;5k)</v>
      </c>
      <c r="U1427">
        <v>13939</v>
      </c>
      <c r="V1427">
        <v>4</v>
      </c>
      <c r="W1427" t="s">
        <v>35</v>
      </c>
      <c r="X1427">
        <v>18</v>
      </c>
      <c r="Y1427">
        <v>3</v>
      </c>
      <c r="Z1427">
        <v>3</v>
      </c>
      <c r="AA1427">
        <v>1</v>
      </c>
      <c r="AB1427">
        <v>19</v>
      </c>
      <c r="AC1427">
        <v>3</v>
      </c>
      <c r="AD1427" t="s">
        <v>74</v>
      </c>
      <c r="AE1427">
        <v>2</v>
      </c>
      <c r="AF1427" t="str" cm="1">
        <f t="array" ref="AF1427">_xlfn.IFS(AE1427&gt;=10,"Veteran (10y+)",AE1427&gt;=3,"Established (3-10y)",AE1427&lt;3,"New Hire (&lt;3y)")</f>
        <v>New Hire (&lt;3y)</v>
      </c>
      <c r="AG1427">
        <v>2</v>
      </c>
      <c r="AH1427">
        <v>2</v>
      </c>
      <c r="AI1427">
        <v>2</v>
      </c>
    </row>
    <row r="1428" spans="1:35">
      <c r="A1428">
        <v>56</v>
      </c>
      <c r="B1428" t="str">
        <f t="shared" si="22"/>
        <v>Senior</v>
      </c>
      <c r="C1428">
        <v>0</v>
      </c>
      <c r="D1428" t="s">
        <v>44</v>
      </c>
      <c r="E1428">
        <v>906</v>
      </c>
      <c r="F1428" t="s">
        <v>37</v>
      </c>
      <c r="G1428">
        <v>6</v>
      </c>
      <c r="H1428" t="str" cm="1">
        <f t="array" ref="H1428">_xlfn.IFS(G1428&gt;15,"Long Commute",G1428&gt;5,"Moderate",G1428&lt;=5,"Near Office")</f>
        <v>Moderate</v>
      </c>
      <c r="I1428" t="s">
        <v>72</v>
      </c>
      <c r="J1428" t="s">
        <v>38</v>
      </c>
      <c r="K1428">
        <v>3</v>
      </c>
      <c r="L1428" t="s">
        <v>39</v>
      </c>
      <c r="M1428">
        <v>86</v>
      </c>
      <c r="N1428">
        <v>4</v>
      </c>
      <c r="O1428">
        <v>4</v>
      </c>
      <c r="P1428" t="s">
        <v>40</v>
      </c>
      <c r="Q1428" t="s">
        <v>82</v>
      </c>
      <c r="R1428" t="s">
        <v>48</v>
      </c>
      <c r="S1428">
        <v>13212</v>
      </c>
      <c r="T1428" t="str" cm="1">
        <f t="array" ref="T1428">_xlfn.IFS(S1428&gt;=10000,"High (&gt;10k)",S1428&gt;=5000,"Medium (5k-10k)",S1428&lt;5000,"Low (&lt;5k)")</f>
        <v>High (&gt;10k)</v>
      </c>
      <c r="U1428">
        <v>18256</v>
      </c>
      <c r="V1428">
        <v>9</v>
      </c>
      <c r="W1428" t="s">
        <v>43</v>
      </c>
      <c r="X1428">
        <v>11</v>
      </c>
      <c r="Y1428">
        <v>3</v>
      </c>
      <c r="Z1428">
        <v>4</v>
      </c>
      <c r="AA1428">
        <v>3</v>
      </c>
      <c r="AB1428">
        <v>36</v>
      </c>
      <c r="AC1428">
        <v>0</v>
      </c>
      <c r="AD1428" t="s">
        <v>81</v>
      </c>
      <c r="AE1428">
        <v>7</v>
      </c>
      <c r="AF1428" t="str" cm="1">
        <f t="array" ref="AF1428">_xlfn.IFS(AE1428&gt;=10,"Veteran (10y+)",AE1428&gt;=3,"Established (3-10y)",AE1428&lt;3,"New Hire (&lt;3y)")</f>
        <v>Established (3-10y)</v>
      </c>
      <c r="AG1428">
        <v>7</v>
      </c>
      <c r="AH1428">
        <v>7</v>
      </c>
      <c r="AI1428">
        <v>7</v>
      </c>
    </row>
    <row r="1429" spans="1:35">
      <c r="A1429">
        <v>56</v>
      </c>
      <c r="B1429" t="str">
        <f t="shared" si="22"/>
        <v>Senior</v>
      </c>
      <c r="C1429">
        <v>0</v>
      </c>
      <c r="D1429" t="s">
        <v>36</v>
      </c>
      <c r="E1429">
        <v>832</v>
      </c>
      <c r="F1429" t="s">
        <v>45</v>
      </c>
      <c r="G1429">
        <v>9</v>
      </c>
      <c r="H1429" t="str" cm="1">
        <f t="array" ref="H1429">_xlfn.IFS(G1429&gt;15,"Long Commute",G1429&gt;5,"Moderate",G1429&lt;=5,"Near Office")</f>
        <v>Moderate</v>
      </c>
      <c r="I1429" t="s">
        <v>72</v>
      </c>
      <c r="J1429" t="s">
        <v>51</v>
      </c>
      <c r="K1429">
        <v>3</v>
      </c>
      <c r="L1429" t="s">
        <v>46</v>
      </c>
      <c r="M1429">
        <v>81</v>
      </c>
      <c r="N1429">
        <v>3</v>
      </c>
      <c r="O1429">
        <v>4</v>
      </c>
      <c r="P1429" t="s">
        <v>54</v>
      </c>
      <c r="Q1429" t="s">
        <v>77</v>
      </c>
      <c r="R1429" t="s">
        <v>48</v>
      </c>
      <c r="S1429">
        <v>11103</v>
      </c>
      <c r="T1429" t="str" cm="1">
        <f t="array" ref="T1429">_xlfn.IFS(S1429&gt;=10000,"High (&gt;10k)",S1429&gt;=5000,"Medium (5k-10k)",S1429&lt;5000,"Low (&lt;5k)")</f>
        <v>High (&gt;10k)</v>
      </c>
      <c r="U1429">
        <v>20420</v>
      </c>
      <c r="V1429">
        <v>7</v>
      </c>
      <c r="W1429" t="s">
        <v>43</v>
      </c>
      <c r="X1429">
        <v>11</v>
      </c>
      <c r="Y1429">
        <v>3</v>
      </c>
      <c r="Z1429">
        <v>3</v>
      </c>
      <c r="AA1429">
        <v>0</v>
      </c>
      <c r="AB1429">
        <v>30</v>
      </c>
      <c r="AC1429">
        <v>1</v>
      </c>
      <c r="AD1429" t="s">
        <v>81</v>
      </c>
      <c r="AE1429">
        <v>10</v>
      </c>
      <c r="AF1429" t="str" cm="1">
        <f t="array" ref="AF1429">_xlfn.IFS(AE1429&gt;=10,"Veteran (10y+)",AE1429&gt;=3,"Established (3-10y)",AE1429&lt;3,"New Hire (&lt;3y)")</f>
        <v>Veteran (10y+)</v>
      </c>
      <c r="AG1429">
        <v>7</v>
      </c>
      <c r="AH1429">
        <v>1</v>
      </c>
      <c r="AI1429">
        <v>1</v>
      </c>
    </row>
    <row r="1430" spans="1:35">
      <c r="A1430">
        <v>56</v>
      </c>
      <c r="B1430" t="str">
        <f t="shared" si="22"/>
        <v>Senior</v>
      </c>
      <c r="C1430">
        <v>0</v>
      </c>
      <c r="D1430" t="s">
        <v>44</v>
      </c>
      <c r="E1430">
        <v>1240</v>
      </c>
      <c r="F1430" t="s">
        <v>45</v>
      </c>
      <c r="G1430">
        <v>9</v>
      </c>
      <c r="H1430" t="str" cm="1">
        <f t="array" ref="H1430">_xlfn.IFS(G1430&gt;15,"Long Commute",G1430&gt;5,"Moderate",G1430&lt;=5,"Near Office")</f>
        <v>Moderate</v>
      </c>
      <c r="I1430" t="s">
        <v>72</v>
      </c>
      <c r="J1430" t="s">
        <v>51</v>
      </c>
      <c r="K1430">
        <v>1</v>
      </c>
      <c r="L1430" t="s">
        <v>39</v>
      </c>
      <c r="M1430">
        <v>63</v>
      </c>
      <c r="N1430">
        <v>3</v>
      </c>
      <c r="O1430">
        <v>1</v>
      </c>
      <c r="P1430" t="s">
        <v>47</v>
      </c>
      <c r="Q1430" t="s">
        <v>73</v>
      </c>
      <c r="R1430" t="s">
        <v>48</v>
      </c>
      <c r="S1430">
        <v>2942</v>
      </c>
      <c r="T1430" t="str" cm="1">
        <f t="array" ref="T1430">_xlfn.IFS(S1430&gt;=10000,"High (&gt;10k)",S1430&gt;=5000,"Medium (5k-10k)",S1430&lt;5000,"Low (&lt;5k)")</f>
        <v>Low (&lt;5k)</v>
      </c>
      <c r="U1430">
        <v>12154</v>
      </c>
      <c r="V1430">
        <v>2</v>
      </c>
      <c r="W1430" t="s">
        <v>43</v>
      </c>
      <c r="X1430">
        <v>19</v>
      </c>
      <c r="Y1430">
        <v>3</v>
      </c>
      <c r="Z1430">
        <v>2</v>
      </c>
      <c r="AA1430">
        <v>1</v>
      </c>
      <c r="AB1430">
        <v>18</v>
      </c>
      <c r="AC1430">
        <v>4</v>
      </c>
      <c r="AD1430" t="s">
        <v>74</v>
      </c>
      <c r="AE1430">
        <v>5</v>
      </c>
      <c r="AF1430" t="str" cm="1">
        <f t="array" ref="AF1430">_xlfn.IFS(AE1430&gt;=10,"Veteran (10y+)",AE1430&gt;=3,"Established (3-10y)",AE1430&lt;3,"New Hire (&lt;3y)")</f>
        <v>Established (3-10y)</v>
      </c>
      <c r="AG1430">
        <v>4</v>
      </c>
      <c r="AH1430">
        <v>0</v>
      </c>
      <c r="AI1430">
        <v>3</v>
      </c>
    </row>
    <row r="1431" spans="1:35">
      <c r="A1431">
        <v>56</v>
      </c>
      <c r="B1431" t="str">
        <f t="shared" si="22"/>
        <v>Senior</v>
      </c>
      <c r="C1431">
        <v>0</v>
      </c>
      <c r="D1431" t="s">
        <v>36</v>
      </c>
      <c r="E1431">
        <v>718</v>
      </c>
      <c r="F1431" t="s">
        <v>45</v>
      </c>
      <c r="G1431">
        <v>4</v>
      </c>
      <c r="H1431" t="str" cm="1">
        <f t="array" ref="H1431">_xlfn.IFS(G1431&gt;15,"Long Commute",G1431&gt;5,"Moderate",G1431&lt;=5,"Near Office")</f>
        <v>Near Office</v>
      </c>
      <c r="I1431" t="s">
        <v>83</v>
      </c>
      <c r="J1431" t="s">
        <v>60</v>
      </c>
      <c r="K1431">
        <v>4</v>
      </c>
      <c r="L1431" t="s">
        <v>39</v>
      </c>
      <c r="M1431">
        <v>92</v>
      </c>
      <c r="N1431">
        <v>3</v>
      </c>
      <c r="O1431">
        <v>5</v>
      </c>
      <c r="P1431" t="s">
        <v>56</v>
      </c>
      <c r="Q1431" t="s">
        <v>82</v>
      </c>
      <c r="R1431" t="s">
        <v>52</v>
      </c>
      <c r="S1431">
        <v>19943</v>
      </c>
      <c r="T1431" t="str" cm="1">
        <f t="array" ref="T1431">_xlfn.IFS(S1431&gt;=10000,"High (&gt;10k)",S1431&gt;=5000,"Medium (5k-10k)",S1431&lt;5000,"Low (&lt;5k)")</f>
        <v>High (&gt;10k)</v>
      </c>
      <c r="U1431">
        <v>18575</v>
      </c>
      <c r="V1431">
        <v>4</v>
      </c>
      <c r="W1431" t="s">
        <v>43</v>
      </c>
      <c r="X1431">
        <v>13</v>
      </c>
      <c r="Y1431">
        <v>3</v>
      </c>
      <c r="Z1431">
        <v>4</v>
      </c>
      <c r="AA1431">
        <v>1</v>
      </c>
      <c r="AB1431">
        <v>28</v>
      </c>
      <c r="AC1431">
        <v>2</v>
      </c>
      <c r="AD1431" t="s">
        <v>74</v>
      </c>
      <c r="AE1431">
        <v>5</v>
      </c>
      <c r="AF1431" t="str" cm="1">
        <f t="array" ref="AF1431">_xlfn.IFS(AE1431&gt;=10,"Veteran (10y+)",AE1431&gt;=3,"Established (3-10y)",AE1431&lt;3,"New Hire (&lt;3y)")</f>
        <v>Established (3-10y)</v>
      </c>
      <c r="AG1431">
        <v>2</v>
      </c>
      <c r="AH1431">
        <v>4</v>
      </c>
      <c r="AI1431">
        <v>2</v>
      </c>
    </row>
    <row r="1432" spans="1:35">
      <c r="A1432">
        <v>56</v>
      </c>
      <c r="B1432" t="str">
        <f t="shared" si="22"/>
        <v>Senior</v>
      </c>
      <c r="C1432">
        <v>0</v>
      </c>
      <c r="D1432" t="s">
        <v>36</v>
      </c>
      <c r="E1432">
        <v>206</v>
      </c>
      <c r="F1432" t="s">
        <v>61</v>
      </c>
      <c r="G1432">
        <v>8</v>
      </c>
      <c r="H1432" t="str" cm="1">
        <f t="array" ref="H1432">_xlfn.IFS(G1432&gt;15,"Long Commute",G1432&gt;5,"Moderate",G1432&lt;=5,"Near Office")</f>
        <v>Moderate</v>
      </c>
      <c r="I1432" t="s">
        <v>83</v>
      </c>
      <c r="J1432" t="s">
        <v>38</v>
      </c>
      <c r="K1432">
        <v>4</v>
      </c>
      <c r="L1432" t="s">
        <v>46</v>
      </c>
      <c r="M1432">
        <v>99</v>
      </c>
      <c r="N1432">
        <v>3</v>
      </c>
      <c r="O1432">
        <v>5</v>
      </c>
      <c r="P1432" t="s">
        <v>56</v>
      </c>
      <c r="Q1432" t="s">
        <v>75</v>
      </c>
      <c r="R1432" t="s">
        <v>41</v>
      </c>
      <c r="S1432">
        <v>19717</v>
      </c>
      <c r="T1432" t="str" cm="1">
        <f t="array" ref="T1432">_xlfn.IFS(S1432&gt;=10000,"High (&gt;10k)",S1432&gt;=5000,"Medium (5k-10k)",S1432&lt;5000,"Low (&lt;5k)")</f>
        <v>High (&gt;10k)</v>
      </c>
      <c r="U1432">
        <v>4022</v>
      </c>
      <c r="V1432">
        <v>6</v>
      </c>
      <c r="W1432" t="s">
        <v>43</v>
      </c>
      <c r="X1432">
        <v>14</v>
      </c>
      <c r="Y1432">
        <v>3</v>
      </c>
      <c r="Z1432">
        <v>1</v>
      </c>
      <c r="AA1432">
        <v>0</v>
      </c>
      <c r="AB1432">
        <v>36</v>
      </c>
      <c r="AC1432">
        <v>4</v>
      </c>
      <c r="AD1432" t="s">
        <v>74</v>
      </c>
      <c r="AE1432">
        <v>7</v>
      </c>
      <c r="AF1432" t="str" cm="1">
        <f t="array" ref="AF1432">_xlfn.IFS(AE1432&gt;=10,"Veteran (10y+)",AE1432&gt;=3,"Established (3-10y)",AE1432&lt;3,"New Hire (&lt;3y)")</f>
        <v>Established (3-10y)</v>
      </c>
      <c r="AG1432">
        <v>3</v>
      </c>
      <c r="AH1432">
        <v>7</v>
      </c>
      <c r="AI1432">
        <v>7</v>
      </c>
    </row>
    <row r="1433" spans="1:35">
      <c r="A1433">
        <v>56</v>
      </c>
      <c r="B1433" t="str">
        <f t="shared" si="22"/>
        <v>Senior</v>
      </c>
      <c r="C1433">
        <v>0</v>
      </c>
      <c r="D1433" t="s">
        <v>36</v>
      </c>
      <c r="E1433">
        <v>1369</v>
      </c>
      <c r="F1433" t="s">
        <v>45</v>
      </c>
      <c r="G1433">
        <v>23</v>
      </c>
      <c r="H1433" t="str" cm="1">
        <f t="array" ref="H1433">_xlfn.IFS(G1433&gt;15,"Long Commute",G1433&gt;5,"Moderate",G1433&lt;=5,"Near Office")</f>
        <v>Long Commute</v>
      </c>
      <c r="I1433" t="s">
        <v>72</v>
      </c>
      <c r="J1433" t="s">
        <v>38</v>
      </c>
      <c r="K1433">
        <v>4</v>
      </c>
      <c r="L1433" t="s">
        <v>46</v>
      </c>
      <c r="M1433">
        <v>68</v>
      </c>
      <c r="N1433">
        <v>3</v>
      </c>
      <c r="O1433">
        <v>4</v>
      </c>
      <c r="P1433" t="s">
        <v>53</v>
      </c>
      <c r="Q1433" t="s">
        <v>75</v>
      </c>
      <c r="R1433" t="s">
        <v>48</v>
      </c>
      <c r="S1433">
        <v>13402</v>
      </c>
      <c r="T1433" t="str" cm="1">
        <f t="array" ref="T1433">_xlfn.IFS(S1433&gt;=10000,"High (&gt;10k)",S1433&gt;=5000,"Medium (5k-10k)",S1433&lt;5000,"Low (&lt;5k)")</f>
        <v>High (&gt;10k)</v>
      </c>
      <c r="U1433">
        <v>18235</v>
      </c>
      <c r="V1433">
        <v>4</v>
      </c>
      <c r="W1433" t="s">
        <v>35</v>
      </c>
      <c r="X1433">
        <v>12</v>
      </c>
      <c r="Y1433">
        <v>3</v>
      </c>
      <c r="Z1433">
        <v>1</v>
      </c>
      <c r="AA1433">
        <v>1</v>
      </c>
      <c r="AB1433">
        <v>33</v>
      </c>
      <c r="AC1433">
        <v>0</v>
      </c>
      <c r="AD1433" t="s">
        <v>74</v>
      </c>
      <c r="AE1433">
        <v>19</v>
      </c>
      <c r="AF1433" t="str" cm="1">
        <f t="array" ref="AF1433">_xlfn.IFS(AE1433&gt;=10,"Veteran (10y+)",AE1433&gt;=3,"Established (3-10y)",AE1433&lt;3,"New Hire (&lt;3y)")</f>
        <v>Veteran (10y+)</v>
      </c>
      <c r="AG1433">
        <v>16</v>
      </c>
      <c r="AH1433">
        <v>15</v>
      </c>
      <c r="AI1433">
        <v>9</v>
      </c>
    </row>
    <row r="1434" spans="1:35">
      <c r="A1434">
        <v>56</v>
      </c>
      <c r="B1434" t="str">
        <f t="shared" si="22"/>
        <v>Senior</v>
      </c>
      <c r="C1434">
        <v>0</v>
      </c>
      <c r="D1434" t="s">
        <v>36</v>
      </c>
      <c r="E1434">
        <v>1255</v>
      </c>
      <c r="F1434" t="s">
        <v>45</v>
      </c>
      <c r="G1434">
        <v>1</v>
      </c>
      <c r="H1434" t="str" cm="1">
        <f t="array" ref="H1434">_xlfn.IFS(G1434&gt;15,"Long Commute",G1434&gt;5,"Moderate",G1434&lt;=5,"Near Office")</f>
        <v>Near Office</v>
      </c>
      <c r="I1434" t="s">
        <v>76</v>
      </c>
      <c r="J1434" t="s">
        <v>38</v>
      </c>
      <c r="K1434">
        <v>1</v>
      </c>
      <c r="L1434" t="s">
        <v>39</v>
      </c>
      <c r="M1434">
        <v>90</v>
      </c>
      <c r="N1434">
        <v>3</v>
      </c>
      <c r="O1434">
        <v>1</v>
      </c>
      <c r="P1434" t="s">
        <v>47</v>
      </c>
      <c r="Q1434" t="s">
        <v>82</v>
      </c>
      <c r="R1434" t="s">
        <v>48</v>
      </c>
      <c r="S1434">
        <v>2066</v>
      </c>
      <c r="T1434" t="str" cm="1">
        <f t="array" ref="T1434">_xlfn.IFS(S1434&gt;=10000,"High (&gt;10k)",S1434&gt;=5000,"Medium (5k-10k)",S1434&lt;5000,"Low (&lt;5k)")</f>
        <v>Low (&lt;5k)</v>
      </c>
      <c r="U1434">
        <v>10494</v>
      </c>
      <c r="V1434">
        <v>2</v>
      </c>
      <c r="W1434" t="s">
        <v>43</v>
      </c>
      <c r="X1434">
        <v>22</v>
      </c>
      <c r="Y1434">
        <v>4</v>
      </c>
      <c r="Z1434">
        <v>4</v>
      </c>
      <c r="AA1434">
        <v>1</v>
      </c>
      <c r="AB1434">
        <v>5</v>
      </c>
      <c r="AC1434">
        <v>3</v>
      </c>
      <c r="AD1434" t="s">
        <v>79</v>
      </c>
      <c r="AE1434">
        <v>3</v>
      </c>
      <c r="AF1434" t="str" cm="1">
        <f t="array" ref="AF1434">_xlfn.IFS(AE1434&gt;=10,"Veteran (10y+)",AE1434&gt;=3,"Established (3-10y)",AE1434&lt;3,"New Hire (&lt;3y)")</f>
        <v>Established (3-10y)</v>
      </c>
      <c r="AG1434">
        <v>2</v>
      </c>
      <c r="AH1434">
        <v>1</v>
      </c>
      <c r="AI1434">
        <v>0</v>
      </c>
    </row>
    <row r="1435" spans="1:35">
      <c r="A1435">
        <v>56</v>
      </c>
      <c r="B1435" t="str">
        <f t="shared" si="22"/>
        <v>Senior</v>
      </c>
      <c r="C1435">
        <v>1</v>
      </c>
      <c r="D1435" t="s">
        <v>36</v>
      </c>
      <c r="E1435">
        <v>1162</v>
      </c>
      <c r="F1435" t="s">
        <v>45</v>
      </c>
      <c r="G1435">
        <v>24</v>
      </c>
      <c r="H1435" t="str" cm="1">
        <f t="array" ref="H1435">_xlfn.IFS(G1435&gt;15,"Long Commute",G1435&gt;5,"Moderate",G1435&lt;=5,"Near Office")</f>
        <v>Long Commute</v>
      </c>
      <c r="I1435" t="s">
        <v>76</v>
      </c>
      <c r="J1435" t="s">
        <v>38</v>
      </c>
      <c r="K1435">
        <v>1</v>
      </c>
      <c r="L1435" t="s">
        <v>46</v>
      </c>
      <c r="M1435">
        <v>97</v>
      </c>
      <c r="N1435">
        <v>3</v>
      </c>
      <c r="O1435">
        <v>1</v>
      </c>
      <c r="P1435" t="s">
        <v>50</v>
      </c>
      <c r="Q1435" t="s">
        <v>77</v>
      </c>
      <c r="R1435" t="s">
        <v>41</v>
      </c>
      <c r="S1435">
        <v>2587</v>
      </c>
      <c r="T1435" t="str" cm="1">
        <f t="array" ref="T1435">_xlfn.IFS(S1435&gt;=10000,"High (&gt;10k)",S1435&gt;=5000,"Medium (5k-10k)",S1435&lt;5000,"Low (&lt;5k)")</f>
        <v>Low (&lt;5k)</v>
      </c>
      <c r="U1435">
        <v>10261</v>
      </c>
      <c r="V1435">
        <v>1</v>
      </c>
      <c r="W1435" t="s">
        <v>43</v>
      </c>
      <c r="X1435">
        <v>16</v>
      </c>
      <c r="Y1435">
        <v>3</v>
      </c>
      <c r="Z1435">
        <v>4</v>
      </c>
      <c r="AA1435">
        <v>0</v>
      </c>
      <c r="AB1435">
        <v>5</v>
      </c>
      <c r="AC1435">
        <v>3</v>
      </c>
      <c r="AD1435" t="s">
        <v>74</v>
      </c>
      <c r="AE1435">
        <v>4</v>
      </c>
      <c r="AF1435" t="str" cm="1">
        <f t="array" ref="AF1435">_xlfn.IFS(AE1435&gt;=10,"Veteran (10y+)",AE1435&gt;=3,"Established (3-10y)",AE1435&lt;3,"New Hire (&lt;3y)")</f>
        <v>Established (3-10y)</v>
      </c>
      <c r="AG1435">
        <v>2</v>
      </c>
      <c r="AH1435">
        <v>1</v>
      </c>
      <c r="AI1435">
        <v>0</v>
      </c>
    </row>
    <row r="1436" spans="1:35">
      <c r="A1436">
        <v>56</v>
      </c>
      <c r="B1436" t="str">
        <f t="shared" si="22"/>
        <v>Senior</v>
      </c>
      <c r="C1436">
        <v>0</v>
      </c>
      <c r="D1436" t="s">
        <v>36</v>
      </c>
      <c r="E1436">
        <v>1443</v>
      </c>
      <c r="F1436" t="s">
        <v>37</v>
      </c>
      <c r="G1436">
        <v>11</v>
      </c>
      <c r="H1436" t="str" cm="1">
        <f t="array" ref="H1436">_xlfn.IFS(G1436&gt;15,"Long Commute",G1436&gt;5,"Moderate",G1436&lt;=5,"Near Office")</f>
        <v>Moderate</v>
      </c>
      <c r="I1436" t="s">
        <v>84</v>
      </c>
      <c r="J1436" t="s">
        <v>59</v>
      </c>
      <c r="K1436">
        <v>4</v>
      </c>
      <c r="L1436" t="s">
        <v>39</v>
      </c>
      <c r="M1436">
        <v>89</v>
      </c>
      <c r="N1436">
        <v>2</v>
      </c>
      <c r="O1436">
        <v>2</v>
      </c>
      <c r="P1436" t="s">
        <v>40</v>
      </c>
      <c r="Q1436" t="s">
        <v>82</v>
      </c>
      <c r="R1436" t="s">
        <v>48</v>
      </c>
      <c r="S1436">
        <v>5380</v>
      </c>
      <c r="T1436" t="str" cm="1">
        <f t="array" ref="T1436">_xlfn.IFS(S1436&gt;=10000,"High (&gt;10k)",S1436&gt;=5000,"Medium (5k-10k)",S1436&lt;5000,"Low (&lt;5k)")</f>
        <v>Medium (5k-10k)</v>
      </c>
      <c r="U1436">
        <v>20328</v>
      </c>
      <c r="V1436">
        <v>4</v>
      </c>
      <c r="W1436" t="s">
        <v>43</v>
      </c>
      <c r="X1436">
        <v>16</v>
      </c>
      <c r="Y1436">
        <v>3</v>
      </c>
      <c r="Z1436">
        <v>3</v>
      </c>
      <c r="AA1436">
        <v>1</v>
      </c>
      <c r="AB1436">
        <v>6</v>
      </c>
      <c r="AC1436">
        <v>3</v>
      </c>
      <c r="AD1436" t="s">
        <v>74</v>
      </c>
      <c r="AE1436">
        <v>0</v>
      </c>
      <c r="AF1436" t="str" cm="1">
        <f t="array" ref="AF1436">_xlfn.IFS(AE1436&gt;=10,"Veteran (10y+)",AE1436&gt;=3,"Established (3-10y)",AE1436&lt;3,"New Hire (&lt;3y)")</f>
        <v>New Hire (&lt;3y)</v>
      </c>
      <c r="AG1436">
        <v>0</v>
      </c>
      <c r="AH1436">
        <v>0</v>
      </c>
      <c r="AI1436">
        <v>0</v>
      </c>
    </row>
    <row r="1437" spans="1:35">
      <c r="A1437">
        <v>56</v>
      </c>
      <c r="B1437" t="str">
        <f t="shared" si="22"/>
        <v>Senior</v>
      </c>
      <c r="C1437">
        <v>0</v>
      </c>
      <c r="D1437" t="s">
        <v>55</v>
      </c>
      <c r="E1437">
        <v>667</v>
      </c>
      <c r="F1437" t="s">
        <v>45</v>
      </c>
      <c r="G1437">
        <v>1</v>
      </c>
      <c r="H1437" t="str" cm="1">
        <f t="array" ref="H1437">_xlfn.IFS(G1437&gt;15,"Long Commute",G1437&gt;5,"Moderate",G1437&lt;=5,"Near Office")</f>
        <v>Near Office</v>
      </c>
      <c r="I1437" t="s">
        <v>83</v>
      </c>
      <c r="J1437" t="s">
        <v>38</v>
      </c>
      <c r="K1437">
        <v>3</v>
      </c>
      <c r="L1437" t="s">
        <v>46</v>
      </c>
      <c r="M1437">
        <v>57</v>
      </c>
      <c r="N1437">
        <v>3</v>
      </c>
      <c r="O1437">
        <v>2</v>
      </c>
      <c r="P1437" t="s">
        <v>54</v>
      </c>
      <c r="Q1437" t="s">
        <v>73</v>
      </c>
      <c r="R1437" t="s">
        <v>52</v>
      </c>
      <c r="S1437">
        <v>6306</v>
      </c>
      <c r="T1437" t="str" cm="1">
        <f t="array" ref="T1437">_xlfn.IFS(S1437&gt;=10000,"High (&gt;10k)",S1437&gt;=5000,"Medium (5k-10k)",S1437&lt;5000,"Low (&lt;5k)")</f>
        <v>Medium (5k-10k)</v>
      </c>
      <c r="U1437">
        <v>26236</v>
      </c>
      <c r="V1437">
        <v>1</v>
      </c>
      <c r="W1437" t="s">
        <v>43</v>
      </c>
      <c r="X1437">
        <v>21</v>
      </c>
      <c r="Y1437">
        <v>4</v>
      </c>
      <c r="Z1437">
        <v>1</v>
      </c>
      <c r="AA1437">
        <v>1</v>
      </c>
      <c r="AB1437">
        <v>13</v>
      </c>
      <c r="AC1437">
        <v>2</v>
      </c>
      <c r="AD1437" t="s">
        <v>81</v>
      </c>
      <c r="AE1437">
        <v>13</v>
      </c>
      <c r="AF1437" t="str" cm="1">
        <f t="array" ref="AF1437">_xlfn.IFS(AE1437&gt;=10,"Veteran (10y+)",AE1437&gt;=3,"Established (3-10y)",AE1437&lt;3,"New Hire (&lt;3y)")</f>
        <v>Veteran (10y+)</v>
      </c>
      <c r="AG1437">
        <v>12</v>
      </c>
      <c r="AH1437">
        <v>1</v>
      </c>
      <c r="AI1437">
        <v>9</v>
      </c>
    </row>
    <row r="1438" spans="1:35">
      <c r="A1438">
        <v>56</v>
      </c>
      <c r="B1438" t="str">
        <f t="shared" si="22"/>
        <v>Senior</v>
      </c>
      <c r="C1438">
        <v>1</v>
      </c>
      <c r="D1438" t="s">
        <v>36</v>
      </c>
      <c r="E1438">
        <v>310</v>
      </c>
      <c r="F1438" t="s">
        <v>45</v>
      </c>
      <c r="G1438">
        <v>7</v>
      </c>
      <c r="H1438" t="str" cm="1">
        <f t="array" ref="H1438">_xlfn.IFS(G1438&gt;15,"Long Commute",G1438&gt;5,"Moderate",G1438&lt;=5,"Near Office")</f>
        <v>Moderate</v>
      </c>
      <c r="I1438" t="s">
        <v>76</v>
      </c>
      <c r="J1438" t="s">
        <v>60</v>
      </c>
      <c r="K1438">
        <v>4</v>
      </c>
      <c r="L1438" t="s">
        <v>46</v>
      </c>
      <c r="M1438">
        <v>72</v>
      </c>
      <c r="N1438">
        <v>3</v>
      </c>
      <c r="O1438">
        <v>1</v>
      </c>
      <c r="P1438" t="s">
        <v>50</v>
      </c>
      <c r="Q1438" t="s">
        <v>73</v>
      </c>
      <c r="R1438" t="s">
        <v>48</v>
      </c>
      <c r="S1438">
        <v>2339</v>
      </c>
      <c r="T1438" t="str" cm="1">
        <f t="array" ref="T1438">_xlfn.IFS(S1438&gt;=10000,"High (&gt;10k)",S1438&gt;=5000,"Medium (5k-10k)",S1438&lt;5000,"Low (&lt;5k)")</f>
        <v>Low (&lt;5k)</v>
      </c>
      <c r="U1438">
        <v>3666</v>
      </c>
      <c r="V1438">
        <v>8</v>
      </c>
      <c r="W1438" t="s">
        <v>43</v>
      </c>
      <c r="X1438">
        <v>11</v>
      </c>
      <c r="Y1438">
        <v>3</v>
      </c>
      <c r="Z1438">
        <v>4</v>
      </c>
      <c r="AA1438">
        <v>1</v>
      </c>
      <c r="AB1438">
        <v>14</v>
      </c>
      <c r="AC1438">
        <v>4</v>
      </c>
      <c r="AD1438" t="s">
        <v>80</v>
      </c>
      <c r="AE1438">
        <v>10</v>
      </c>
      <c r="AF1438" t="str" cm="1">
        <f t="array" ref="AF1438">_xlfn.IFS(AE1438&gt;=10,"Veteran (10y+)",AE1438&gt;=3,"Established (3-10y)",AE1438&lt;3,"New Hire (&lt;3y)")</f>
        <v>Veteran (10y+)</v>
      </c>
      <c r="AG1438">
        <v>9</v>
      </c>
      <c r="AH1438">
        <v>9</v>
      </c>
      <c r="AI1438">
        <v>8</v>
      </c>
    </row>
    <row r="1439" spans="1:35">
      <c r="A1439">
        <v>57</v>
      </c>
      <c r="B1439" t="str">
        <f t="shared" si="22"/>
        <v>Senior</v>
      </c>
      <c r="C1439">
        <v>0</v>
      </c>
      <c r="D1439" t="s">
        <v>36</v>
      </c>
      <c r="E1439">
        <v>334</v>
      </c>
      <c r="F1439" t="s">
        <v>45</v>
      </c>
      <c r="G1439">
        <v>24</v>
      </c>
      <c r="H1439" t="str" cm="1">
        <f t="array" ref="H1439">_xlfn.IFS(G1439&gt;15,"Long Commute",G1439&gt;5,"Moderate",G1439&lt;=5,"Near Office")</f>
        <v>Long Commute</v>
      </c>
      <c r="I1439" t="s">
        <v>76</v>
      </c>
      <c r="J1439" t="s">
        <v>38</v>
      </c>
      <c r="K1439">
        <v>3</v>
      </c>
      <c r="L1439" t="s">
        <v>46</v>
      </c>
      <c r="M1439">
        <v>83</v>
      </c>
      <c r="N1439">
        <v>4</v>
      </c>
      <c r="O1439">
        <v>3</v>
      </c>
      <c r="P1439" t="s">
        <v>54</v>
      </c>
      <c r="Q1439" t="s">
        <v>77</v>
      </c>
      <c r="R1439" t="s">
        <v>52</v>
      </c>
      <c r="S1439">
        <v>9439</v>
      </c>
      <c r="T1439" t="str" cm="1">
        <f t="array" ref="T1439">_xlfn.IFS(S1439&gt;=10000,"High (&gt;10k)",S1439&gt;=5000,"Medium (5k-10k)",S1439&lt;5000,"Low (&lt;5k)")</f>
        <v>Medium (5k-10k)</v>
      </c>
      <c r="U1439">
        <v>23402</v>
      </c>
      <c r="V1439">
        <v>3</v>
      </c>
      <c r="W1439" t="s">
        <v>35</v>
      </c>
      <c r="X1439">
        <v>16</v>
      </c>
      <c r="Y1439">
        <v>3</v>
      </c>
      <c r="Z1439">
        <v>2</v>
      </c>
      <c r="AA1439">
        <v>1</v>
      </c>
      <c r="AB1439">
        <v>12</v>
      </c>
      <c r="AC1439">
        <v>2</v>
      </c>
      <c r="AD1439" t="s">
        <v>80</v>
      </c>
      <c r="AE1439">
        <v>5</v>
      </c>
      <c r="AF1439" t="str" cm="1">
        <f t="array" ref="AF1439">_xlfn.IFS(AE1439&gt;=10,"Veteran (10y+)",AE1439&gt;=3,"Established (3-10y)",AE1439&lt;3,"New Hire (&lt;3y)")</f>
        <v>Established (3-10y)</v>
      </c>
      <c r="AG1439">
        <v>3</v>
      </c>
      <c r="AH1439">
        <v>1</v>
      </c>
      <c r="AI1439">
        <v>4</v>
      </c>
    </row>
    <row r="1440" spans="1:35">
      <c r="A1440">
        <v>57</v>
      </c>
      <c r="B1440" t="str">
        <f t="shared" si="22"/>
        <v>Senior</v>
      </c>
      <c r="C1440">
        <v>0</v>
      </c>
      <c r="D1440" t="s">
        <v>36</v>
      </c>
      <c r="E1440">
        <v>593</v>
      </c>
      <c r="F1440" t="s">
        <v>45</v>
      </c>
      <c r="G1440">
        <v>1</v>
      </c>
      <c r="H1440" t="str" cm="1">
        <f t="array" ref="H1440">_xlfn.IFS(G1440&gt;15,"Long Commute",G1440&gt;5,"Moderate",G1440&lt;=5,"Near Office")</f>
        <v>Near Office</v>
      </c>
      <c r="I1440" t="s">
        <v>83</v>
      </c>
      <c r="J1440" t="s">
        <v>51</v>
      </c>
      <c r="K1440">
        <v>4</v>
      </c>
      <c r="L1440" t="s">
        <v>46</v>
      </c>
      <c r="M1440">
        <v>88</v>
      </c>
      <c r="N1440">
        <v>3</v>
      </c>
      <c r="O1440">
        <v>2</v>
      </c>
      <c r="P1440" t="s">
        <v>54</v>
      </c>
      <c r="Q1440" t="s">
        <v>73</v>
      </c>
      <c r="R1440" t="s">
        <v>48</v>
      </c>
      <c r="S1440">
        <v>6755</v>
      </c>
      <c r="T1440" t="str" cm="1">
        <f t="array" ref="T1440">_xlfn.IFS(S1440&gt;=10000,"High (&gt;10k)",S1440&gt;=5000,"Medium (5k-10k)",S1440&lt;5000,"Low (&lt;5k)")</f>
        <v>Medium (5k-10k)</v>
      </c>
      <c r="U1440">
        <v>2967</v>
      </c>
      <c r="V1440">
        <v>2</v>
      </c>
      <c r="W1440" t="s">
        <v>43</v>
      </c>
      <c r="X1440">
        <v>11</v>
      </c>
      <c r="Y1440">
        <v>3</v>
      </c>
      <c r="Z1440">
        <v>3</v>
      </c>
      <c r="AA1440">
        <v>0</v>
      </c>
      <c r="AB1440">
        <v>15</v>
      </c>
      <c r="AC1440">
        <v>2</v>
      </c>
      <c r="AD1440" t="s">
        <v>74</v>
      </c>
      <c r="AE1440">
        <v>3</v>
      </c>
      <c r="AF1440" t="str" cm="1">
        <f t="array" ref="AF1440">_xlfn.IFS(AE1440&gt;=10,"Veteran (10y+)",AE1440&gt;=3,"Established (3-10y)",AE1440&lt;3,"New Hire (&lt;3y)")</f>
        <v>Established (3-10y)</v>
      </c>
      <c r="AG1440">
        <v>2</v>
      </c>
      <c r="AH1440">
        <v>1</v>
      </c>
      <c r="AI1440">
        <v>2</v>
      </c>
    </row>
    <row r="1441" spans="1:35">
      <c r="A1441">
        <v>57</v>
      </c>
      <c r="B1441" t="str">
        <f t="shared" si="22"/>
        <v>Senior</v>
      </c>
      <c r="C1441">
        <v>0</v>
      </c>
      <c r="D1441" t="s">
        <v>36</v>
      </c>
      <c r="E1441">
        <v>210</v>
      </c>
      <c r="F1441" t="s">
        <v>37</v>
      </c>
      <c r="G1441">
        <v>29</v>
      </c>
      <c r="H1441" t="str" cm="1">
        <f t="array" ref="H1441">_xlfn.IFS(G1441&gt;15,"Long Commute",G1441&gt;5,"Moderate",G1441&lt;=5,"Near Office")</f>
        <v>Long Commute</v>
      </c>
      <c r="I1441" t="s">
        <v>72</v>
      </c>
      <c r="J1441" t="s">
        <v>59</v>
      </c>
      <c r="K1441">
        <v>1</v>
      </c>
      <c r="L1441" t="s">
        <v>46</v>
      </c>
      <c r="M1441">
        <v>56</v>
      </c>
      <c r="N1441">
        <v>2</v>
      </c>
      <c r="O1441">
        <v>4</v>
      </c>
      <c r="P1441" t="s">
        <v>56</v>
      </c>
      <c r="Q1441" t="s">
        <v>77</v>
      </c>
      <c r="R1441" t="s">
        <v>52</v>
      </c>
      <c r="S1441">
        <v>14118</v>
      </c>
      <c r="T1441" t="str" cm="1">
        <f t="array" ref="T1441">_xlfn.IFS(S1441&gt;=10000,"High (&gt;10k)",S1441&gt;=5000,"Medium (5k-10k)",S1441&lt;5000,"Low (&lt;5k)")</f>
        <v>High (&gt;10k)</v>
      </c>
      <c r="U1441">
        <v>22102</v>
      </c>
      <c r="V1441">
        <v>3</v>
      </c>
      <c r="W1441" t="s">
        <v>43</v>
      </c>
      <c r="X1441">
        <v>12</v>
      </c>
      <c r="Y1441">
        <v>3</v>
      </c>
      <c r="Z1441">
        <v>3</v>
      </c>
      <c r="AA1441">
        <v>1</v>
      </c>
      <c r="AB1441">
        <v>32</v>
      </c>
      <c r="AC1441">
        <v>3</v>
      </c>
      <c r="AD1441" t="s">
        <v>81</v>
      </c>
      <c r="AE1441">
        <v>1</v>
      </c>
      <c r="AF1441" t="str" cm="1">
        <f t="array" ref="AF1441">_xlfn.IFS(AE1441&gt;=10,"Veteran (10y+)",AE1441&gt;=3,"Established (3-10y)",AE1441&lt;3,"New Hire (&lt;3y)")</f>
        <v>New Hire (&lt;3y)</v>
      </c>
      <c r="AG1441">
        <v>0</v>
      </c>
      <c r="AH1441">
        <v>0</v>
      </c>
      <c r="AI1441">
        <v>0</v>
      </c>
    </row>
    <row r="1442" spans="1:35">
      <c r="A1442">
        <v>57</v>
      </c>
      <c r="B1442" t="str">
        <f t="shared" si="22"/>
        <v>Senior</v>
      </c>
      <c r="C1442">
        <v>0</v>
      </c>
      <c r="D1442" t="s">
        <v>36</v>
      </c>
      <c r="E1442">
        <v>405</v>
      </c>
      <c r="F1442" t="s">
        <v>45</v>
      </c>
      <c r="G1442">
        <v>1</v>
      </c>
      <c r="H1442" t="str" cm="1">
        <f t="array" ref="H1442">_xlfn.IFS(G1442&gt;15,"Long Commute",G1442&gt;5,"Moderate",G1442&lt;=5,"Near Office")</f>
        <v>Near Office</v>
      </c>
      <c r="I1442" t="s">
        <v>76</v>
      </c>
      <c r="J1442" t="s">
        <v>38</v>
      </c>
      <c r="K1442">
        <v>2</v>
      </c>
      <c r="L1442" t="s">
        <v>46</v>
      </c>
      <c r="M1442">
        <v>93</v>
      </c>
      <c r="N1442">
        <v>4</v>
      </c>
      <c r="O1442">
        <v>2</v>
      </c>
      <c r="P1442" t="s">
        <v>47</v>
      </c>
      <c r="Q1442" t="s">
        <v>73</v>
      </c>
      <c r="R1442" t="s">
        <v>48</v>
      </c>
      <c r="S1442">
        <v>4900</v>
      </c>
      <c r="T1442" t="str" cm="1">
        <f t="array" ref="T1442">_xlfn.IFS(S1442&gt;=10000,"High (&gt;10k)",S1442&gt;=5000,"Medium (5k-10k)",S1442&lt;5000,"Low (&lt;5k)")</f>
        <v>Low (&lt;5k)</v>
      </c>
      <c r="U1442">
        <v>2721</v>
      </c>
      <c r="V1442">
        <v>0</v>
      </c>
      <c r="W1442" t="s">
        <v>43</v>
      </c>
      <c r="X1442">
        <v>24</v>
      </c>
      <c r="Y1442">
        <v>4</v>
      </c>
      <c r="Z1442">
        <v>1</v>
      </c>
      <c r="AA1442">
        <v>1</v>
      </c>
      <c r="AB1442">
        <v>13</v>
      </c>
      <c r="AC1442">
        <v>2</v>
      </c>
      <c r="AD1442" t="s">
        <v>81</v>
      </c>
      <c r="AE1442">
        <v>12</v>
      </c>
      <c r="AF1442" t="str" cm="1">
        <f t="array" ref="AF1442">_xlfn.IFS(AE1442&gt;=10,"Veteran (10y+)",AE1442&gt;=3,"Established (3-10y)",AE1442&lt;3,"New Hire (&lt;3y)")</f>
        <v>Veteran (10y+)</v>
      </c>
      <c r="AG1442">
        <v>9</v>
      </c>
      <c r="AH1442">
        <v>2</v>
      </c>
      <c r="AI1442">
        <v>8</v>
      </c>
    </row>
    <row r="1443" spans="1:35">
      <c r="A1443">
        <v>58</v>
      </c>
      <c r="B1443" t="str">
        <f t="shared" si="22"/>
        <v>Senior</v>
      </c>
      <c r="C1443">
        <v>0</v>
      </c>
      <c r="D1443" t="s">
        <v>36</v>
      </c>
      <c r="E1443">
        <v>682</v>
      </c>
      <c r="F1443" t="s">
        <v>37</v>
      </c>
      <c r="G1443">
        <v>10</v>
      </c>
      <c r="H1443" t="str" cm="1">
        <f t="array" ref="H1443">_xlfn.IFS(G1443&gt;15,"Long Commute",G1443&gt;5,"Moderate",G1443&lt;=5,"Near Office")</f>
        <v>Moderate</v>
      </c>
      <c r="I1443" t="s">
        <v>83</v>
      </c>
      <c r="J1443" t="s">
        <v>51</v>
      </c>
      <c r="K1443">
        <v>4</v>
      </c>
      <c r="L1443" t="s">
        <v>46</v>
      </c>
      <c r="M1443">
        <v>37</v>
      </c>
      <c r="N1443">
        <v>3</v>
      </c>
      <c r="O1443">
        <v>4</v>
      </c>
      <c r="P1443" t="s">
        <v>40</v>
      </c>
      <c r="Q1443" t="s">
        <v>73</v>
      </c>
      <c r="R1443" t="s">
        <v>41</v>
      </c>
      <c r="S1443">
        <v>13872</v>
      </c>
      <c r="T1443" t="str" cm="1">
        <f t="array" ref="T1443">_xlfn.IFS(S1443&gt;=10000,"High (&gt;10k)",S1443&gt;=5000,"Medium (5k-10k)",S1443&lt;5000,"Low (&lt;5k)")</f>
        <v>High (&gt;10k)</v>
      </c>
      <c r="U1443">
        <v>24409</v>
      </c>
      <c r="V1443">
        <v>0</v>
      </c>
      <c r="W1443" t="s">
        <v>43</v>
      </c>
      <c r="X1443">
        <v>13</v>
      </c>
      <c r="Y1443">
        <v>3</v>
      </c>
      <c r="Z1443">
        <v>3</v>
      </c>
      <c r="AA1443">
        <v>0</v>
      </c>
      <c r="AB1443">
        <v>38</v>
      </c>
      <c r="AC1443">
        <v>1</v>
      </c>
      <c r="AD1443" t="s">
        <v>81</v>
      </c>
      <c r="AE1443">
        <v>37</v>
      </c>
      <c r="AF1443" t="str" cm="1">
        <f t="array" ref="AF1443">_xlfn.IFS(AE1443&gt;=10,"Veteran (10y+)",AE1443&gt;=3,"Established (3-10y)",AE1443&lt;3,"New Hire (&lt;3y)")</f>
        <v>Veteran (10y+)</v>
      </c>
      <c r="AG1443">
        <v>10</v>
      </c>
      <c r="AH1443">
        <v>1</v>
      </c>
      <c r="AI1443">
        <v>8</v>
      </c>
    </row>
    <row r="1444" spans="1:35">
      <c r="A1444">
        <v>58</v>
      </c>
      <c r="B1444" t="str">
        <f t="shared" si="22"/>
        <v>Senior</v>
      </c>
      <c r="C1444">
        <v>1</v>
      </c>
      <c r="D1444" t="s">
        <v>36</v>
      </c>
      <c r="E1444">
        <v>147</v>
      </c>
      <c r="F1444" t="s">
        <v>45</v>
      </c>
      <c r="G1444">
        <v>23</v>
      </c>
      <c r="H1444" t="str" cm="1">
        <f t="array" ref="H1444">_xlfn.IFS(G1444&gt;15,"Long Commute",G1444&gt;5,"Moderate",G1444&lt;=5,"Near Office")</f>
        <v>Long Commute</v>
      </c>
      <c r="I1444" t="s">
        <v>83</v>
      </c>
      <c r="J1444" t="s">
        <v>51</v>
      </c>
      <c r="K1444">
        <v>4</v>
      </c>
      <c r="L1444" t="s">
        <v>39</v>
      </c>
      <c r="M1444">
        <v>94</v>
      </c>
      <c r="N1444">
        <v>3</v>
      </c>
      <c r="O1444">
        <v>3</v>
      </c>
      <c r="P1444" t="s">
        <v>54</v>
      </c>
      <c r="Q1444" t="s">
        <v>77</v>
      </c>
      <c r="R1444" t="s">
        <v>48</v>
      </c>
      <c r="S1444">
        <v>10312</v>
      </c>
      <c r="T1444" t="str" cm="1">
        <f t="array" ref="T1444">_xlfn.IFS(S1444&gt;=10000,"High (&gt;10k)",S1444&gt;=5000,"Medium (5k-10k)",S1444&lt;5000,"Low (&lt;5k)")</f>
        <v>High (&gt;10k)</v>
      </c>
      <c r="U1444">
        <v>3465</v>
      </c>
      <c r="V1444">
        <v>1</v>
      </c>
      <c r="W1444" t="s">
        <v>43</v>
      </c>
      <c r="X1444">
        <v>12</v>
      </c>
      <c r="Y1444">
        <v>3</v>
      </c>
      <c r="Z1444">
        <v>4</v>
      </c>
      <c r="AA1444">
        <v>1</v>
      </c>
      <c r="AB1444">
        <v>40</v>
      </c>
      <c r="AC1444">
        <v>3</v>
      </c>
      <c r="AD1444" t="s">
        <v>81</v>
      </c>
      <c r="AE1444">
        <v>40</v>
      </c>
      <c r="AF1444" t="str" cm="1">
        <f t="array" ref="AF1444">_xlfn.IFS(AE1444&gt;=10,"Veteran (10y+)",AE1444&gt;=3,"Established (3-10y)",AE1444&lt;3,"New Hire (&lt;3y)")</f>
        <v>Veteran (10y+)</v>
      </c>
      <c r="AG1444">
        <v>10</v>
      </c>
      <c r="AH1444">
        <v>15</v>
      </c>
      <c r="AI1444">
        <v>6</v>
      </c>
    </row>
    <row r="1445" spans="1:35">
      <c r="A1445">
        <v>58</v>
      </c>
      <c r="B1445" t="str">
        <f t="shared" si="22"/>
        <v>Senior</v>
      </c>
      <c r="C1445">
        <v>0</v>
      </c>
      <c r="D1445" t="s">
        <v>36</v>
      </c>
      <c r="E1445">
        <v>1145</v>
      </c>
      <c r="F1445" t="s">
        <v>45</v>
      </c>
      <c r="G1445">
        <v>9</v>
      </c>
      <c r="H1445" t="str" cm="1">
        <f t="array" ref="H1445">_xlfn.IFS(G1445&gt;15,"Long Commute",G1445&gt;5,"Moderate",G1445&lt;=5,"Near Office")</f>
        <v>Moderate</v>
      </c>
      <c r="I1445" t="s">
        <v>72</v>
      </c>
      <c r="J1445" t="s">
        <v>51</v>
      </c>
      <c r="K1445">
        <v>2</v>
      </c>
      <c r="L1445" t="s">
        <v>39</v>
      </c>
      <c r="M1445">
        <v>75</v>
      </c>
      <c r="N1445">
        <v>2</v>
      </c>
      <c r="O1445">
        <v>1</v>
      </c>
      <c r="P1445" t="s">
        <v>47</v>
      </c>
      <c r="Q1445" t="s">
        <v>75</v>
      </c>
      <c r="R1445" t="s">
        <v>48</v>
      </c>
      <c r="S1445">
        <v>3346</v>
      </c>
      <c r="T1445" t="str" cm="1">
        <f t="array" ref="T1445">_xlfn.IFS(S1445&gt;=10000,"High (&gt;10k)",S1445&gt;=5000,"Medium (5k-10k)",S1445&lt;5000,"Low (&lt;5k)")</f>
        <v>Low (&lt;5k)</v>
      </c>
      <c r="U1445">
        <v>11873</v>
      </c>
      <c r="V1445">
        <v>4</v>
      </c>
      <c r="W1445" t="s">
        <v>35</v>
      </c>
      <c r="X1445">
        <v>20</v>
      </c>
      <c r="Y1445">
        <v>4</v>
      </c>
      <c r="Z1445">
        <v>2</v>
      </c>
      <c r="AA1445">
        <v>1</v>
      </c>
      <c r="AB1445">
        <v>9</v>
      </c>
      <c r="AC1445">
        <v>3</v>
      </c>
      <c r="AD1445" t="s">
        <v>81</v>
      </c>
      <c r="AE1445">
        <v>1</v>
      </c>
      <c r="AF1445" t="str" cm="1">
        <f t="array" ref="AF1445">_xlfn.IFS(AE1445&gt;=10,"Veteran (10y+)",AE1445&gt;=3,"Established (3-10y)",AE1445&lt;3,"New Hire (&lt;3y)")</f>
        <v>New Hire (&lt;3y)</v>
      </c>
      <c r="AG1445">
        <v>0</v>
      </c>
      <c r="AH1445">
        <v>0</v>
      </c>
      <c r="AI1445">
        <v>0</v>
      </c>
    </row>
    <row r="1446" spans="1:35">
      <c r="A1446">
        <v>58</v>
      </c>
      <c r="B1446" t="str">
        <f t="shared" si="22"/>
        <v>Senior</v>
      </c>
      <c r="C1446">
        <v>0</v>
      </c>
      <c r="D1446" t="s">
        <v>55</v>
      </c>
      <c r="E1446">
        <v>390</v>
      </c>
      <c r="F1446" t="s">
        <v>45</v>
      </c>
      <c r="G1446">
        <v>1</v>
      </c>
      <c r="H1446" t="str" cm="1">
        <f t="array" ref="H1446">_xlfn.IFS(G1446&gt;15,"Long Commute",G1446&gt;5,"Moderate",G1446&lt;=5,"Near Office")</f>
        <v>Near Office</v>
      </c>
      <c r="I1446" t="s">
        <v>83</v>
      </c>
      <c r="J1446" t="s">
        <v>38</v>
      </c>
      <c r="K1446">
        <v>4</v>
      </c>
      <c r="L1446" t="s">
        <v>46</v>
      </c>
      <c r="M1446">
        <v>32</v>
      </c>
      <c r="N1446">
        <v>1</v>
      </c>
      <c r="O1446">
        <v>2</v>
      </c>
      <c r="P1446" t="s">
        <v>54</v>
      </c>
      <c r="Q1446" t="s">
        <v>73</v>
      </c>
      <c r="R1446" t="s">
        <v>52</v>
      </c>
      <c r="S1446">
        <v>5660</v>
      </c>
      <c r="T1446" t="str" cm="1">
        <f t="array" ref="T1446">_xlfn.IFS(S1446&gt;=10000,"High (&gt;10k)",S1446&gt;=5000,"Medium (5k-10k)",S1446&lt;5000,"Low (&lt;5k)")</f>
        <v>Medium (5k-10k)</v>
      </c>
      <c r="U1446">
        <v>17056</v>
      </c>
      <c r="V1446">
        <v>2</v>
      </c>
      <c r="W1446" t="s">
        <v>35</v>
      </c>
      <c r="X1446">
        <v>13</v>
      </c>
      <c r="Y1446">
        <v>3</v>
      </c>
      <c r="Z1446">
        <v>4</v>
      </c>
      <c r="AA1446">
        <v>1</v>
      </c>
      <c r="AB1446">
        <v>12</v>
      </c>
      <c r="AC1446">
        <v>2</v>
      </c>
      <c r="AD1446" t="s">
        <v>74</v>
      </c>
      <c r="AE1446">
        <v>5</v>
      </c>
      <c r="AF1446" t="str" cm="1">
        <f t="array" ref="AF1446">_xlfn.IFS(AE1446&gt;=10,"Veteran (10y+)",AE1446&gt;=3,"Established (3-10y)",AE1446&lt;3,"New Hire (&lt;3y)")</f>
        <v>Established (3-10y)</v>
      </c>
      <c r="AG1446">
        <v>3</v>
      </c>
      <c r="AH1446">
        <v>1</v>
      </c>
      <c r="AI1446">
        <v>2</v>
      </c>
    </row>
    <row r="1447" spans="1:35">
      <c r="A1447">
        <v>58</v>
      </c>
      <c r="B1447" t="str">
        <f t="shared" si="22"/>
        <v>Senior</v>
      </c>
      <c r="C1447">
        <v>1</v>
      </c>
      <c r="D1447" t="s">
        <v>36</v>
      </c>
      <c r="E1447">
        <v>286</v>
      </c>
      <c r="F1447" t="s">
        <v>45</v>
      </c>
      <c r="G1447">
        <v>2</v>
      </c>
      <c r="H1447" t="str" cm="1">
        <f t="array" ref="H1447">_xlfn.IFS(G1447&gt;15,"Long Commute",G1447&gt;5,"Moderate",G1447&lt;=5,"Near Office")</f>
        <v>Near Office</v>
      </c>
      <c r="I1447" t="s">
        <v>83</v>
      </c>
      <c r="J1447" t="s">
        <v>38</v>
      </c>
      <c r="K1447">
        <v>4</v>
      </c>
      <c r="L1447" t="s">
        <v>46</v>
      </c>
      <c r="M1447">
        <v>31</v>
      </c>
      <c r="N1447">
        <v>3</v>
      </c>
      <c r="O1447">
        <v>5</v>
      </c>
      <c r="P1447" t="s">
        <v>58</v>
      </c>
      <c r="Q1447" t="s">
        <v>75</v>
      </c>
      <c r="R1447" t="s">
        <v>41</v>
      </c>
      <c r="S1447">
        <v>19246</v>
      </c>
      <c r="T1447" t="str" cm="1">
        <f t="array" ref="T1447">_xlfn.IFS(S1447&gt;=10000,"High (&gt;10k)",S1447&gt;=5000,"Medium (5k-10k)",S1447&lt;5000,"Low (&lt;5k)")</f>
        <v>High (&gt;10k)</v>
      </c>
      <c r="U1447">
        <v>25761</v>
      </c>
      <c r="V1447">
        <v>7</v>
      </c>
      <c r="W1447" t="s">
        <v>35</v>
      </c>
      <c r="X1447">
        <v>12</v>
      </c>
      <c r="Y1447">
        <v>3</v>
      </c>
      <c r="Z1447">
        <v>4</v>
      </c>
      <c r="AA1447">
        <v>0</v>
      </c>
      <c r="AB1447">
        <v>40</v>
      </c>
      <c r="AC1447">
        <v>2</v>
      </c>
      <c r="AD1447" t="s">
        <v>74</v>
      </c>
      <c r="AE1447">
        <v>31</v>
      </c>
      <c r="AF1447" t="str" cm="1">
        <f t="array" ref="AF1447">_xlfn.IFS(AE1447&gt;=10,"Veteran (10y+)",AE1447&gt;=3,"Established (3-10y)",AE1447&lt;3,"New Hire (&lt;3y)")</f>
        <v>Veteran (10y+)</v>
      </c>
      <c r="AG1447">
        <v>15</v>
      </c>
      <c r="AH1447">
        <v>13</v>
      </c>
      <c r="AI1447">
        <v>8</v>
      </c>
    </row>
    <row r="1448" spans="1:35">
      <c r="A1448">
        <v>58</v>
      </c>
      <c r="B1448" t="str">
        <f t="shared" si="22"/>
        <v>Senior</v>
      </c>
      <c r="C1448">
        <v>1</v>
      </c>
      <c r="D1448" t="s">
        <v>44</v>
      </c>
      <c r="E1448">
        <v>781</v>
      </c>
      <c r="F1448" t="s">
        <v>45</v>
      </c>
      <c r="G1448">
        <v>2</v>
      </c>
      <c r="H1448" t="str" cm="1">
        <f t="array" ref="H1448">_xlfn.IFS(G1448&gt;15,"Long Commute",G1448&gt;5,"Moderate",G1448&lt;=5,"Near Office")</f>
        <v>Near Office</v>
      </c>
      <c r="I1448" t="s">
        <v>78</v>
      </c>
      <c r="J1448" t="s">
        <v>38</v>
      </c>
      <c r="K1448">
        <v>4</v>
      </c>
      <c r="L1448" t="s">
        <v>46</v>
      </c>
      <c r="M1448">
        <v>57</v>
      </c>
      <c r="N1448">
        <v>2</v>
      </c>
      <c r="O1448">
        <v>1</v>
      </c>
      <c r="P1448" t="s">
        <v>50</v>
      </c>
      <c r="Q1448" t="s">
        <v>77</v>
      </c>
      <c r="R1448" t="s">
        <v>52</v>
      </c>
      <c r="S1448">
        <v>2380</v>
      </c>
      <c r="T1448" t="str" cm="1">
        <f t="array" ref="T1448">_xlfn.IFS(S1448&gt;=10000,"High (&gt;10k)",S1448&gt;=5000,"Medium (5k-10k)",S1448&lt;5000,"Low (&lt;5k)")</f>
        <v>Low (&lt;5k)</v>
      </c>
      <c r="U1448">
        <v>13384</v>
      </c>
      <c r="V1448">
        <v>9</v>
      </c>
      <c r="W1448" t="s">
        <v>35</v>
      </c>
      <c r="X1448">
        <v>14</v>
      </c>
      <c r="Y1448">
        <v>3</v>
      </c>
      <c r="Z1448">
        <v>4</v>
      </c>
      <c r="AA1448">
        <v>1</v>
      </c>
      <c r="AB1448">
        <v>3</v>
      </c>
      <c r="AC1448">
        <v>3</v>
      </c>
      <c r="AD1448" t="s">
        <v>81</v>
      </c>
      <c r="AE1448">
        <v>1</v>
      </c>
      <c r="AF1448" t="str" cm="1">
        <f t="array" ref="AF1448">_xlfn.IFS(AE1448&gt;=10,"Veteran (10y+)",AE1448&gt;=3,"Established (3-10y)",AE1448&lt;3,"New Hire (&lt;3y)")</f>
        <v>New Hire (&lt;3y)</v>
      </c>
      <c r="AG1448">
        <v>0</v>
      </c>
      <c r="AH1448">
        <v>0</v>
      </c>
      <c r="AI1448">
        <v>0</v>
      </c>
    </row>
    <row r="1449" spans="1:35">
      <c r="A1449">
        <v>58</v>
      </c>
      <c r="B1449" t="str">
        <f t="shared" si="22"/>
        <v>Senior</v>
      </c>
      <c r="C1449">
        <v>0</v>
      </c>
      <c r="D1449" t="s">
        <v>36</v>
      </c>
      <c r="E1449">
        <v>1272</v>
      </c>
      <c r="F1449" t="s">
        <v>45</v>
      </c>
      <c r="G1449">
        <v>5</v>
      </c>
      <c r="H1449" t="str" cm="1">
        <f t="array" ref="H1449">_xlfn.IFS(G1449&gt;15,"Long Commute",G1449&gt;5,"Moderate",G1449&lt;=5,"Near Office")</f>
        <v>Near Office</v>
      </c>
      <c r="I1449" t="s">
        <v>72</v>
      </c>
      <c r="J1449" t="s">
        <v>60</v>
      </c>
      <c r="K1449">
        <v>3</v>
      </c>
      <c r="L1449" t="s">
        <v>39</v>
      </c>
      <c r="M1449">
        <v>37</v>
      </c>
      <c r="N1449">
        <v>2</v>
      </c>
      <c r="O1449">
        <v>3</v>
      </c>
      <c r="P1449" t="s">
        <v>54</v>
      </c>
      <c r="Q1449" t="s">
        <v>75</v>
      </c>
      <c r="R1449" t="s">
        <v>52</v>
      </c>
      <c r="S1449">
        <v>10552</v>
      </c>
      <c r="T1449" t="str" cm="1">
        <f t="array" ref="T1449">_xlfn.IFS(S1449&gt;=10000,"High (&gt;10k)",S1449&gt;=5000,"Medium (5k-10k)",S1449&lt;5000,"Low (&lt;5k)")</f>
        <v>High (&gt;10k)</v>
      </c>
      <c r="U1449">
        <v>9255</v>
      </c>
      <c r="V1449">
        <v>2</v>
      </c>
      <c r="W1449" t="s">
        <v>35</v>
      </c>
      <c r="X1449">
        <v>13</v>
      </c>
      <c r="Y1449">
        <v>3</v>
      </c>
      <c r="Z1449">
        <v>4</v>
      </c>
      <c r="AA1449">
        <v>1</v>
      </c>
      <c r="AB1449">
        <v>24</v>
      </c>
      <c r="AC1449">
        <v>3</v>
      </c>
      <c r="AD1449" t="s">
        <v>74</v>
      </c>
      <c r="AE1449">
        <v>6</v>
      </c>
      <c r="AF1449" t="str" cm="1">
        <f t="array" ref="AF1449">_xlfn.IFS(AE1449&gt;=10,"Veteran (10y+)",AE1449&gt;=3,"Established (3-10y)",AE1449&lt;3,"New Hire (&lt;3y)")</f>
        <v>Established (3-10y)</v>
      </c>
      <c r="AG1449">
        <v>0</v>
      </c>
      <c r="AH1449">
        <v>0</v>
      </c>
      <c r="AI1449">
        <v>4</v>
      </c>
    </row>
    <row r="1450" spans="1:35">
      <c r="A1450">
        <v>58</v>
      </c>
      <c r="B1450" t="str">
        <f t="shared" si="22"/>
        <v>Senior</v>
      </c>
      <c r="C1450">
        <v>1</v>
      </c>
      <c r="D1450" t="s">
        <v>36</v>
      </c>
      <c r="E1450">
        <v>289</v>
      </c>
      <c r="F1450" t="s">
        <v>45</v>
      </c>
      <c r="G1450">
        <v>2</v>
      </c>
      <c r="H1450" t="str" cm="1">
        <f t="array" ref="H1450">_xlfn.IFS(G1450&gt;15,"Long Commute",G1450&gt;5,"Moderate",G1450&lt;=5,"Near Office")</f>
        <v>Near Office</v>
      </c>
      <c r="I1450" t="s">
        <v>72</v>
      </c>
      <c r="J1450" t="s">
        <v>60</v>
      </c>
      <c r="K1450">
        <v>4</v>
      </c>
      <c r="L1450" t="s">
        <v>46</v>
      </c>
      <c r="M1450">
        <v>51</v>
      </c>
      <c r="N1450">
        <v>3</v>
      </c>
      <c r="O1450">
        <v>1</v>
      </c>
      <c r="P1450" t="s">
        <v>47</v>
      </c>
      <c r="Q1450" t="s">
        <v>73</v>
      </c>
      <c r="R1450" t="s">
        <v>41</v>
      </c>
      <c r="S1450">
        <v>2479</v>
      </c>
      <c r="T1450" t="str" cm="1">
        <f t="array" ref="T1450">_xlfn.IFS(S1450&gt;=10000,"High (&gt;10k)",S1450&gt;=5000,"Medium (5k-10k)",S1450&lt;5000,"Low (&lt;5k)")</f>
        <v>Low (&lt;5k)</v>
      </c>
      <c r="U1450">
        <v>26227</v>
      </c>
      <c r="V1450">
        <v>4</v>
      </c>
      <c r="W1450" t="s">
        <v>43</v>
      </c>
      <c r="X1450">
        <v>24</v>
      </c>
      <c r="Y1450">
        <v>4</v>
      </c>
      <c r="Z1450">
        <v>1</v>
      </c>
      <c r="AA1450">
        <v>0</v>
      </c>
      <c r="AB1450">
        <v>7</v>
      </c>
      <c r="AC1450">
        <v>4</v>
      </c>
      <c r="AD1450" t="s">
        <v>74</v>
      </c>
      <c r="AE1450">
        <v>1</v>
      </c>
      <c r="AF1450" t="str" cm="1">
        <f t="array" ref="AF1450">_xlfn.IFS(AE1450&gt;=10,"Veteran (10y+)",AE1450&gt;=3,"Established (3-10y)",AE1450&lt;3,"New Hire (&lt;3y)")</f>
        <v>New Hire (&lt;3y)</v>
      </c>
      <c r="AG1450">
        <v>0</v>
      </c>
      <c r="AH1450">
        <v>0</v>
      </c>
      <c r="AI1450">
        <v>0</v>
      </c>
    </row>
    <row r="1451" spans="1:35">
      <c r="A1451">
        <v>58</v>
      </c>
      <c r="B1451" t="str">
        <f t="shared" si="22"/>
        <v>Senior</v>
      </c>
      <c r="C1451">
        <v>0</v>
      </c>
      <c r="D1451" t="s">
        <v>36</v>
      </c>
      <c r="E1451">
        <v>848</v>
      </c>
      <c r="F1451" t="s">
        <v>45</v>
      </c>
      <c r="G1451">
        <v>23</v>
      </c>
      <c r="H1451" t="str" cm="1">
        <f t="array" ref="H1451">_xlfn.IFS(G1451&gt;15,"Long Commute",G1451&gt;5,"Moderate",G1451&lt;=5,"Near Office")</f>
        <v>Long Commute</v>
      </c>
      <c r="I1451" t="s">
        <v>83</v>
      </c>
      <c r="J1451" t="s">
        <v>38</v>
      </c>
      <c r="K1451">
        <v>1</v>
      </c>
      <c r="L1451" t="s">
        <v>46</v>
      </c>
      <c r="M1451">
        <v>88</v>
      </c>
      <c r="N1451">
        <v>3</v>
      </c>
      <c r="O1451">
        <v>1</v>
      </c>
      <c r="P1451" t="s">
        <v>47</v>
      </c>
      <c r="Q1451" t="s">
        <v>73</v>
      </c>
      <c r="R1451" t="s">
        <v>52</v>
      </c>
      <c r="S1451">
        <v>2372</v>
      </c>
      <c r="T1451" t="str" cm="1">
        <f t="array" ref="T1451">_xlfn.IFS(S1451&gt;=10000,"High (&gt;10k)",S1451&gt;=5000,"Medium (5k-10k)",S1451&lt;5000,"Low (&lt;5k)")</f>
        <v>Low (&lt;5k)</v>
      </c>
      <c r="U1451">
        <v>26076</v>
      </c>
      <c r="V1451">
        <v>1</v>
      </c>
      <c r="W1451" t="s">
        <v>43</v>
      </c>
      <c r="X1451">
        <v>12</v>
      </c>
      <c r="Y1451">
        <v>3</v>
      </c>
      <c r="Z1451">
        <v>4</v>
      </c>
      <c r="AA1451">
        <v>2</v>
      </c>
      <c r="AB1451">
        <v>2</v>
      </c>
      <c r="AC1451">
        <v>3</v>
      </c>
      <c r="AD1451" t="s">
        <v>74</v>
      </c>
      <c r="AE1451">
        <v>2</v>
      </c>
      <c r="AF1451" t="str" cm="1">
        <f t="array" ref="AF1451">_xlfn.IFS(AE1451&gt;=10,"Veteran (10y+)",AE1451&gt;=3,"Established (3-10y)",AE1451&lt;3,"New Hire (&lt;3y)")</f>
        <v>New Hire (&lt;3y)</v>
      </c>
      <c r="AG1451">
        <v>2</v>
      </c>
      <c r="AH1451">
        <v>2</v>
      </c>
      <c r="AI1451">
        <v>2</v>
      </c>
    </row>
    <row r="1452" spans="1:35">
      <c r="A1452">
        <v>58</v>
      </c>
      <c r="B1452" t="str">
        <f t="shared" si="22"/>
        <v>Senior</v>
      </c>
      <c r="C1452">
        <v>1</v>
      </c>
      <c r="D1452" t="s">
        <v>36</v>
      </c>
      <c r="E1452">
        <v>601</v>
      </c>
      <c r="F1452" t="s">
        <v>45</v>
      </c>
      <c r="G1452">
        <v>7</v>
      </c>
      <c r="H1452" t="str" cm="1">
        <f t="array" ref="H1452">_xlfn.IFS(G1452&gt;15,"Long Commute",G1452&gt;5,"Moderate",G1452&lt;=5,"Near Office")</f>
        <v>Moderate</v>
      </c>
      <c r="I1452" t="s">
        <v>83</v>
      </c>
      <c r="J1452" t="s">
        <v>51</v>
      </c>
      <c r="K1452">
        <v>3</v>
      </c>
      <c r="L1452" t="s">
        <v>39</v>
      </c>
      <c r="M1452">
        <v>53</v>
      </c>
      <c r="N1452">
        <v>2</v>
      </c>
      <c r="O1452">
        <v>3</v>
      </c>
      <c r="P1452" t="s">
        <v>53</v>
      </c>
      <c r="Q1452" t="s">
        <v>82</v>
      </c>
      <c r="R1452" t="s">
        <v>48</v>
      </c>
      <c r="S1452">
        <v>10008</v>
      </c>
      <c r="T1452" t="str" cm="1">
        <f t="array" ref="T1452">_xlfn.IFS(S1452&gt;=10000,"High (&gt;10k)",S1452&gt;=5000,"Medium (5k-10k)",S1452&lt;5000,"Low (&lt;5k)")</f>
        <v>High (&gt;10k)</v>
      </c>
      <c r="U1452">
        <v>12023</v>
      </c>
      <c r="V1452">
        <v>7</v>
      </c>
      <c r="W1452" t="s">
        <v>35</v>
      </c>
      <c r="X1452">
        <v>14</v>
      </c>
      <c r="Y1452">
        <v>3</v>
      </c>
      <c r="Z1452">
        <v>4</v>
      </c>
      <c r="AA1452">
        <v>0</v>
      </c>
      <c r="AB1452">
        <v>31</v>
      </c>
      <c r="AC1452">
        <v>0</v>
      </c>
      <c r="AD1452" t="s">
        <v>81</v>
      </c>
      <c r="AE1452">
        <v>10</v>
      </c>
      <c r="AF1452" t="str" cm="1">
        <f t="array" ref="AF1452">_xlfn.IFS(AE1452&gt;=10,"Veteran (10y+)",AE1452&gt;=3,"Established (3-10y)",AE1452&lt;3,"New Hire (&lt;3y)")</f>
        <v>Veteran (10y+)</v>
      </c>
      <c r="AG1452">
        <v>9</v>
      </c>
      <c r="AH1452">
        <v>5</v>
      </c>
      <c r="AI1452">
        <v>9</v>
      </c>
    </row>
    <row r="1453" spans="1:35">
      <c r="A1453">
        <v>58</v>
      </c>
      <c r="B1453" t="str">
        <f t="shared" si="22"/>
        <v>Senior</v>
      </c>
      <c r="C1453">
        <v>0</v>
      </c>
      <c r="D1453" t="s">
        <v>36</v>
      </c>
      <c r="E1453">
        <v>1055</v>
      </c>
      <c r="F1453" t="s">
        <v>45</v>
      </c>
      <c r="G1453">
        <v>1</v>
      </c>
      <c r="H1453" t="str" cm="1">
        <f t="array" ref="H1453">_xlfn.IFS(G1453&gt;15,"Long Commute",G1453&gt;5,"Moderate",G1453&lt;=5,"Near Office")</f>
        <v>Near Office</v>
      </c>
      <c r="I1453" t="s">
        <v>72</v>
      </c>
      <c r="J1453" t="s">
        <v>51</v>
      </c>
      <c r="K1453">
        <v>4</v>
      </c>
      <c r="L1453" t="s">
        <v>39</v>
      </c>
      <c r="M1453">
        <v>76</v>
      </c>
      <c r="N1453">
        <v>3</v>
      </c>
      <c r="O1453">
        <v>5</v>
      </c>
      <c r="P1453" t="s">
        <v>58</v>
      </c>
      <c r="Q1453" t="s">
        <v>82</v>
      </c>
      <c r="R1453" t="s">
        <v>48</v>
      </c>
      <c r="S1453">
        <v>19701</v>
      </c>
      <c r="T1453" t="str" cm="1">
        <f t="array" ref="T1453">_xlfn.IFS(S1453&gt;=10000,"High (&gt;10k)",S1453&gt;=5000,"Medium (5k-10k)",S1453&lt;5000,"Low (&lt;5k)")</f>
        <v>High (&gt;10k)</v>
      </c>
      <c r="U1453">
        <v>22456</v>
      </c>
      <c r="V1453">
        <v>3</v>
      </c>
      <c r="W1453" t="s">
        <v>35</v>
      </c>
      <c r="X1453">
        <v>21</v>
      </c>
      <c r="Y1453">
        <v>4</v>
      </c>
      <c r="Z1453">
        <v>3</v>
      </c>
      <c r="AA1453">
        <v>1</v>
      </c>
      <c r="AB1453">
        <v>32</v>
      </c>
      <c r="AC1453">
        <v>3</v>
      </c>
      <c r="AD1453" t="s">
        <v>74</v>
      </c>
      <c r="AE1453">
        <v>9</v>
      </c>
      <c r="AF1453" t="str" cm="1">
        <f t="array" ref="AF1453">_xlfn.IFS(AE1453&gt;=10,"Veteran (10y+)",AE1453&gt;=3,"Established (3-10y)",AE1453&lt;3,"New Hire (&lt;3y)")</f>
        <v>Established (3-10y)</v>
      </c>
      <c r="AG1453">
        <v>8</v>
      </c>
      <c r="AH1453">
        <v>1</v>
      </c>
      <c r="AI1453">
        <v>5</v>
      </c>
    </row>
    <row r="1454" spans="1:35">
      <c r="A1454">
        <v>58</v>
      </c>
      <c r="B1454" t="str">
        <f t="shared" si="22"/>
        <v>Senior</v>
      </c>
      <c r="C1454">
        <v>0</v>
      </c>
      <c r="D1454" t="s">
        <v>55</v>
      </c>
      <c r="E1454">
        <v>350</v>
      </c>
      <c r="F1454" t="s">
        <v>37</v>
      </c>
      <c r="G1454">
        <v>2</v>
      </c>
      <c r="H1454" t="str" cm="1">
        <f t="array" ref="H1454">_xlfn.IFS(G1454&gt;15,"Long Commute",G1454&gt;5,"Moderate",G1454&lt;=5,"Near Office")</f>
        <v>Near Office</v>
      </c>
      <c r="I1454" t="s">
        <v>72</v>
      </c>
      <c r="J1454" t="s">
        <v>51</v>
      </c>
      <c r="K1454">
        <v>2</v>
      </c>
      <c r="L1454" t="s">
        <v>46</v>
      </c>
      <c r="M1454">
        <v>52</v>
      </c>
      <c r="N1454">
        <v>3</v>
      </c>
      <c r="O1454">
        <v>4</v>
      </c>
      <c r="P1454" t="s">
        <v>56</v>
      </c>
      <c r="Q1454" t="s">
        <v>75</v>
      </c>
      <c r="R1454" t="s">
        <v>52</v>
      </c>
      <c r="S1454">
        <v>16291</v>
      </c>
      <c r="T1454" t="str" cm="1">
        <f t="array" ref="T1454">_xlfn.IFS(S1454&gt;=10000,"High (&gt;10k)",S1454&gt;=5000,"Medium (5k-10k)",S1454&lt;5000,"Low (&lt;5k)")</f>
        <v>High (&gt;10k)</v>
      </c>
      <c r="U1454">
        <v>22577</v>
      </c>
      <c r="V1454">
        <v>4</v>
      </c>
      <c r="W1454" t="s">
        <v>43</v>
      </c>
      <c r="X1454">
        <v>22</v>
      </c>
      <c r="Y1454">
        <v>4</v>
      </c>
      <c r="Z1454">
        <v>4</v>
      </c>
      <c r="AA1454">
        <v>1</v>
      </c>
      <c r="AB1454">
        <v>37</v>
      </c>
      <c r="AC1454">
        <v>0</v>
      </c>
      <c r="AD1454" t="s">
        <v>81</v>
      </c>
      <c r="AE1454">
        <v>16</v>
      </c>
      <c r="AF1454" t="str" cm="1">
        <f t="array" ref="AF1454">_xlfn.IFS(AE1454&gt;=10,"Veteran (10y+)",AE1454&gt;=3,"Established (3-10y)",AE1454&lt;3,"New Hire (&lt;3y)")</f>
        <v>Veteran (10y+)</v>
      </c>
      <c r="AG1454">
        <v>9</v>
      </c>
      <c r="AH1454">
        <v>14</v>
      </c>
      <c r="AI1454">
        <v>14</v>
      </c>
    </row>
    <row r="1455" spans="1:35">
      <c r="A1455">
        <v>58</v>
      </c>
      <c r="B1455" t="str">
        <f t="shared" si="22"/>
        <v>Senior</v>
      </c>
      <c r="C1455">
        <v>0</v>
      </c>
      <c r="D1455" t="s">
        <v>44</v>
      </c>
      <c r="E1455">
        <v>1216</v>
      </c>
      <c r="F1455" t="s">
        <v>45</v>
      </c>
      <c r="G1455">
        <v>15</v>
      </c>
      <c r="H1455" t="str" cm="1">
        <f t="array" ref="H1455">_xlfn.IFS(G1455&gt;15,"Long Commute",G1455&gt;5,"Moderate",G1455&lt;=5,"Near Office")</f>
        <v>Moderate</v>
      </c>
      <c r="I1455" t="s">
        <v>83</v>
      </c>
      <c r="J1455" t="s">
        <v>38</v>
      </c>
      <c r="K1455">
        <v>1</v>
      </c>
      <c r="L1455" t="s">
        <v>46</v>
      </c>
      <c r="M1455">
        <v>87</v>
      </c>
      <c r="N1455">
        <v>3</v>
      </c>
      <c r="O1455">
        <v>4</v>
      </c>
      <c r="P1455" t="s">
        <v>58</v>
      </c>
      <c r="Q1455" t="s">
        <v>73</v>
      </c>
      <c r="R1455" t="s">
        <v>48</v>
      </c>
      <c r="S1455">
        <v>15787</v>
      </c>
      <c r="T1455" t="str" cm="1">
        <f t="array" ref="T1455">_xlfn.IFS(S1455&gt;=10000,"High (&gt;10k)",S1455&gt;=5000,"Medium (5k-10k)",S1455&lt;5000,"Low (&lt;5k)")</f>
        <v>High (&gt;10k)</v>
      </c>
      <c r="U1455">
        <v>21624</v>
      </c>
      <c r="V1455">
        <v>2</v>
      </c>
      <c r="W1455" t="s">
        <v>35</v>
      </c>
      <c r="X1455">
        <v>14</v>
      </c>
      <c r="Y1455">
        <v>3</v>
      </c>
      <c r="Z1455">
        <v>2</v>
      </c>
      <c r="AA1455">
        <v>0</v>
      </c>
      <c r="AB1455">
        <v>23</v>
      </c>
      <c r="AC1455">
        <v>3</v>
      </c>
      <c r="AD1455" t="s">
        <v>74</v>
      </c>
      <c r="AE1455">
        <v>2</v>
      </c>
      <c r="AF1455" t="str" cm="1">
        <f t="array" ref="AF1455">_xlfn.IFS(AE1455&gt;=10,"Veteran (10y+)",AE1455&gt;=3,"Established (3-10y)",AE1455&lt;3,"New Hire (&lt;3y)")</f>
        <v>New Hire (&lt;3y)</v>
      </c>
      <c r="AG1455">
        <v>2</v>
      </c>
      <c r="AH1455">
        <v>2</v>
      </c>
      <c r="AI1455">
        <v>2</v>
      </c>
    </row>
    <row r="1456" spans="1:35">
      <c r="A1456">
        <v>58</v>
      </c>
      <c r="B1456" t="str">
        <f t="shared" si="22"/>
        <v>Senior</v>
      </c>
      <c r="C1456">
        <v>0</v>
      </c>
      <c r="D1456" t="s">
        <v>36</v>
      </c>
      <c r="E1456">
        <v>605</v>
      </c>
      <c r="F1456" t="s">
        <v>37</v>
      </c>
      <c r="G1456">
        <v>21</v>
      </c>
      <c r="H1456" t="str" cm="1">
        <f t="array" ref="H1456">_xlfn.IFS(G1456&gt;15,"Long Commute",G1456&gt;5,"Moderate",G1456&lt;=5,"Near Office")</f>
        <v>Long Commute</v>
      </c>
      <c r="I1456" t="s">
        <v>72</v>
      </c>
      <c r="J1456" t="s">
        <v>38</v>
      </c>
      <c r="K1456">
        <v>4</v>
      </c>
      <c r="L1456" t="s">
        <v>39</v>
      </c>
      <c r="M1456">
        <v>72</v>
      </c>
      <c r="N1456">
        <v>3</v>
      </c>
      <c r="O1456">
        <v>4</v>
      </c>
      <c r="P1456" t="s">
        <v>56</v>
      </c>
      <c r="Q1456" t="s">
        <v>77</v>
      </c>
      <c r="R1456" t="s">
        <v>48</v>
      </c>
      <c r="S1456">
        <v>17875</v>
      </c>
      <c r="T1456" t="str" cm="1">
        <f t="array" ref="T1456">_xlfn.IFS(S1456&gt;=10000,"High (&gt;10k)",S1456&gt;=5000,"Medium (5k-10k)",S1456&lt;5000,"Low (&lt;5k)")</f>
        <v>High (&gt;10k)</v>
      </c>
      <c r="U1456">
        <v>11761</v>
      </c>
      <c r="V1456">
        <v>4</v>
      </c>
      <c r="W1456" t="s">
        <v>35</v>
      </c>
      <c r="X1456">
        <v>13</v>
      </c>
      <c r="Y1456">
        <v>3</v>
      </c>
      <c r="Z1456">
        <v>3</v>
      </c>
      <c r="AA1456">
        <v>1</v>
      </c>
      <c r="AB1456">
        <v>29</v>
      </c>
      <c r="AC1456">
        <v>2</v>
      </c>
      <c r="AD1456" t="s">
        <v>81</v>
      </c>
      <c r="AE1456">
        <v>1</v>
      </c>
      <c r="AF1456" t="str" cm="1">
        <f t="array" ref="AF1456">_xlfn.IFS(AE1456&gt;=10,"Veteran (10y+)",AE1456&gt;=3,"Established (3-10y)",AE1456&lt;3,"New Hire (&lt;3y)")</f>
        <v>New Hire (&lt;3y)</v>
      </c>
      <c r="AG1456">
        <v>0</v>
      </c>
      <c r="AH1456">
        <v>0</v>
      </c>
      <c r="AI1456">
        <v>0</v>
      </c>
    </row>
    <row r="1457" spans="1:35">
      <c r="A1457">
        <v>59</v>
      </c>
      <c r="B1457" t="str">
        <f t="shared" si="22"/>
        <v>Senior</v>
      </c>
      <c r="C1457">
        <v>0</v>
      </c>
      <c r="D1457" t="s">
        <v>36</v>
      </c>
      <c r="E1457">
        <v>1324</v>
      </c>
      <c r="F1457" t="s">
        <v>45</v>
      </c>
      <c r="G1457">
        <v>3</v>
      </c>
      <c r="H1457" t="str" cm="1">
        <f t="array" ref="H1457">_xlfn.IFS(G1457&gt;15,"Long Commute",G1457&gt;5,"Moderate",G1457&lt;=5,"Near Office")</f>
        <v>Near Office</v>
      </c>
      <c r="I1457" t="s">
        <v>72</v>
      </c>
      <c r="J1457" t="s">
        <v>51</v>
      </c>
      <c r="K1457">
        <v>3</v>
      </c>
      <c r="L1457" t="s">
        <v>39</v>
      </c>
      <c r="M1457">
        <v>81</v>
      </c>
      <c r="N1457">
        <v>4</v>
      </c>
      <c r="O1457">
        <v>1</v>
      </c>
      <c r="P1457" t="s">
        <v>50</v>
      </c>
      <c r="Q1457" t="s">
        <v>82</v>
      </c>
      <c r="R1457" t="s">
        <v>48</v>
      </c>
      <c r="S1457">
        <v>2670</v>
      </c>
      <c r="T1457" t="str" cm="1">
        <f t="array" ref="T1457">_xlfn.IFS(S1457&gt;=10000,"High (&gt;10k)",S1457&gt;=5000,"Medium (5k-10k)",S1457&lt;5000,"Low (&lt;5k)")</f>
        <v>Low (&lt;5k)</v>
      </c>
      <c r="U1457">
        <v>9964</v>
      </c>
      <c r="V1457">
        <v>4</v>
      </c>
      <c r="W1457" t="s">
        <v>35</v>
      </c>
      <c r="X1457">
        <v>20</v>
      </c>
      <c r="Y1457">
        <v>4</v>
      </c>
      <c r="Z1457">
        <v>1</v>
      </c>
      <c r="AA1457">
        <v>3</v>
      </c>
      <c r="AB1457">
        <v>12</v>
      </c>
      <c r="AC1457">
        <v>3</v>
      </c>
      <c r="AD1457" t="s">
        <v>81</v>
      </c>
      <c r="AE1457">
        <v>1</v>
      </c>
      <c r="AF1457" t="str" cm="1">
        <f t="array" ref="AF1457">_xlfn.IFS(AE1457&gt;=10,"Veteran (10y+)",AE1457&gt;=3,"Established (3-10y)",AE1457&lt;3,"New Hire (&lt;3y)")</f>
        <v>New Hire (&lt;3y)</v>
      </c>
      <c r="AG1457">
        <v>0</v>
      </c>
      <c r="AH1457">
        <v>0</v>
      </c>
      <c r="AI1457">
        <v>0</v>
      </c>
    </row>
    <row r="1458" spans="1:35">
      <c r="A1458">
        <v>59</v>
      </c>
      <c r="B1458" t="str">
        <f t="shared" si="22"/>
        <v>Senior</v>
      </c>
      <c r="C1458">
        <v>0</v>
      </c>
      <c r="D1458" t="s">
        <v>36</v>
      </c>
      <c r="E1458">
        <v>1435</v>
      </c>
      <c r="F1458" t="s">
        <v>37</v>
      </c>
      <c r="G1458">
        <v>25</v>
      </c>
      <c r="H1458" t="str" cm="1">
        <f t="array" ref="H1458">_xlfn.IFS(G1458&gt;15,"Long Commute",G1458&gt;5,"Moderate",G1458&lt;=5,"Near Office")</f>
        <v>Long Commute</v>
      </c>
      <c r="I1458" t="s">
        <v>72</v>
      </c>
      <c r="J1458" t="s">
        <v>38</v>
      </c>
      <c r="K1458">
        <v>1</v>
      </c>
      <c r="L1458" t="s">
        <v>39</v>
      </c>
      <c r="M1458">
        <v>99</v>
      </c>
      <c r="N1458">
        <v>3</v>
      </c>
      <c r="O1458">
        <v>3</v>
      </c>
      <c r="P1458" t="s">
        <v>40</v>
      </c>
      <c r="Q1458" t="s">
        <v>82</v>
      </c>
      <c r="R1458" t="s">
        <v>41</v>
      </c>
      <c r="S1458">
        <v>7637</v>
      </c>
      <c r="T1458" t="str" cm="1">
        <f t="array" ref="T1458">_xlfn.IFS(S1458&gt;=10000,"High (&gt;10k)",S1458&gt;=5000,"Medium (5k-10k)",S1458&lt;5000,"Low (&lt;5k)")</f>
        <v>Medium (5k-10k)</v>
      </c>
      <c r="U1458">
        <v>2354</v>
      </c>
      <c r="V1458">
        <v>7</v>
      </c>
      <c r="W1458" t="s">
        <v>43</v>
      </c>
      <c r="X1458">
        <v>11</v>
      </c>
      <c r="Y1458">
        <v>3</v>
      </c>
      <c r="Z1458">
        <v>4</v>
      </c>
      <c r="AA1458">
        <v>0</v>
      </c>
      <c r="AB1458">
        <v>28</v>
      </c>
      <c r="AC1458">
        <v>3</v>
      </c>
      <c r="AD1458" t="s">
        <v>81</v>
      </c>
      <c r="AE1458">
        <v>21</v>
      </c>
      <c r="AF1458" t="str" cm="1">
        <f t="array" ref="AF1458">_xlfn.IFS(AE1458&gt;=10,"Veteran (10y+)",AE1458&gt;=3,"Established (3-10y)",AE1458&lt;3,"New Hire (&lt;3y)")</f>
        <v>Veteran (10y+)</v>
      </c>
      <c r="AG1458">
        <v>16</v>
      </c>
      <c r="AH1458">
        <v>7</v>
      </c>
      <c r="AI1458">
        <v>9</v>
      </c>
    </row>
    <row r="1459" spans="1:35">
      <c r="A1459">
        <v>59</v>
      </c>
      <c r="B1459" t="str">
        <f t="shared" si="22"/>
        <v>Senior</v>
      </c>
      <c r="C1459">
        <v>0</v>
      </c>
      <c r="D1459" t="s">
        <v>44</v>
      </c>
      <c r="E1459">
        <v>1225</v>
      </c>
      <c r="F1459" t="s">
        <v>37</v>
      </c>
      <c r="G1459">
        <v>1</v>
      </c>
      <c r="H1459" t="str" cm="1">
        <f t="array" ref="H1459">_xlfn.IFS(G1459&gt;15,"Long Commute",G1459&gt;5,"Moderate",G1459&lt;=5,"Near Office")</f>
        <v>Near Office</v>
      </c>
      <c r="I1459" t="s">
        <v>78</v>
      </c>
      <c r="J1459" t="s">
        <v>38</v>
      </c>
      <c r="K1459">
        <v>1</v>
      </c>
      <c r="L1459" t="s">
        <v>39</v>
      </c>
      <c r="M1459">
        <v>57</v>
      </c>
      <c r="N1459">
        <v>2</v>
      </c>
      <c r="O1459">
        <v>2</v>
      </c>
      <c r="P1459" t="s">
        <v>40</v>
      </c>
      <c r="Q1459" t="s">
        <v>73</v>
      </c>
      <c r="R1459" t="s">
        <v>41</v>
      </c>
      <c r="S1459">
        <v>5473</v>
      </c>
      <c r="T1459" t="str" cm="1">
        <f t="array" ref="T1459">_xlfn.IFS(S1459&gt;=10000,"High (&gt;10k)",S1459&gt;=5000,"Medium (5k-10k)",S1459&lt;5000,"Low (&lt;5k)")</f>
        <v>Medium (5k-10k)</v>
      </c>
      <c r="U1459">
        <v>24668</v>
      </c>
      <c r="V1459">
        <v>7</v>
      </c>
      <c r="W1459" t="s">
        <v>43</v>
      </c>
      <c r="X1459">
        <v>11</v>
      </c>
      <c r="Y1459">
        <v>3</v>
      </c>
      <c r="Z1459">
        <v>4</v>
      </c>
      <c r="AA1459">
        <v>0</v>
      </c>
      <c r="AB1459">
        <v>20</v>
      </c>
      <c r="AC1459">
        <v>2</v>
      </c>
      <c r="AD1459" t="s">
        <v>81</v>
      </c>
      <c r="AE1459">
        <v>4</v>
      </c>
      <c r="AF1459" t="str" cm="1">
        <f t="array" ref="AF1459">_xlfn.IFS(AE1459&gt;=10,"Veteran (10y+)",AE1459&gt;=3,"Established (3-10y)",AE1459&lt;3,"New Hire (&lt;3y)")</f>
        <v>Established (3-10y)</v>
      </c>
      <c r="AG1459">
        <v>3</v>
      </c>
      <c r="AH1459">
        <v>1</v>
      </c>
      <c r="AI1459">
        <v>3</v>
      </c>
    </row>
    <row r="1460" spans="1:35">
      <c r="A1460">
        <v>59</v>
      </c>
      <c r="B1460" t="str">
        <f t="shared" si="22"/>
        <v>Senior</v>
      </c>
      <c r="C1460">
        <v>0</v>
      </c>
      <c r="D1460" t="s">
        <v>55</v>
      </c>
      <c r="E1460">
        <v>1420</v>
      </c>
      <c r="F1460" t="s">
        <v>61</v>
      </c>
      <c r="G1460">
        <v>2</v>
      </c>
      <c r="H1460" t="str" cm="1">
        <f t="array" ref="H1460">_xlfn.IFS(G1460&gt;15,"Long Commute",G1460&gt;5,"Moderate",G1460&lt;=5,"Near Office")</f>
        <v>Near Office</v>
      </c>
      <c r="I1460" t="s">
        <v>83</v>
      </c>
      <c r="J1460" t="s">
        <v>61</v>
      </c>
      <c r="K1460">
        <v>3</v>
      </c>
      <c r="L1460" t="s">
        <v>39</v>
      </c>
      <c r="M1460">
        <v>32</v>
      </c>
      <c r="N1460">
        <v>2</v>
      </c>
      <c r="O1460">
        <v>5</v>
      </c>
      <c r="P1460" t="s">
        <v>56</v>
      </c>
      <c r="Q1460" t="s">
        <v>77</v>
      </c>
      <c r="R1460" t="s">
        <v>48</v>
      </c>
      <c r="S1460">
        <v>18844</v>
      </c>
      <c r="T1460" t="str" cm="1">
        <f t="array" ref="T1460">_xlfn.IFS(S1460&gt;=10000,"High (&gt;10k)",S1460&gt;=5000,"Medium (5k-10k)",S1460&lt;5000,"Low (&lt;5k)")</f>
        <v>High (&gt;10k)</v>
      </c>
      <c r="U1460">
        <v>21922</v>
      </c>
      <c r="V1460">
        <v>9</v>
      </c>
      <c r="W1460" t="s">
        <v>43</v>
      </c>
      <c r="X1460">
        <v>21</v>
      </c>
      <c r="Y1460">
        <v>4</v>
      </c>
      <c r="Z1460">
        <v>4</v>
      </c>
      <c r="AA1460">
        <v>1</v>
      </c>
      <c r="AB1460">
        <v>30</v>
      </c>
      <c r="AC1460">
        <v>3</v>
      </c>
      <c r="AD1460" t="s">
        <v>74</v>
      </c>
      <c r="AE1460">
        <v>3</v>
      </c>
      <c r="AF1460" t="str" cm="1">
        <f t="array" ref="AF1460">_xlfn.IFS(AE1460&gt;=10,"Veteran (10y+)",AE1460&gt;=3,"Established (3-10y)",AE1460&lt;3,"New Hire (&lt;3y)")</f>
        <v>Established (3-10y)</v>
      </c>
      <c r="AG1460">
        <v>2</v>
      </c>
      <c r="AH1460">
        <v>2</v>
      </c>
      <c r="AI1460">
        <v>2</v>
      </c>
    </row>
    <row r="1461" spans="1:35">
      <c r="A1461">
        <v>59</v>
      </c>
      <c r="B1461" t="str">
        <f t="shared" si="22"/>
        <v>Senior</v>
      </c>
      <c r="C1461">
        <v>0</v>
      </c>
      <c r="D1461" t="s">
        <v>36</v>
      </c>
      <c r="E1461">
        <v>142</v>
      </c>
      <c r="F1461" t="s">
        <v>45</v>
      </c>
      <c r="G1461">
        <v>3</v>
      </c>
      <c r="H1461" t="str" cm="1">
        <f t="array" ref="H1461">_xlfn.IFS(G1461&gt;15,"Long Commute",G1461&gt;5,"Moderate",G1461&lt;=5,"Near Office")</f>
        <v>Near Office</v>
      </c>
      <c r="I1461" t="s">
        <v>72</v>
      </c>
      <c r="J1461" t="s">
        <v>38</v>
      </c>
      <c r="K1461">
        <v>3</v>
      </c>
      <c r="L1461" t="s">
        <v>46</v>
      </c>
      <c r="M1461">
        <v>70</v>
      </c>
      <c r="N1461">
        <v>2</v>
      </c>
      <c r="O1461">
        <v>1</v>
      </c>
      <c r="P1461" t="s">
        <v>47</v>
      </c>
      <c r="Q1461" t="s">
        <v>77</v>
      </c>
      <c r="R1461" t="s">
        <v>48</v>
      </c>
      <c r="S1461">
        <v>2177</v>
      </c>
      <c r="T1461" t="str" cm="1">
        <f t="array" ref="T1461">_xlfn.IFS(S1461&gt;=10000,"High (&gt;10k)",S1461&gt;=5000,"Medium (5k-10k)",S1461&lt;5000,"Low (&lt;5k)")</f>
        <v>Low (&lt;5k)</v>
      </c>
      <c r="U1461">
        <v>8456</v>
      </c>
      <c r="V1461">
        <v>3</v>
      </c>
      <c r="W1461" t="s">
        <v>43</v>
      </c>
      <c r="X1461">
        <v>17</v>
      </c>
      <c r="Y1461">
        <v>3</v>
      </c>
      <c r="Z1461">
        <v>1</v>
      </c>
      <c r="AA1461">
        <v>1</v>
      </c>
      <c r="AB1461">
        <v>7</v>
      </c>
      <c r="AC1461">
        <v>6</v>
      </c>
      <c r="AD1461" t="s">
        <v>74</v>
      </c>
      <c r="AE1461">
        <v>1</v>
      </c>
      <c r="AF1461" t="str" cm="1">
        <f t="array" ref="AF1461">_xlfn.IFS(AE1461&gt;=10,"Veteran (10y+)",AE1461&gt;=3,"Established (3-10y)",AE1461&lt;3,"New Hire (&lt;3y)")</f>
        <v>New Hire (&lt;3y)</v>
      </c>
      <c r="AG1461">
        <v>0</v>
      </c>
      <c r="AH1461">
        <v>0</v>
      </c>
      <c r="AI1461">
        <v>0</v>
      </c>
    </row>
    <row r="1462" spans="1:35">
      <c r="A1462">
        <v>59</v>
      </c>
      <c r="B1462" t="str">
        <f t="shared" si="22"/>
        <v>Senior</v>
      </c>
      <c r="C1462">
        <v>0</v>
      </c>
      <c r="D1462" t="s">
        <v>36</v>
      </c>
      <c r="E1462">
        <v>818</v>
      </c>
      <c r="F1462" t="s">
        <v>61</v>
      </c>
      <c r="G1462">
        <v>6</v>
      </c>
      <c r="H1462" t="str" cm="1">
        <f t="array" ref="H1462">_xlfn.IFS(G1462&gt;15,"Long Commute",G1462&gt;5,"Moderate",G1462&lt;=5,"Near Office")</f>
        <v>Moderate</v>
      </c>
      <c r="I1462" t="s">
        <v>76</v>
      </c>
      <c r="J1462" t="s">
        <v>51</v>
      </c>
      <c r="K1462">
        <v>2</v>
      </c>
      <c r="L1462" t="s">
        <v>46</v>
      </c>
      <c r="M1462">
        <v>52</v>
      </c>
      <c r="N1462">
        <v>3</v>
      </c>
      <c r="O1462">
        <v>1</v>
      </c>
      <c r="P1462" t="s">
        <v>61</v>
      </c>
      <c r="Q1462" t="s">
        <v>73</v>
      </c>
      <c r="R1462" t="s">
        <v>48</v>
      </c>
      <c r="S1462">
        <v>2267</v>
      </c>
      <c r="T1462" t="str" cm="1">
        <f t="array" ref="T1462">_xlfn.IFS(S1462&gt;=10000,"High (&gt;10k)",S1462&gt;=5000,"Medium (5k-10k)",S1462&lt;5000,"Low (&lt;5k)")</f>
        <v>Low (&lt;5k)</v>
      </c>
      <c r="U1462">
        <v>25657</v>
      </c>
      <c r="V1462">
        <v>8</v>
      </c>
      <c r="W1462" t="s">
        <v>43</v>
      </c>
      <c r="X1462">
        <v>17</v>
      </c>
      <c r="Y1462">
        <v>3</v>
      </c>
      <c r="Z1462">
        <v>4</v>
      </c>
      <c r="AA1462">
        <v>0</v>
      </c>
      <c r="AB1462">
        <v>7</v>
      </c>
      <c r="AC1462">
        <v>2</v>
      </c>
      <c r="AD1462" t="s">
        <v>81</v>
      </c>
      <c r="AE1462">
        <v>2</v>
      </c>
      <c r="AF1462" t="str" cm="1">
        <f t="array" ref="AF1462">_xlfn.IFS(AE1462&gt;=10,"Veteran (10y+)",AE1462&gt;=3,"Established (3-10y)",AE1462&lt;3,"New Hire (&lt;3y)")</f>
        <v>New Hire (&lt;3y)</v>
      </c>
      <c r="AG1462">
        <v>2</v>
      </c>
      <c r="AH1462">
        <v>2</v>
      </c>
      <c r="AI1462">
        <v>2</v>
      </c>
    </row>
    <row r="1463" spans="1:35">
      <c r="A1463">
        <v>59</v>
      </c>
      <c r="B1463" t="str">
        <f t="shared" si="22"/>
        <v>Senior</v>
      </c>
      <c r="C1463">
        <v>0</v>
      </c>
      <c r="D1463" t="s">
        <v>36</v>
      </c>
      <c r="E1463">
        <v>715</v>
      </c>
      <c r="F1463" t="s">
        <v>45</v>
      </c>
      <c r="G1463">
        <v>2</v>
      </c>
      <c r="H1463" t="str" cm="1">
        <f t="array" ref="H1463">_xlfn.IFS(G1463&gt;15,"Long Commute",G1463&gt;5,"Moderate",G1463&lt;=5,"Near Office")</f>
        <v>Near Office</v>
      </c>
      <c r="I1463" t="s">
        <v>72</v>
      </c>
      <c r="J1463" t="s">
        <v>38</v>
      </c>
      <c r="K1463">
        <v>3</v>
      </c>
      <c r="L1463" t="s">
        <v>39</v>
      </c>
      <c r="M1463">
        <v>69</v>
      </c>
      <c r="N1463">
        <v>2</v>
      </c>
      <c r="O1463">
        <v>4</v>
      </c>
      <c r="P1463" t="s">
        <v>53</v>
      </c>
      <c r="Q1463" t="s">
        <v>77</v>
      </c>
      <c r="R1463" t="s">
        <v>41</v>
      </c>
      <c r="S1463">
        <v>13726</v>
      </c>
      <c r="T1463" t="str" cm="1">
        <f t="array" ref="T1463">_xlfn.IFS(S1463&gt;=10000,"High (&gt;10k)",S1463&gt;=5000,"Medium (5k-10k)",S1463&lt;5000,"Low (&lt;5k)")</f>
        <v>High (&gt;10k)</v>
      </c>
      <c r="U1463">
        <v>21829</v>
      </c>
      <c r="V1463">
        <v>3</v>
      </c>
      <c r="W1463" t="s">
        <v>35</v>
      </c>
      <c r="X1463">
        <v>13</v>
      </c>
      <c r="Y1463">
        <v>3</v>
      </c>
      <c r="Z1463">
        <v>1</v>
      </c>
      <c r="AA1463">
        <v>0</v>
      </c>
      <c r="AB1463">
        <v>30</v>
      </c>
      <c r="AC1463">
        <v>4</v>
      </c>
      <c r="AD1463" t="s">
        <v>74</v>
      </c>
      <c r="AE1463">
        <v>5</v>
      </c>
      <c r="AF1463" t="str" cm="1">
        <f t="array" ref="AF1463">_xlfn.IFS(AE1463&gt;=10,"Veteran (10y+)",AE1463&gt;=3,"Established (3-10y)",AE1463&lt;3,"New Hire (&lt;3y)")</f>
        <v>Established (3-10y)</v>
      </c>
      <c r="AG1463">
        <v>3</v>
      </c>
      <c r="AH1463">
        <v>4</v>
      </c>
      <c r="AI1463">
        <v>3</v>
      </c>
    </row>
    <row r="1464" spans="1:35">
      <c r="A1464">
        <v>59</v>
      </c>
      <c r="B1464" t="str">
        <f t="shared" si="22"/>
        <v>Senior</v>
      </c>
      <c r="C1464">
        <v>0</v>
      </c>
      <c r="D1464" t="s">
        <v>36</v>
      </c>
      <c r="E1464">
        <v>1089</v>
      </c>
      <c r="F1464" t="s">
        <v>37</v>
      </c>
      <c r="G1464">
        <v>1</v>
      </c>
      <c r="H1464" t="str" cm="1">
        <f t="array" ref="H1464">_xlfn.IFS(G1464&gt;15,"Long Commute",G1464&gt;5,"Moderate",G1464&lt;=5,"Near Office")</f>
        <v>Near Office</v>
      </c>
      <c r="I1464" t="s">
        <v>76</v>
      </c>
      <c r="J1464" t="s">
        <v>60</v>
      </c>
      <c r="K1464">
        <v>2</v>
      </c>
      <c r="L1464" t="s">
        <v>46</v>
      </c>
      <c r="M1464">
        <v>66</v>
      </c>
      <c r="N1464">
        <v>3</v>
      </c>
      <c r="O1464">
        <v>3</v>
      </c>
      <c r="P1464" t="s">
        <v>56</v>
      </c>
      <c r="Q1464" t="s">
        <v>77</v>
      </c>
      <c r="R1464" t="s">
        <v>48</v>
      </c>
      <c r="S1464">
        <v>11904</v>
      </c>
      <c r="T1464" t="str" cm="1">
        <f t="array" ref="T1464">_xlfn.IFS(S1464&gt;=10000,"High (&gt;10k)",S1464&gt;=5000,"Medium (5k-10k)",S1464&lt;5000,"Low (&lt;5k)")</f>
        <v>High (&gt;10k)</v>
      </c>
      <c r="U1464">
        <v>11038</v>
      </c>
      <c r="V1464">
        <v>3</v>
      </c>
      <c r="W1464" t="s">
        <v>35</v>
      </c>
      <c r="X1464">
        <v>14</v>
      </c>
      <c r="Y1464">
        <v>3</v>
      </c>
      <c r="Z1464">
        <v>3</v>
      </c>
      <c r="AA1464">
        <v>1</v>
      </c>
      <c r="AB1464">
        <v>14</v>
      </c>
      <c r="AC1464">
        <v>1</v>
      </c>
      <c r="AD1464" t="s">
        <v>80</v>
      </c>
      <c r="AE1464">
        <v>6</v>
      </c>
      <c r="AF1464" t="str" cm="1">
        <f t="array" ref="AF1464">_xlfn.IFS(AE1464&gt;=10,"Veteran (10y+)",AE1464&gt;=3,"Established (3-10y)",AE1464&lt;3,"New Hire (&lt;3y)")</f>
        <v>Established (3-10y)</v>
      </c>
      <c r="AG1464">
        <v>4</v>
      </c>
      <c r="AH1464">
        <v>0</v>
      </c>
      <c r="AI1464">
        <v>4</v>
      </c>
    </row>
    <row r="1465" spans="1:35">
      <c r="A1465">
        <v>59</v>
      </c>
      <c r="B1465" t="str">
        <f t="shared" si="22"/>
        <v>Senior</v>
      </c>
      <c r="C1465">
        <v>0</v>
      </c>
      <c r="D1465" t="s">
        <v>36</v>
      </c>
      <c r="E1465">
        <v>326</v>
      </c>
      <c r="F1465" t="s">
        <v>37</v>
      </c>
      <c r="G1465">
        <v>3</v>
      </c>
      <c r="H1465" t="str" cm="1">
        <f t="array" ref="H1465">_xlfn.IFS(G1465&gt;15,"Long Commute",G1465&gt;5,"Moderate",G1465&lt;=5,"Near Office")</f>
        <v>Near Office</v>
      </c>
      <c r="I1465" t="s">
        <v>72</v>
      </c>
      <c r="J1465" t="s">
        <v>38</v>
      </c>
      <c r="K1465">
        <v>3</v>
      </c>
      <c r="L1465" t="s">
        <v>39</v>
      </c>
      <c r="M1465">
        <v>48</v>
      </c>
      <c r="N1465">
        <v>2</v>
      </c>
      <c r="O1465">
        <v>2</v>
      </c>
      <c r="P1465" t="s">
        <v>40</v>
      </c>
      <c r="Q1465" t="s">
        <v>77</v>
      </c>
      <c r="R1465" t="s">
        <v>41</v>
      </c>
      <c r="S1465">
        <v>5171</v>
      </c>
      <c r="T1465" t="str" cm="1">
        <f t="array" ref="T1465">_xlfn.IFS(S1465&gt;=10000,"High (&gt;10k)",S1465&gt;=5000,"Medium (5k-10k)",S1465&lt;5000,"Low (&lt;5k)")</f>
        <v>Medium (5k-10k)</v>
      </c>
      <c r="U1465">
        <v>16490</v>
      </c>
      <c r="V1465">
        <v>5</v>
      </c>
      <c r="W1465" t="s">
        <v>43</v>
      </c>
      <c r="X1465">
        <v>17</v>
      </c>
      <c r="Y1465">
        <v>3</v>
      </c>
      <c r="Z1465">
        <v>4</v>
      </c>
      <c r="AA1465">
        <v>0</v>
      </c>
      <c r="AB1465">
        <v>13</v>
      </c>
      <c r="AC1465">
        <v>2</v>
      </c>
      <c r="AD1465" t="s">
        <v>74</v>
      </c>
      <c r="AE1465">
        <v>6</v>
      </c>
      <c r="AF1465" t="str" cm="1">
        <f t="array" ref="AF1465">_xlfn.IFS(AE1465&gt;=10,"Veteran (10y+)",AE1465&gt;=3,"Established (3-10y)",AE1465&lt;3,"New Hire (&lt;3y)")</f>
        <v>Established (3-10y)</v>
      </c>
      <c r="AG1465">
        <v>1</v>
      </c>
      <c r="AH1465">
        <v>0</v>
      </c>
      <c r="AI1465">
        <v>5</v>
      </c>
    </row>
    <row r="1466" spans="1:35">
      <c r="A1466">
        <v>59</v>
      </c>
      <c r="B1466" t="str">
        <f t="shared" si="22"/>
        <v>Senior</v>
      </c>
      <c r="C1466">
        <v>0</v>
      </c>
      <c r="D1466" t="s">
        <v>36</v>
      </c>
      <c r="E1466">
        <v>1429</v>
      </c>
      <c r="F1466" t="s">
        <v>45</v>
      </c>
      <c r="G1466">
        <v>18</v>
      </c>
      <c r="H1466" t="str" cm="1">
        <f t="array" ref="H1466">_xlfn.IFS(G1466&gt;15,"Long Commute",G1466&gt;5,"Moderate",G1466&lt;=5,"Near Office")</f>
        <v>Long Commute</v>
      </c>
      <c r="I1466" t="s">
        <v>83</v>
      </c>
      <c r="J1466" t="s">
        <v>51</v>
      </c>
      <c r="K1466">
        <v>4</v>
      </c>
      <c r="L1466" t="s">
        <v>46</v>
      </c>
      <c r="M1466">
        <v>67</v>
      </c>
      <c r="N1466">
        <v>3</v>
      </c>
      <c r="O1466">
        <v>3</v>
      </c>
      <c r="P1466" t="s">
        <v>53</v>
      </c>
      <c r="Q1466" t="s">
        <v>77</v>
      </c>
      <c r="R1466" t="s">
        <v>41</v>
      </c>
      <c r="S1466">
        <v>10512</v>
      </c>
      <c r="T1466" t="str" cm="1">
        <f t="array" ref="T1466">_xlfn.IFS(S1466&gt;=10000,"High (&gt;10k)",S1466&gt;=5000,"Medium (5k-10k)",S1466&lt;5000,"Low (&lt;5k)")</f>
        <v>High (&gt;10k)</v>
      </c>
      <c r="U1466">
        <v>20002</v>
      </c>
      <c r="V1466">
        <v>6</v>
      </c>
      <c r="W1466" t="s">
        <v>43</v>
      </c>
      <c r="X1466">
        <v>12</v>
      </c>
      <c r="Y1466">
        <v>3</v>
      </c>
      <c r="Z1466">
        <v>4</v>
      </c>
      <c r="AA1466">
        <v>0</v>
      </c>
      <c r="AB1466">
        <v>25</v>
      </c>
      <c r="AC1466">
        <v>6</v>
      </c>
      <c r="AD1466" t="s">
        <v>81</v>
      </c>
      <c r="AE1466">
        <v>9</v>
      </c>
      <c r="AF1466" t="str" cm="1">
        <f t="array" ref="AF1466">_xlfn.IFS(AE1466&gt;=10,"Veteran (10y+)",AE1466&gt;=3,"Established (3-10y)",AE1466&lt;3,"New Hire (&lt;3y)")</f>
        <v>Established (3-10y)</v>
      </c>
      <c r="AG1466">
        <v>7</v>
      </c>
      <c r="AH1466">
        <v>5</v>
      </c>
      <c r="AI1466">
        <v>4</v>
      </c>
    </row>
    <row r="1467" spans="1:35">
      <c r="A1467">
        <v>60</v>
      </c>
      <c r="B1467" t="str">
        <f t="shared" si="22"/>
        <v>Senior</v>
      </c>
      <c r="C1467">
        <v>0</v>
      </c>
      <c r="D1467" t="s">
        <v>36</v>
      </c>
      <c r="E1467">
        <v>422</v>
      </c>
      <c r="F1467" t="s">
        <v>45</v>
      </c>
      <c r="G1467">
        <v>7</v>
      </c>
      <c r="H1467" t="str" cm="1">
        <f t="array" ref="H1467">_xlfn.IFS(G1467&gt;15,"Long Commute",G1467&gt;5,"Moderate",G1467&lt;=5,"Near Office")</f>
        <v>Moderate</v>
      </c>
      <c r="I1467" t="s">
        <v>72</v>
      </c>
      <c r="J1467" t="s">
        <v>38</v>
      </c>
      <c r="K1467">
        <v>1</v>
      </c>
      <c r="L1467" t="s">
        <v>39</v>
      </c>
      <c r="M1467">
        <v>41</v>
      </c>
      <c r="N1467">
        <v>3</v>
      </c>
      <c r="O1467">
        <v>5</v>
      </c>
      <c r="P1467" t="s">
        <v>56</v>
      </c>
      <c r="Q1467" t="s">
        <v>82</v>
      </c>
      <c r="R1467" t="s">
        <v>48</v>
      </c>
      <c r="S1467">
        <v>19566</v>
      </c>
      <c r="T1467" t="str" cm="1">
        <f t="array" ref="T1467">_xlfn.IFS(S1467&gt;=10000,"High (&gt;10k)",S1467&gt;=5000,"Medium (5k-10k)",S1467&lt;5000,"Low (&lt;5k)")</f>
        <v>High (&gt;10k)</v>
      </c>
      <c r="U1467">
        <v>3854</v>
      </c>
      <c r="V1467">
        <v>5</v>
      </c>
      <c r="W1467" t="s">
        <v>43</v>
      </c>
      <c r="X1467">
        <v>11</v>
      </c>
      <c r="Y1467">
        <v>3</v>
      </c>
      <c r="Z1467">
        <v>4</v>
      </c>
      <c r="AA1467">
        <v>0</v>
      </c>
      <c r="AB1467">
        <v>33</v>
      </c>
      <c r="AC1467">
        <v>5</v>
      </c>
      <c r="AD1467" t="s">
        <v>80</v>
      </c>
      <c r="AE1467">
        <v>29</v>
      </c>
      <c r="AF1467" t="str" cm="1">
        <f t="array" ref="AF1467">_xlfn.IFS(AE1467&gt;=10,"Veteran (10y+)",AE1467&gt;=3,"Established (3-10y)",AE1467&lt;3,"New Hire (&lt;3y)")</f>
        <v>Veteran (10y+)</v>
      </c>
      <c r="AG1467">
        <v>8</v>
      </c>
      <c r="AH1467">
        <v>11</v>
      </c>
      <c r="AI1467">
        <v>10</v>
      </c>
    </row>
    <row r="1468" spans="1:35">
      <c r="A1468">
        <v>60</v>
      </c>
      <c r="B1468" t="str">
        <f t="shared" si="22"/>
        <v>Senior</v>
      </c>
      <c r="C1468">
        <v>0</v>
      </c>
      <c r="D1468" t="s">
        <v>44</v>
      </c>
      <c r="E1468">
        <v>1499</v>
      </c>
      <c r="F1468" t="s">
        <v>37</v>
      </c>
      <c r="G1468">
        <v>28</v>
      </c>
      <c r="H1468" t="str" cm="1">
        <f t="array" ref="H1468">_xlfn.IFS(G1468&gt;15,"Long Commute",G1468&gt;5,"Moderate",G1468&lt;=5,"Near Office")</f>
        <v>Long Commute</v>
      </c>
      <c r="I1468" t="s">
        <v>72</v>
      </c>
      <c r="J1468" t="s">
        <v>59</v>
      </c>
      <c r="K1468">
        <v>3</v>
      </c>
      <c r="L1468" t="s">
        <v>39</v>
      </c>
      <c r="M1468">
        <v>80</v>
      </c>
      <c r="N1468">
        <v>2</v>
      </c>
      <c r="O1468">
        <v>3</v>
      </c>
      <c r="P1468" t="s">
        <v>40</v>
      </c>
      <c r="Q1468" t="s">
        <v>82</v>
      </c>
      <c r="R1468" t="s">
        <v>48</v>
      </c>
      <c r="S1468">
        <v>10266</v>
      </c>
      <c r="T1468" t="str" cm="1">
        <f t="array" ref="T1468">_xlfn.IFS(S1468&gt;=10000,"High (&gt;10k)",S1468&gt;=5000,"Medium (5k-10k)",S1468&lt;5000,"Low (&lt;5k)")</f>
        <v>High (&gt;10k)</v>
      </c>
      <c r="U1468">
        <v>2845</v>
      </c>
      <c r="V1468">
        <v>4</v>
      </c>
      <c r="W1468" t="s">
        <v>43</v>
      </c>
      <c r="X1468">
        <v>19</v>
      </c>
      <c r="Y1468">
        <v>3</v>
      </c>
      <c r="Z1468">
        <v>4</v>
      </c>
      <c r="AA1468">
        <v>0</v>
      </c>
      <c r="AB1468">
        <v>22</v>
      </c>
      <c r="AC1468">
        <v>5</v>
      </c>
      <c r="AD1468" t="s">
        <v>79</v>
      </c>
      <c r="AE1468">
        <v>18</v>
      </c>
      <c r="AF1468" t="str" cm="1">
        <f t="array" ref="AF1468">_xlfn.IFS(AE1468&gt;=10,"Veteran (10y+)",AE1468&gt;=3,"Established (3-10y)",AE1468&lt;3,"New Hire (&lt;3y)")</f>
        <v>Veteran (10y+)</v>
      </c>
      <c r="AG1468">
        <v>13</v>
      </c>
      <c r="AH1468">
        <v>13</v>
      </c>
      <c r="AI1468">
        <v>11</v>
      </c>
    </row>
    <row r="1469" spans="1:35">
      <c r="A1469">
        <v>60</v>
      </c>
      <c r="B1469" t="str">
        <f t="shared" si="22"/>
        <v>Senior</v>
      </c>
      <c r="C1469">
        <v>0</v>
      </c>
      <c r="D1469" t="s">
        <v>36</v>
      </c>
      <c r="E1469">
        <v>1179</v>
      </c>
      <c r="F1469" t="s">
        <v>37</v>
      </c>
      <c r="G1469">
        <v>16</v>
      </c>
      <c r="H1469" t="str" cm="1">
        <f t="array" ref="H1469">_xlfn.IFS(G1469&gt;15,"Long Commute",G1469&gt;5,"Moderate",G1469&lt;=5,"Near Office")</f>
        <v>Long Commute</v>
      </c>
      <c r="I1469" t="s">
        <v>83</v>
      </c>
      <c r="J1469" t="s">
        <v>59</v>
      </c>
      <c r="K1469">
        <v>1</v>
      </c>
      <c r="L1469" t="s">
        <v>46</v>
      </c>
      <c r="M1469">
        <v>84</v>
      </c>
      <c r="N1469">
        <v>3</v>
      </c>
      <c r="O1469">
        <v>2</v>
      </c>
      <c r="P1469" t="s">
        <v>40</v>
      </c>
      <c r="Q1469" t="s">
        <v>82</v>
      </c>
      <c r="R1469" t="s">
        <v>41</v>
      </c>
      <c r="S1469">
        <v>5405</v>
      </c>
      <c r="T1469" t="str" cm="1">
        <f t="array" ref="T1469">_xlfn.IFS(S1469&gt;=10000,"High (&gt;10k)",S1469&gt;=5000,"Medium (5k-10k)",S1469&lt;5000,"Low (&lt;5k)")</f>
        <v>Medium (5k-10k)</v>
      </c>
      <c r="U1469">
        <v>11924</v>
      </c>
      <c r="V1469">
        <v>8</v>
      </c>
      <c r="W1469" t="s">
        <v>43</v>
      </c>
      <c r="X1469">
        <v>14</v>
      </c>
      <c r="Y1469">
        <v>3</v>
      </c>
      <c r="Z1469">
        <v>4</v>
      </c>
      <c r="AA1469">
        <v>0</v>
      </c>
      <c r="AB1469">
        <v>10</v>
      </c>
      <c r="AC1469">
        <v>1</v>
      </c>
      <c r="AD1469" t="s">
        <v>74</v>
      </c>
      <c r="AE1469">
        <v>2</v>
      </c>
      <c r="AF1469" t="str" cm="1">
        <f t="array" ref="AF1469">_xlfn.IFS(AE1469&gt;=10,"Veteran (10y+)",AE1469&gt;=3,"Established (3-10y)",AE1469&lt;3,"New Hire (&lt;3y)")</f>
        <v>New Hire (&lt;3y)</v>
      </c>
      <c r="AG1469">
        <v>2</v>
      </c>
      <c r="AH1469">
        <v>2</v>
      </c>
      <c r="AI1469">
        <v>2</v>
      </c>
    </row>
    <row r="1470" spans="1:35">
      <c r="A1470">
        <v>60</v>
      </c>
      <c r="B1470" t="str">
        <f t="shared" si="22"/>
        <v>Senior</v>
      </c>
      <c r="C1470">
        <v>0</v>
      </c>
      <c r="D1470" t="s">
        <v>36</v>
      </c>
      <c r="E1470">
        <v>696</v>
      </c>
      <c r="F1470" t="s">
        <v>37</v>
      </c>
      <c r="G1470">
        <v>7</v>
      </c>
      <c r="H1470" t="str" cm="1">
        <f t="array" ref="H1470">_xlfn.IFS(G1470&gt;15,"Long Commute",G1470&gt;5,"Moderate",G1470&lt;=5,"Near Office")</f>
        <v>Moderate</v>
      </c>
      <c r="I1470" t="s">
        <v>83</v>
      </c>
      <c r="J1470" t="s">
        <v>59</v>
      </c>
      <c r="K1470">
        <v>2</v>
      </c>
      <c r="L1470" t="s">
        <v>46</v>
      </c>
      <c r="M1470">
        <v>52</v>
      </c>
      <c r="N1470">
        <v>4</v>
      </c>
      <c r="O1470">
        <v>2</v>
      </c>
      <c r="P1470" t="s">
        <v>40</v>
      </c>
      <c r="Q1470" t="s">
        <v>77</v>
      </c>
      <c r="R1470" t="s">
        <v>52</v>
      </c>
      <c r="S1470">
        <v>5220</v>
      </c>
      <c r="T1470" t="str" cm="1">
        <f t="array" ref="T1470">_xlfn.IFS(S1470&gt;=10000,"High (&gt;10k)",S1470&gt;=5000,"Medium (5k-10k)",S1470&lt;5000,"Low (&lt;5k)")</f>
        <v>Medium (5k-10k)</v>
      </c>
      <c r="U1470">
        <v>10893</v>
      </c>
      <c r="V1470">
        <v>0</v>
      </c>
      <c r="W1470" t="s">
        <v>35</v>
      </c>
      <c r="X1470">
        <v>18</v>
      </c>
      <c r="Y1470">
        <v>3</v>
      </c>
      <c r="Z1470">
        <v>2</v>
      </c>
      <c r="AA1470">
        <v>1</v>
      </c>
      <c r="AB1470">
        <v>12</v>
      </c>
      <c r="AC1470">
        <v>3</v>
      </c>
      <c r="AD1470" t="s">
        <v>74</v>
      </c>
      <c r="AE1470">
        <v>11</v>
      </c>
      <c r="AF1470" t="str" cm="1">
        <f t="array" ref="AF1470">_xlfn.IFS(AE1470&gt;=10,"Veteran (10y+)",AE1470&gt;=3,"Established (3-10y)",AE1470&lt;3,"New Hire (&lt;3y)")</f>
        <v>Veteran (10y+)</v>
      </c>
      <c r="AG1470">
        <v>7</v>
      </c>
      <c r="AH1470">
        <v>1</v>
      </c>
      <c r="AI1470">
        <v>9</v>
      </c>
    </row>
    <row r="1471" spans="1:35">
      <c r="A1471">
        <v>60</v>
      </c>
      <c r="B1471" t="str">
        <f t="shared" si="22"/>
        <v>Senior</v>
      </c>
      <c r="C1471">
        <v>0</v>
      </c>
      <c r="D1471" t="s">
        <v>36</v>
      </c>
      <c r="E1471">
        <v>370</v>
      </c>
      <c r="F1471" t="s">
        <v>45</v>
      </c>
      <c r="G1471">
        <v>1</v>
      </c>
      <c r="H1471" t="str" cm="1">
        <f t="array" ref="H1471">_xlfn.IFS(G1471&gt;15,"Long Commute",G1471&gt;5,"Moderate",G1471&lt;=5,"Near Office")</f>
        <v>Near Office</v>
      </c>
      <c r="I1471" t="s">
        <v>83</v>
      </c>
      <c r="J1471" t="s">
        <v>51</v>
      </c>
      <c r="K1471">
        <v>3</v>
      </c>
      <c r="L1471" t="s">
        <v>46</v>
      </c>
      <c r="M1471">
        <v>92</v>
      </c>
      <c r="N1471">
        <v>1</v>
      </c>
      <c r="O1471">
        <v>3</v>
      </c>
      <c r="P1471" t="s">
        <v>54</v>
      </c>
      <c r="Q1471" t="s">
        <v>77</v>
      </c>
      <c r="R1471" t="s">
        <v>52</v>
      </c>
      <c r="S1471">
        <v>10883</v>
      </c>
      <c r="T1471" t="str" cm="1">
        <f t="array" ref="T1471">_xlfn.IFS(S1471&gt;=10000,"High (&gt;10k)",S1471&gt;=5000,"Medium (5k-10k)",S1471&lt;5000,"Low (&lt;5k)")</f>
        <v>High (&gt;10k)</v>
      </c>
      <c r="U1471">
        <v>20467</v>
      </c>
      <c r="V1471">
        <v>3</v>
      </c>
      <c r="W1471" t="s">
        <v>43</v>
      </c>
      <c r="X1471">
        <v>20</v>
      </c>
      <c r="Y1471">
        <v>4</v>
      </c>
      <c r="Z1471">
        <v>3</v>
      </c>
      <c r="AA1471">
        <v>1</v>
      </c>
      <c r="AB1471">
        <v>19</v>
      </c>
      <c r="AC1471">
        <v>2</v>
      </c>
      <c r="AD1471" t="s">
        <v>79</v>
      </c>
      <c r="AE1471">
        <v>1</v>
      </c>
      <c r="AF1471" t="str" cm="1">
        <f t="array" ref="AF1471">_xlfn.IFS(AE1471&gt;=10,"Veteran (10y+)",AE1471&gt;=3,"Established (3-10y)",AE1471&lt;3,"New Hire (&lt;3y)")</f>
        <v>New Hire (&lt;3y)</v>
      </c>
      <c r="AG1471">
        <v>0</v>
      </c>
      <c r="AH1471">
        <v>0</v>
      </c>
      <c r="AI1471">
        <v>0</v>
      </c>
    </row>
  </sheetData>
  <sortState ref="A2:AI1471">
    <sortCondition ref="A2:A1471"/>
  </sortState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8"/>
  <sheetViews>
    <sheetView tabSelected="1" workbookViewId="0">
      <selection activeCell="M12" sqref="M12"/>
    </sheetView>
  </sheetViews>
  <sheetFormatPr defaultColWidth="9" defaultRowHeight="14.4" outlineLevelRow="7" outlineLevelCol="3"/>
  <cols>
    <col min="1" max="1" width="16.3333333333333" customWidth="1"/>
    <col min="2" max="2" width="10.7777777777778" customWidth="1"/>
    <col min="3" max="3" width="4.44444444444444" customWidth="1"/>
    <col min="4" max="4" width="10.5555555555556" customWidth="1"/>
  </cols>
  <sheetData>
    <row r="3" spans="1:2">
      <c r="A3" t="s">
        <v>85</v>
      </c>
      <c r="B3" t="s">
        <v>86</v>
      </c>
    </row>
    <row r="4" spans="1:4">
      <c r="A4" t="s">
        <v>71</v>
      </c>
      <c r="B4" t="s">
        <v>43</v>
      </c>
      <c r="C4" t="s">
        <v>35</v>
      </c>
      <c r="D4" t="s">
        <v>87</v>
      </c>
    </row>
    <row r="5" spans="1:4">
      <c r="A5" s="1" t="s">
        <v>88</v>
      </c>
      <c r="B5" s="2">
        <v>0.0731261425959781</v>
      </c>
      <c r="C5" s="2">
        <v>0.265116279069767</v>
      </c>
      <c r="D5" s="2">
        <v>0.127296587926509</v>
      </c>
    </row>
    <row r="6" spans="1:4">
      <c r="A6" s="1" t="s">
        <v>89</v>
      </c>
      <c r="B6" s="2">
        <v>0.205882352941176</v>
      </c>
      <c r="C6" s="2">
        <v>0.509615384615385</v>
      </c>
      <c r="D6" s="2">
        <v>0.298245614035088</v>
      </c>
    </row>
    <row r="7" spans="1:4">
      <c r="A7" s="1" t="s">
        <v>90</v>
      </c>
      <c r="B7" s="2">
        <v>0.0780669144981413</v>
      </c>
      <c r="C7" s="2">
        <v>0.175257731958763</v>
      </c>
      <c r="D7" s="2">
        <v>0.103825136612022</v>
      </c>
    </row>
    <row r="8" spans="1:4">
      <c r="A8" s="1" t="s">
        <v>87</v>
      </c>
      <c r="B8" s="2">
        <v>0.104364326375712</v>
      </c>
      <c r="C8" s="2">
        <v>0.305288461538462</v>
      </c>
      <c r="D8" s="2">
        <v>0.161224489795918</v>
      </c>
    </row>
  </sheetData>
  <conditionalFormatting sqref="E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Pivot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Diya Kurup</cp:lastModifiedBy>
  <dcterms:created xsi:type="dcterms:W3CDTF">2026-01-13T12:12:00Z</dcterms:created>
  <dcterms:modified xsi:type="dcterms:W3CDTF">2026-01-13T17:55:52Z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EAE7C27408D94AEA8B3C53BCECEB4675_13</vt:lpwstr>
  </property>
  <property fmtid="{D5CDD505-2E9C-101B-9397-08002B2CF9AE}" pid="3" name="KSOProductBuildVer">
    <vt:lpwstr>1033-12.2.0.23155</vt:lpwstr>
  </property>
</Properties>
</file>